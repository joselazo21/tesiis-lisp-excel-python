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111" sheetId="1" state="visible" r:id="rId1"/>
    <sheet xmlns:r="http://schemas.openxmlformats.org/officeDocument/2006/relationships" name="Aul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  <col width="12" customWidth="1" min="8" max="8"/>
    <col width="12" customWidth="1" min="9" max="9"/>
  </cols>
  <sheetData>
    <row r="1">
      <c r="A1" s="1" t="inlineStr">
        <is>
          <t>Asignatura</t>
        </is>
      </c>
      <c r="B1" s="1" t="inlineStr">
        <is>
          <t>Profesor</t>
        </is>
      </c>
      <c r="C1" s="1" t="inlineStr">
        <is>
          <t>Aula L</t>
        </is>
      </c>
      <c r="D1" s="1" t="inlineStr">
        <is>
          <t>Aula M</t>
        </is>
      </c>
      <c r="E1" s="1" t="inlineStr">
        <is>
          <t>Aula V</t>
        </is>
      </c>
      <c r="F1" s="1" t="inlineStr">
        <is>
          <t>Estudiantes</t>
        </is>
      </c>
      <c r="G1" s="1" t="inlineStr">
        <is>
          <t>Faltan</t>
        </is>
      </c>
      <c r="H1" s="1" t="inlineStr">
        <is>
          <t>Frecuencia</t>
        </is>
      </c>
      <c r="I1" s="1" t="inlineStr">
        <is>
          <t>Asignadas</t>
        </is>
      </c>
    </row>
    <row r="2">
      <c r="A2" s="2" t="inlineStr">
        <is>
          <t>Análisis I</t>
        </is>
      </c>
      <c r="B2" s="2" t="inlineStr">
        <is>
          <t>Dr. García</t>
        </is>
      </c>
      <c r="C2" s="2" t="inlineStr">
        <is>
          <t>C111-1</t>
        </is>
      </c>
      <c r="D2" s="2" t="inlineStr">
        <is>
          <t>C111-2</t>
        </is>
      </c>
      <c r="E2" s="2" t="inlineStr">
        <is>
          <t>C111-3</t>
        </is>
      </c>
      <c r="F2" s="2" t="n">
        <v>30</v>
      </c>
      <c r="G2" s="2">
        <f>D2-E2</f>
        <v/>
      </c>
      <c r="H2" s="2" t="n">
        <v>10</v>
      </c>
      <c r="I2" s="2" t="n">
        <v>25</v>
      </c>
    </row>
    <row r="3">
      <c r="A3" s="2" t="inlineStr">
        <is>
          <t>Álgebra</t>
        </is>
      </c>
      <c r="B3" s="2" t="inlineStr">
        <is>
          <t>Dra. López</t>
        </is>
      </c>
      <c r="C3" s="2" t="inlineStr">
        <is>
          <t>C111-4</t>
        </is>
      </c>
      <c r="D3" s="2" t="inlineStr">
        <is>
          <t>C111-5</t>
        </is>
      </c>
      <c r="E3" s="2" t="inlineStr">
        <is>
          <t>C111-6</t>
        </is>
      </c>
      <c r="F3" s="2" t="n">
        <v>28</v>
      </c>
      <c r="G3" s="2">
        <f>D3-E3</f>
        <v/>
      </c>
      <c r="H3" s="2" t="n">
        <v>8</v>
      </c>
      <c r="I3" s="2" t="n">
        <v>25</v>
      </c>
    </row>
    <row r="4">
      <c r="A4" s="2" t="inlineStr">
        <is>
          <t>Cálculo</t>
        </is>
      </c>
      <c r="B4" s="2" t="inlineStr">
        <is>
          <t>Dr. Martínez</t>
        </is>
      </c>
      <c r="C4" s="2" t="inlineStr">
        <is>
          <t>C111-7</t>
        </is>
      </c>
      <c r="D4" s="2" t="inlineStr">
        <is>
          <t>C111-8</t>
        </is>
      </c>
      <c r="E4" s="2" t="inlineStr">
        <is>
          <t>C111-9</t>
        </is>
      </c>
      <c r="F4" s="2" t="n">
        <v>32</v>
      </c>
      <c r="G4" s="2">
        <f>D4-E4</f>
        <v/>
      </c>
      <c r="H4" s="2" t="n">
        <v>12</v>
      </c>
      <c r="I4" s="2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3" t="inlineStr">
        <is>
          <t>Aula</t>
        </is>
      </c>
      <c r="B1" s="3" t="inlineStr">
        <is>
          <t>Lunes</t>
        </is>
      </c>
      <c r="C1" s="3" t="inlineStr">
        <is>
          <t>Martes</t>
        </is>
      </c>
      <c r="D1" s="3" t="inlineStr">
        <is>
          <t>Miércoles</t>
        </is>
      </c>
      <c r="E1" s="3" t="inlineStr">
        <is>
          <t>Jueves</t>
        </is>
      </c>
      <c r="F1" s="3" t="inlineStr">
        <is>
          <t>Viernes</t>
        </is>
      </c>
    </row>
    <row r="2">
      <c r="A2" s="2" t="inlineStr">
        <is>
          <t>A101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A102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>
        <is>
          <t>A103</t>
        </is>
      </c>
      <c r="B4" s="2" t="inlineStr"/>
      <c r="C4" s="2">
        <f>SUBSTITUTE(TRIM(CONCAT(IF(C111!$C$5=C2,C111!$B$1 &amp; " ", ""), IF(C112!$C$5=C2,C112!$B$1 &amp; " ", ""), IF(C113!$C$5=C2,C113!$B$1 &amp; " ", ""))), " ", ",")</f>
        <v/>
      </c>
      <c r="D4" s="2">
        <f>SUBSTITUTE(TRIM(CONCAT(IF(C111!$C$5=D2,C111!$B$1 &amp; " ", ""), IF(C112!$C$5=D2,C112!$B$1 &amp; " ", ""), IF(C113!$C$5=D2,C113!$B$1 &amp; " ", ""))), " ", ",")</f>
        <v/>
      </c>
      <c r="E4" s="2">
        <f>SUBSTITUTE(TRIM(CONCAT(IF(C111!$C$5=E2,C111!$B$1 &amp; " ", ""), IF(C112!$C$5=E2,C112!$B$1 &amp; " ", ""), IF(C113!$C$5=E2,C113!$B$1 &amp; " ", ""))), " ", ",")</f>
        <v/>
      </c>
      <c r="F4" s="2">
        <f>SUBSTITUTE(TRIM(CONCAT(IF(C111!$C$5=F2,C111!$B$1 &amp; " ", ""), IF(C112!$C$5=F2,C112!$B$1 &amp; " ", ""), IF(C113!$C$5=F2,C113!$B$1 &amp; " ", ""))), " ", ",")</f>
        <v/>
      </c>
      <c r="G4">
        <f>SUBSTITUTE(TRIM(CONCAT(IF(C111!$C$5=G2,C111!$B$1 &amp; " ", ""), IF(C112!$C$5=G2,C112!$B$1 &amp; " ", ""), IF(C113!$C$5=G2,C113!$B$1 &amp; " ", ""))), " ", ",")</f>
        <v/>
      </c>
      <c r="H4">
        <f>SUBSTITUTE(TRIM(CONCAT(IF(C111!$C$5=H2,C111!$B$1 &amp; " ", ""), IF(C112!$C$5=H2,C112!$B$1 &amp; " ", ""), IF(C113!$C$5=H2,C113!$B$1 &amp; " ", ""))), " ", ",")</f>
        <v/>
      </c>
      <c r="I4">
        <f>SUBSTITUTE(TRIM(CONCAT(IF(C111!$C$5=I2,C111!$B$1 &amp; " ", ""), IF(C112!$C$5=I2,C112!$B$1 &amp; " ", ""), IF(C113!$C$5=I2,C113!$B$1 &amp; " ", ""))), " ", ",")</f>
        <v/>
      </c>
      <c r="J4">
        <f>SUBSTITUTE(TRIM(CONCAT(IF(C111!$C$5=J2,C111!$B$1 &amp; " ", ""), IF(C112!$C$5=J2,C112!$B$1 &amp; " ", ""), IF(C113!$C$5=J2,C113!$B$1 &amp; " ", ""))), " ", ",")</f>
        <v/>
      </c>
      <c r="K4">
        <f>SUBSTITUTE(TRIM(CONCAT(IF(C111!$C$5=K2,C111!$B$1 &amp; " ", ""), IF(C112!$C$5=K2,C112!$B$1 &amp; " ", ""), IF(C113!$C$5=K2,C113!$B$1 &amp; " ", ""))), " ", ",")</f>
        <v/>
      </c>
      <c r="L4">
        <f>SUBSTITUTE(TRIM(CONCAT(IF(C111!$C$5=L2,C111!$B$1 &amp; " ", ""), IF(C112!$C$5=L2,C112!$B$1 &amp; " ", ""), IF(C113!$C$5=L2,C113!$B$1 &amp; " ", ""))), " ", ",")</f>
        <v/>
      </c>
    </row>
    <row r="5">
      <c r="A5" s="2" t="inlineStr">
        <is>
          <t>A104</t>
        </is>
      </c>
      <c r="B5" s="2" t="inlineStr"/>
      <c r="C5" s="2" t="inlineStr"/>
      <c r="D5" s="2" t="inlineStr"/>
      <c r="E5" s="2" t="inlineStr"/>
      <c r="F5" s="2" t="inlineStr"/>
    </row>
    <row r="6">
      <c r="A6" s="2" t="inlineStr">
        <is>
          <t>A105</t>
        </is>
      </c>
      <c r="B6" s="2" t="inlineStr"/>
      <c r="C6" s="2" t="inlineStr"/>
      <c r="D6" s="2" t="inlineStr"/>
      <c r="E6" s="2" t="inlineStr"/>
      <c r="F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2026-04-02T16:44:10Z</dcterms:created>
  <dcterms:modified xmlns:dcterms="http://purl.org/dc/terms/" xmlns:xsi="http://www.w3.org/2001/XMLSchema-instance" xsi:type="dcterms:W3CDTF">2026-04-02T16:44:10Z</dcterms:modified>
</cp:coreProperties>
</file>