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n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FF4F81BD"/>
      </left>
      <right style="thick">
        <color rgb="FF4F81BD"/>
      </right>
      <top style="thick">
        <color rgb="FF4F81BD"/>
      </top>
      <bottom style="thick">
        <color rgb="FF4F81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48" customWidth="1" min="3" max="3"/>
    <col width="42" customWidth="1" min="4" max="4"/>
    <col width="36" customWidth="1" min="5" max="5"/>
    <col width="42" customWidth="1" min="6" max="6"/>
    <col width="42" customWidth="1" min="7" max="7"/>
    <col width="42" customWidth="1" min="8" max="8"/>
    <col width="16" customWidth="1" min="9" max="9"/>
    <col hidden="1" width="13" customWidth="1" min="10" max="10"/>
    <col width="42" customWidth="1" min="11" max="11"/>
    <col width="26" customWidth="1" min="12" max="12"/>
    <col hidden="1" width="13" customWidth="1" min="13" max="1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Día</t>
        </is>
      </c>
      <c r="B3" t="inlineStr">
        <is>
          <t>Hora</t>
        </is>
      </c>
      <c r="C3" t="inlineStr">
        <is>
          <t>Estudiante</t>
        </is>
      </c>
      <c r="D3" t="inlineStr">
        <is>
          <t>Tutor</t>
        </is>
      </c>
      <c r="E3" t="inlineStr">
        <is>
          <t>Presidente</t>
        </is>
      </c>
      <c r="F3" t="inlineStr">
        <is>
          <t>Secretario</t>
        </is>
      </c>
      <c r="G3" t="inlineStr">
        <is>
          <t>Vocal</t>
        </is>
      </c>
      <c r="H3" t="inlineStr">
        <is>
          <t>Oponente</t>
        </is>
      </c>
      <c r="I3" t="inlineStr">
        <is>
          <t>Local</t>
        </is>
      </c>
      <c r="J3" t="inlineStr"/>
      <c r="K3" t="inlineStr">
        <is>
          <t>Nombre</t>
        </is>
      </c>
      <c r="L3" t="inlineStr">
        <is>
          <t>Defensas</t>
        </is>
      </c>
      <c r="M3" t="inlineStr"/>
    </row>
    <row r="4">
      <c r="A4" s="1" t="inlineStr">
        <is>
          <t>05/06/2026</t>
        </is>
      </c>
      <c r="B4" s="1" t="inlineStr">
        <is>
          <t>10:00</t>
        </is>
      </c>
      <c r="C4" s="1" t="inlineStr">
        <is>
          <t>Angel Daniel Alonso Guevara</t>
        </is>
      </c>
      <c r="D4" s="1" t="inlineStr">
        <is>
          <t>MSc. Carmen T. Fernández Montoto</t>
        </is>
      </c>
      <c r="E4" s="1" t="inlineStr">
        <is>
          <t>Dr. Alberto Fernández Oliva</t>
        </is>
      </c>
      <c r="F4" s="1" t="inlineStr">
        <is>
          <t>Lic. Alejandro Labourdette-Lantigua Soto</t>
        </is>
      </c>
      <c r="G4" s="1" t="inlineStr">
        <is>
          <t>Lic. Dennis Daniel González Durán</t>
        </is>
      </c>
      <c r="H4" s="1" t="inlineStr">
        <is>
          <t>MSc. Aracelys García Armenteros</t>
        </is>
      </c>
      <c r="I4" s="1" t="inlineStr">
        <is>
          <t>Postgrado</t>
        </is>
      </c>
      <c r="J4" t="inlineStr"/>
      <c r="K4" s="1" t="inlineStr">
        <is>
          <t>Dr. Alberto Fernández Oliva</t>
        </is>
      </c>
      <c r="L4" s="1">
        <f>COUNTIF($D$4:$H$16,K4)</f>
        <v/>
      </c>
      <c r="M4" t="inlineStr"/>
    </row>
    <row r="5">
      <c r="A5" s="1" t="inlineStr">
        <is>
          <t>08/06/2026</t>
        </is>
      </c>
      <c r="B5" s="1" t="inlineStr">
        <is>
          <t>09:30</t>
        </is>
      </c>
      <c r="C5" s="1" t="inlineStr">
        <is>
          <t>Adrián Hernández Castellanos</t>
        </is>
      </c>
      <c r="D5" s="1" t="inlineStr">
        <is>
          <t>Lic. Alejandra Monzón Peña</t>
        </is>
      </c>
      <c r="E5" s="1" t="inlineStr">
        <is>
          <t>Lic. Amanda Noris Hernández</t>
        </is>
      </c>
      <c r="F5" s="1" t="inlineStr">
        <is>
          <t>Lic. Kevin Manzano Rodríguez</t>
        </is>
      </c>
      <c r="G5" s="1" t="inlineStr">
        <is>
          <t>Lic. Daniel Abad Fundora</t>
        </is>
      </c>
      <c r="H5" s="1" t="inlineStr">
        <is>
          <t>Lic. Rodrigo García Gómez</t>
        </is>
      </c>
      <c r="I5" s="1" t="inlineStr">
        <is>
          <t>Salón decanato</t>
        </is>
      </c>
      <c r="J5" t="inlineStr"/>
      <c r="K5" s="1" t="inlineStr">
        <is>
          <t>Dr. Gabriel Fundora</t>
        </is>
      </c>
      <c r="L5" s="1">
        <f>COUNTIF($D$4:$H$16,K5)</f>
        <v/>
      </c>
      <c r="M5" t="inlineStr"/>
    </row>
    <row r="6">
      <c r="A6" s="1" t="inlineStr">
        <is>
          <t>08/06/2026</t>
        </is>
      </c>
      <c r="B6" s="1" t="inlineStr">
        <is>
          <t>10:30</t>
        </is>
      </c>
      <c r="C6" s="1" t="inlineStr">
        <is>
          <t>Laura Martir Beltrán</t>
        </is>
      </c>
      <c r="D6" s="1" t="inlineStr">
        <is>
          <t>Lic. Alejandra Monzón Peña</t>
        </is>
      </c>
      <c r="E6" s="1" t="inlineStr">
        <is>
          <t>Lic. Amanda Noris Hernández</t>
        </is>
      </c>
      <c r="F6" s="1" t="inlineStr">
        <is>
          <t>Lic. Kevin Manzano Rodríguez</t>
        </is>
      </c>
      <c r="G6" s="1" t="inlineStr">
        <is>
          <t>Lic. Daniel Abad Fundora</t>
        </is>
      </c>
      <c r="H6" s="1" t="inlineStr">
        <is>
          <t>Lic. Rodrigo García Gómez</t>
        </is>
      </c>
      <c r="I6" s="1" t="inlineStr">
        <is>
          <t>Salón decanato</t>
        </is>
      </c>
      <c r="J6" t="inlineStr"/>
      <c r="K6" s="1" t="inlineStr">
        <is>
          <t>DrC. Alejandro Piad Morfis</t>
        </is>
      </c>
      <c r="L6" s="1">
        <f>COUNTIF($D$4:$H$16,K6)</f>
        <v/>
      </c>
      <c r="M6" t="inlineStr"/>
    </row>
    <row r="7">
      <c r="A7" s="1" t="inlineStr">
        <is>
          <t>08/06/2026</t>
        </is>
      </c>
      <c r="B7" s="1" t="inlineStr">
        <is>
          <t>11:30</t>
        </is>
      </c>
      <c r="C7" s="1" t="inlineStr">
        <is>
          <t>Noel Pérez Calvo</t>
        </is>
      </c>
      <c r="D7" s="1" t="inlineStr">
        <is>
          <t>MSc. Fernando Raúl Rodríguez Flores</t>
        </is>
      </c>
      <c r="E7" s="1" t="inlineStr">
        <is>
          <t>Lic. Rodrigo García Gómez</t>
        </is>
      </c>
      <c r="F7" s="1" t="inlineStr">
        <is>
          <t>Lic. Lázaro Daniel González Martínez</t>
        </is>
      </c>
      <c r="G7" s="1" t="inlineStr">
        <is>
          <t>Lic. Alejandra Monzón Peña</t>
        </is>
      </c>
      <c r="H7" s="1" t="inlineStr">
        <is>
          <t>Lic. David Guaty Domínguez</t>
        </is>
      </c>
      <c r="I7" s="1" t="inlineStr">
        <is>
          <t>Salón decanato</t>
        </is>
      </c>
      <c r="J7" t="inlineStr"/>
      <c r="K7" s="1" t="inlineStr">
        <is>
          <t>DrC. Alejandro Sánchez Castellanos</t>
        </is>
      </c>
      <c r="L7" s="1">
        <f>COUNTIF($D$4:$H$16,K7)</f>
        <v/>
      </c>
      <c r="M7" t="inlineStr"/>
    </row>
    <row r="8">
      <c r="A8" s="1" t="inlineStr">
        <is>
          <t>10/06/2026</t>
        </is>
      </c>
      <c r="B8" s="1" t="inlineStr">
        <is>
          <t>09:30</t>
        </is>
      </c>
      <c r="C8" s="1" t="inlineStr">
        <is>
          <t>Claudia Hernández Pérez y Joel Aparicio Tamayo</t>
        </is>
      </c>
      <c r="D8" s="1" t="inlineStr">
        <is>
          <t>MSc. Celia T. González González</t>
        </is>
      </c>
      <c r="E8" s="1" t="inlineStr">
        <is>
          <t>Dra. Ayme Marrero Severo</t>
        </is>
      </c>
      <c r="F8" s="1" t="inlineStr">
        <is>
          <t>MSc. Joanna Campbell Amos</t>
        </is>
      </c>
      <c r="G8" s="1" t="inlineStr">
        <is>
          <t>Lic. Daniel Alejandro Valdés Pérez</t>
        </is>
      </c>
      <c r="H8" s="1" t="inlineStr">
        <is>
          <t>Lic. Alejandro Beltrán Varela</t>
        </is>
      </c>
      <c r="I8" s="1" t="inlineStr">
        <is>
          <t>Postgrado</t>
        </is>
      </c>
      <c r="J8" t="inlineStr"/>
      <c r="K8" s="1" t="inlineStr">
        <is>
          <t>Dra. Ayme Marrero Severo</t>
        </is>
      </c>
      <c r="L8" s="1">
        <f>COUNTIF($D$4:$H$16,K8)</f>
        <v/>
      </c>
      <c r="M8" t="inlineStr"/>
    </row>
    <row r="9">
      <c r="A9" s="1" t="inlineStr">
        <is>
          <t>10/06/2026</t>
        </is>
      </c>
      <c r="B9" s="1" t="inlineStr">
        <is>
          <t>11:00</t>
        </is>
      </c>
      <c r="C9" s="1" t="inlineStr">
        <is>
          <t>Darío Hernández Cubilla</t>
        </is>
      </c>
      <c r="D9" s="1" t="inlineStr">
        <is>
          <t>MSc. Aracelys García Armenteros</t>
        </is>
      </c>
      <c r="E9" s="1" t="inlineStr">
        <is>
          <t>Dra. Ayme Marrero Severo</t>
        </is>
      </c>
      <c r="F9" s="1" t="inlineStr">
        <is>
          <t>Lic. Roberto Marti Cedeño</t>
        </is>
      </c>
      <c r="G9" s="1" t="inlineStr">
        <is>
          <t>Lic. Alejandro Beltrán Varela</t>
        </is>
      </c>
      <c r="H9" s="1" t="inlineStr">
        <is>
          <t>Lic. Alejandro Labourdette-Lantigua Soto</t>
        </is>
      </c>
      <c r="I9" s="1" t="inlineStr">
        <is>
          <t>Postgrado</t>
        </is>
      </c>
      <c r="J9" t="inlineStr"/>
      <c r="K9" s="1" t="inlineStr">
        <is>
          <t>DraC. Marta Lourdes Baguer Díaz-Romañach</t>
        </is>
      </c>
      <c r="L9" s="1">
        <f>COUNTIF($D$4:$H$16,K9)</f>
        <v/>
      </c>
      <c r="M9" t="inlineStr"/>
    </row>
    <row r="10">
      <c r="A10" s="1" t="inlineStr">
        <is>
          <t>10/06/2026</t>
        </is>
      </c>
      <c r="B10" s="1" t="inlineStr">
        <is>
          <t>12:00</t>
        </is>
      </c>
      <c r="C10" s="1" t="inlineStr">
        <is>
          <t>Richard Alejandro Matos Arderí</t>
        </is>
      </c>
      <c r="D10" s="1" t="inlineStr">
        <is>
          <t>MSc. Celia T. González González</t>
        </is>
      </c>
      <c r="E10" s="1" t="inlineStr">
        <is>
          <t>MSc. Wilfredo Morales Lezca</t>
        </is>
      </c>
      <c r="F10" s="1" t="inlineStr">
        <is>
          <t>Lic. Roberto Marti Cedeño</t>
        </is>
      </c>
      <c r="G10" s="1" t="inlineStr">
        <is>
          <t>Lic. Alejandro Beltrán Varela</t>
        </is>
      </c>
      <c r="H10" s="1" t="inlineStr">
        <is>
          <t>MSc. Aracelys García Armenteros</t>
        </is>
      </c>
      <c r="I10" s="1" t="inlineStr">
        <is>
          <t>Postgrado</t>
        </is>
      </c>
      <c r="J10" t="inlineStr"/>
      <c r="K10" s="1" t="inlineStr">
        <is>
          <t>Lic. Alejandra Monzón Peña</t>
        </is>
      </c>
      <c r="L10" s="1">
        <f>COUNTIF($D$4:$H$16,K10)</f>
        <v/>
      </c>
      <c r="M10" t="inlineStr"/>
    </row>
    <row r="11">
      <c r="A11" s="1" t="inlineStr">
        <is>
          <t>10/06/2026</t>
        </is>
      </c>
      <c r="B11" s="1" t="inlineStr">
        <is>
          <t>09:30</t>
        </is>
      </c>
      <c r="C11" s="1" t="inlineStr">
        <is>
          <t>Melani Forsythe Matos</t>
        </is>
      </c>
      <c r="D11" s="1" t="inlineStr">
        <is>
          <t>DraC. Marta Lourdes Baguer Díaz-Romañach</t>
        </is>
      </c>
      <c r="E11" s="1" t="inlineStr">
        <is>
          <t>DrC. Alejandro Sánchez Castellanos</t>
        </is>
      </c>
      <c r="F11" s="1" t="inlineStr">
        <is>
          <t>Lic. Ana Paula González Muñoz</t>
        </is>
      </c>
      <c r="G11" s="1" t="inlineStr">
        <is>
          <t>Lic. Dennis Daniel González Durán</t>
        </is>
      </c>
      <c r="H11" s="1" t="inlineStr">
        <is>
          <t>Lic. Javier Rodríguez Sánchez</t>
        </is>
      </c>
      <c r="I11" s="1" t="inlineStr">
        <is>
          <t>Francofonía</t>
        </is>
      </c>
      <c r="J11" t="inlineStr"/>
      <c r="K11" s="1" t="inlineStr">
        <is>
          <t>Lic. Alejandro Beltrán Varela</t>
        </is>
      </c>
      <c r="L11" s="1">
        <f>COUNTIF($D$4:$H$16,K11)</f>
        <v/>
      </c>
      <c r="M11" t="inlineStr"/>
    </row>
    <row r="12">
      <c r="A12" s="1" t="inlineStr">
        <is>
          <t>10/06/2026</t>
        </is>
      </c>
      <c r="B12" s="1" t="inlineStr">
        <is>
          <t>10:30</t>
        </is>
      </c>
      <c r="C12" s="1" t="inlineStr">
        <is>
          <t>Mauro Eduardo Campver Barrios</t>
        </is>
      </c>
      <c r="D12" s="1" t="inlineStr">
        <is>
          <t>DraC. Marta Lourdes Baguer Díaz-Romañach</t>
        </is>
      </c>
      <c r="E12" s="1" t="inlineStr">
        <is>
          <t>DrC. Alejandro Piad Morfis</t>
        </is>
      </c>
      <c r="F12" s="1" t="inlineStr">
        <is>
          <t>Lic. Ana Paula González Muñoz</t>
        </is>
      </c>
      <c r="G12" s="1" t="inlineStr">
        <is>
          <t>Lic. Dennis Daniel González Durán</t>
        </is>
      </c>
      <c r="H12" s="1" t="inlineStr">
        <is>
          <t>MSc. Fernando Raúl Rodríguez Flores</t>
        </is>
      </c>
      <c r="I12" s="1" t="inlineStr">
        <is>
          <t>Francofonía</t>
        </is>
      </c>
      <c r="J12" t="inlineStr"/>
      <c r="K12" s="1" t="inlineStr">
        <is>
          <t>Lic. Alejandro Labourdette-Lantigua Soto</t>
        </is>
      </c>
      <c r="L12" s="1">
        <f>COUNTIF($D$4:$H$16,K12)</f>
        <v/>
      </c>
      <c r="M12" t="inlineStr"/>
    </row>
    <row r="13">
      <c r="A13" s="1" t="inlineStr">
        <is>
          <t>10/06/2026</t>
        </is>
      </c>
      <c r="B13" s="1" t="inlineStr">
        <is>
          <t>13:30</t>
        </is>
      </c>
      <c r="C13" s="1" t="inlineStr">
        <is>
          <t>José Miguel Leyva De La Cruz</t>
        </is>
      </c>
      <c r="D13" s="1" t="inlineStr">
        <is>
          <t>Lic. Alejandro Beltrán Varela</t>
        </is>
      </c>
      <c r="E13" s="1" t="inlineStr">
        <is>
          <t>Lic. Amanda Noris Hernández</t>
        </is>
      </c>
      <c r="F13" s="1" t="inlineStr">
        <is>
          <t>Lic. Juan Miguel Pérez Martínez</t>
        </is>
      </c>
      <c r="G13" s="1" t="inlineStr">
        <is>
          <t>Dr. Gabriel Fundora</t>
        </is>
      </c>
      <c r="H13" s="1" t="inlineStr">
        <is>
          <t>MSc. Aracelys García Armenteros</t>
        </is>
      </c>
      <c r="I13" s="1" t="inlineStr">
        <is>
          <t>Francofonía</t>
        </is>
      </c>
      <c r="J13" t="inlineStr"/>
      <c r="K13" s="1" t="inlineStr">
        <is>
          <t>Lic. Amanda Noris Hernández</t>
        </is>
      </c>
      <c r="L13" s="1">
        <f>COUNTIF($D$4:$H$16,K13)</f>
        <v/>
      </c>
      <c r="M13" t="inlineStr"/>
    </row>
    <row r="14">
      <c r="A14" s="1" t="inlineStr">
        <is>
          <t>10/06/2026</t>
        </is>
      </c>
      <c r="B14" s="1" t="inlineStr">
        <is>
          <t>11:30</t>
        </is>
      </c>
      <c r="C14" s="1" t="inlineStr">
        <is>
          <t>Jossué Arteche Muñoz</t>
        </is>
      </c>
      <c r="D14" s="1" t="inlineStr">
        <is>
          <t>MSc. Fernando Raúl Rodríguez Flores</t>
        </is>
      </c>
      <c r="E14" s="1" t="inlineStr">
        <is>
          <t>DrC. Alejandro Piad Morfis</t>
        </is>
      </c>
      <c r="F14" s="1" t="inlineStr">
        <is>
          <t>Lic. Rodrigo García Gómez</t>
        </is>
      </c>
      <c r="G14" s="1" t="inlineStr">
        <is>
          <t>Lic. Daniel Abad Fundora</t>
        </is>
      </c>
      <c r="H14" s="1" t="inlineStr">
        <is>
          <t>Lic. Ariel González Gómez</t>
        </is>
      </c>
      <c r="I14" s="1" t="inlineStr">
        <is>
          <t>Salón decanato</t>
        </is>
      </c>
      <c r="J14" t="inlineStr"/>
      <c r="K14" s="1" t="inlineStr">
        <is>
          <t>Lic. Ana Paula González Muñoz</t>
        </is>
      </c>
      <c r="L14" s="1">
        <f>COUNTIF($D$4:$H$16,K14)</f>
        <v/>
      </c>
      <c r="M14" t="inlineStr"/>
    </row>
    <row r="15">
      <c r="A15" s="1" t="inlineStr">
        <is>
          <t>10/06/2026</t>
        </is>
      </c>
      <c r="B15" s="1" t="inlineStr">
        <is>
          <t>12:30</t>
        </is>
      </c>
      <c r="C15" s="1" t="inlineStr">
        <is>
          <t>Amalia Beatriz Valiente Hinojosa</t>
        </is>
      </c>
      <c r="D15" s="1" t="inlineStr">
        <is>
          <t>MSc. Fernando Raúl Rodríguez Flores</t>
        </is>
      </c>
      <c r="E15" s="1" t="inlineStr">
        <is>
          <t>Lic. Javier Rodríguez Sánchez</t>
        </is>
      </c>
      <c r="F15" s="1" t="inlineStr">
        <is>
          <t>Lic. Rocío Ortiz Gancedo</t>
        </is>
      </c>
      <c r="G15" s="1" t="inlineStr">
        <is>
          <t>Lic. Merling Sabater Ramírez</t>
        </is>
      </c>
      <c r="H15" s="1" t="inlineStr">
        <is>
          <t>Lic. Alejandra Monzón Peña</t>
        </is>
      </c>
      <c r="I15" s="1" t="inlineStr">
        <is>
          <t>Salón decanato</t>
        </is>
      </c>
      <c r="J15" t="inlineStr"/>
      <c r="K15" s="1" t="inlineStr">
        <is>
          <t>Lic. Ariel González Gómez</t>
        </is>
      </c>
      <c r="L15" s="1">
        <f>COUNTIF($D$4:$H$16,K15)</f>
        <v/>
      </c>
      <c r="M15" t="inlineStr"/>
    </row>
    <row r="16">
      <c r="A16" s="1" t="inlineStr">
        <is>
          <t>10/06/2026</t>
        </is>
      </c>
      <c r="B16" s="1" t="inlineStr">
        <is>
          <t>13:30</t>
        </is>
      </c>
      <c r="C16" s="1" t="inlineStr">
        <is>
          <t>Luis Ernesto Amat Cárdenas</t>
        </is>
      </c>
      <c r="D16" s="1" t="inlineStr">
        <is>
          <t>Lic. Roberto Marti Cedeño</t>
        </is>
      </c>
      <c r="E16" s="1" t="inlineStr">
        <is>
          <t>DrC. Alejandro Piad Morfis</t>
        </is>
      </c>
      <c r="F16" s="1" t="inlineStr">
        <is>
          <t>Lic. Carlos David Muñiz Chall</t>
        </is>
      </c>
      <c r="G16" s="1" t="inlineStr">
        <is>
          <t>Lic. Alejandro Labourdette-Lantigua Soto</t>
        </is>
      </c>
      <c r="H16" s="1" t="inlineStr">
        <is>
          <t>Lic. Daniel Toledo Martínez</t>
        </is>
      </c>
      <c r="I16" s="1" t="inlineStr">
        <is>
          <t>Salón decanato</t>
        </is>
      </c>
      <c r="J16" t="inlineStr"/>
      <c r="K16" s="1" t="inlineStr">
        <is>
          <t>Lic. Carlos David Muñiz Chall</t>
        </is>
      </c>
      <c r="L16" s="1">
        <f>COUNTIF($D$4:$H$16,K16)</f>
        <v/>
      </c>
      <c r="M16" t="inlineStr"/>
    </row>
    <row r="17">
      <c r="A17">
        <f>"Total defensas:"</f>
        <v/>
      </c>
      <c r="B17" t="inlineStr"/>
      <c r="C17">
        <f>COUNTA($C$4:$C$16)</f>
        <v/>
      </c>
      <c r="D17" t="inlineStr"/>
      <c r="E17" t="inlineStr"/>
      <c r="F17" t="inlineStr"/>
      <c r="G17" t="inlineStr"/>
      <c r="H17" t="inlineStr"/>
      <c r="I17" t="inlineStr"/>
      <c r="J17" t="inlineStr"/>
      <c r="K17" s="1" t="inlineStr">
        <is>
          <t>Lic. Daniel Abad Fundora</t>
        </is>
      </c>
      <c r="L17" s="1">
        <f>COUNTIF($D$4:$H$16,K17)</f>
        <v/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s="1" t="inlineStr">
        <is>
          <t>Lic. Daniel Alejandro Valdés Pérez</t>
        </is>
      </c>
      <c r="L18" s="1">
        <f>COUNTIF($D$4:$H$16,K18)</f>
        <v/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s="1" t="inlineStr">
        <is>
          <t>Lic. Daniel Toledo Martínez</t>
        </is>
      </c>
      <c r="L19" s="1">
        <f>COUNTIF($D$4:$H$16,K19)</f>
        <v/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s="1" t="inlineStr">
        <is>
          <t>Lic. David Guaty Domínguez</t>
        </is>
      </c>
      <c r="L20" s="1">
        <f>COUNTIF($D$4:$H$16,K20)</f>
        <v/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s="1" t="inlineStr">
        <is>
          <t>Lic. Dennis Daniel González Durán</t>
        </is>
      </c>
      <c r="L21" s="1">
        <f>COUNTIF($D$4:$H$16,K21)</f>
        <v/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s="1" t="inlineStr">
        <is>
          <t>Lic. Javier Rodríguez Sánchez</t>
        </is>
      </c>
      <c r="L22" s="1">
        <f>COUNTIF($D$4:$H$16,K22)</f>
        <v/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s="1" t="inlineStr">
        <is>
          <t>Lic. Juan Miguel Pérez Martínez</t>
        </is>
      </c>
      <c r="L23" s="1">
        <f>COUNTIF($D$4:$H$16,K23)</f>
        <v/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s="1" t="inlineStr">
        <is>
          <t>Lic. Kevin Manzano Rodríguez</t>
        </is>
      </c>
      <c r="L24" s="1">
        <f>COUNTIF($D$4:$H$16,K24)</f>
        <v/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s="1" t="inlineStr">
        <is>
          <t>Lic. Lázaro Daniel González Martínez</t>
        </is>
      </c>
      <c r="L25" s="1">
        <f>COUNTIF($D$4:$H$16,K25)</f>
        <v/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s="1" t="inlineStr">
        <is>
          <t>Lic. Merling Sabater Ramírez</t>
        </is>
      </c>
      <c r="L26" s="1">
        <f>COUNTIF($D$4:$H$16,K26)</f>
        <v/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s="1" t="inlineStr">
        <is>
          <t>Lic. Roberto Marti Cedeño</t>
        </is>
      </c>
      <c r="L27" s="1">
        <f>COUNTIF($D$4:$H$16,K27)</f>
        <v/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s="1" t="inlineStr">
        <is>
          <t>Lic. Rocío Ortiz Gancedo</t>
        </is>
      </c>
      <c r="L28" s="1">
        <f>COUNTIF($D$4:$H$16,K28)</f>
        <v/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s="1" t="inlineStr">
        <is>
          <t>Lic. Rodrigo García Gómez</t>
        </is>
      </c>
      <c r="L29" s="1">
        <f>COUNTIF($D$4:$H$16,K29)</f>
        <v/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1" t="inlineStr">
        <is>
          <t>MSc. Aracelys García Armenteros</t>
        </is>
      </c>
      <c r="L30" s="1">
        <f>COUNTIF($D$4:$H$16,K30)</f>
        <v/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s="1" t="inlineStr">
        <is>
          <t>MSc. Carmen T. Fernández Montoto</t>
        </is>
      </c>
      <c r="L31" s="1">
        <f>COUNTIF($D$4:$H$16,K31)</f>
        <v/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s="1" t="inlineStr">
        <is>
          <t>MSc. Celia T. González González</t>
        </is>
      </c>
      <c r="L32" s="1">
        <f>COUNTIF($D$4:$H$16,K32)</f>
        <v/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s="1" t="inlineStr">
        <is>
          <t>MSc. Fernando Raúl Rodríguez Flores</t>
        </is>
      </c>
      <c r="L33" s="1">
        <f>COUNTIF($D$4:$H$16,K33)</f>
        <v/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s="1" t="inlineStr">
        <is>
          <t>MSc. Joanna Campbell Amos</t>
        </is>
      </c>
      <c r="L34" s="1">
        <f>COUNTIF($D$4:$H$16,K34)</f>
        <v/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1" t="inlineStr">
        <is>
          <t>MSc. Wilfredo Morales Lezca</t>
        </is>
      </c>
      <c r="L35" s="1">
        <f>COUNTIF($D$4:$H$16,K35)</f>
        <v/>
      </c>
      <c r="M35" t="inlineStr"/>
    </row>
    <row r="36">
      <c r="K36">
        <f>"Total profesores:"</f>
        <v/>
      </c>
      <c r="L36">
        <f>SUM($L$4:$L$35)</f>
        <v/>
      </c>
    </row>
  </sheetData>
  <conditionalFormatting sqref="K4:K35">
    <cfRule type="expression" priority="1" dxfId="0" stopIfTrue="0">
      <formula>SUMPRODUCT((($D$4:$D$16=$K4)+($E$4:$E$16=$K4)+($F$4:$F$16=$K4)+($G$4:$G$16=$K4)+($H$4:$H$16=$K4))*((COUNTIFS($A$4:$A$16,$A$4:$A$16,$B$4:$B$16,$B$4:$B$16,$D$4:$D$16,$K4)&gt;1)+(COUNTIFS($A$4:$A$16,$A$4:$A$16,$B$4:$B$16,$B$4:$B$16,$E$4:$E$16,$K4)&gt;1)+(COUNTIFS($A$4:$A$16,$A$4:$A$16,$B$4:$B$16,$B$4:$B$16,$F$4:$F$16,$K4)&gt;1)+(COUNTIFS($A$4:$A$16,$A$4:$A$16,$B$4:$B$16,$B$4:$B$16,$G$4:$G$16,$K4)&gt;1)+(COUNTIFS($A$4:$A$16,$A$4:$A$16,$B$4:$B$16,$B$4:$B$16,$H$4:$H$16,$K4)&gt;1)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2026-06-15T05:47:57Z</dcterms:created>
  <dcterms:modified xmlns:dcterms="http://purl.org/dc/terms/" xmlns:xsi="http://www.w3.org/2001/XMLSchema-instance" xsi:type="dcterms:W3CDTF">2026-06-15T05:47:57Z</dcterms:modified>
</cp:coreProperties>
</file>