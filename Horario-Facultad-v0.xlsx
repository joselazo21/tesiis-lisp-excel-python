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111" sheetId="1" state="visible" r:id="rId1"/>
    <sheet xmlns:r="http://schemas.openxmlformats.org/officeDocument/2006/relationships" name="D211" sheetId="2" state="visible" r:id="rId2"/>
    <sheet xmlns:r="http://schemas.openxmlformats.org/officeDocument/2006/relationships" name="D311" sheetId="3" state="visible" r:id="rId3"/>
    <sheet xmlns:r="http://schemas.openxmlformats.org/officeDocument/2006/relationships" name="D411" sheetId="4" state="visible" r:id="rId4"/>
    <sheet xmlns:r="http://schemas.openxmlformats.org/officeDocument/2006/relationships" name="C111" sheetId="5" state="visible" r:id="rId5"/>
    <sheet xmlns:r="http://schemas.openxmlformats.org/officeDocument/2006/relationships" name="C121" sheetId="6" state="visible" r:id="rId6"/>
    <sheet xmlns:r="http://schemas.openxmlformats.org/officeDocument/2006/relationships" name="C122" sheetId="7" state="visible" r:id="rId7"/>
    <sheet xmlns:r="http://schemas.openxmlformats.org/officeDocument/2006/relationships" name="C211" sheetId="8" state="visible" r:id="rId8"/>
    <sheet xmlns:r="http://schemas.openxmlformats.org/officeDocument/2006/relationships" name="C212" sheetId="9" state="visible" r:id="rId9"/>
    <sheet xmlns:r="http://schemas.openxmlformats.org/officeDocument/2006/relationships" name="C311" sheetId="10" state="visible" r:id="rId10"/>
    <sheet xmlns:r="http://schemas.openxmlformats.org/officeDocument/2006/relationships" name="C312" sheetId="11" state="visible" r:id="rId11"/>
    <sheet xmlns:r="http://schemas.openxmlformats.org/officeDocument/2006/relationships" name="C411" sheetId="12" state="visible" r:id="rId12"/>
    <sheet xmlns:r="http://schemas.openxmlformats.org/officeDocument/2006/relationships" name="C412" sheetId="13" state="visible" r:id="rId13"/>
    <sheet xmlns:r="http://schemas.openxmlformats.org/officeDocument/2006/relationships" name="M111" sheetId="14" state="visible" r:id="rId14"/>
    <sheet xmlns:r="http://schemas.openxmlformats.org/officeDocument/2006/relationships" name="M211" sheetId="15" state="visible" r:id="rId15"/>
    <sheet xmlns:r="http://schemas.openxmlformats.org/officeDocument/2006/relationships" name="M311" sheetId="16" state="visible" r:id="rId16"/>
    <sheet xmlns:r="http://schemas.openxmlformats.org/officeDocument/2006/relationships" name="M411" sheetId="17" state="visible" r:id="rId17"/>
    <sheet xmlns:r="http://schemas.openxmlformats.org/officeDocument/2006/relationships" name="Aula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A9D18E"/>
        <bgColor rgb="FFA9D18E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</fills>
  <borders count="8">
    <border>
      <left/>
      <right/>
      <top/>
      <bottom/>
      <diagonal/>
    </border>
    <border>
      <left style="medium">
        <color rgb="FF4F81BD"/>
      </left>
      <right style="medium">
        <color rgb="FF4F81BD"/>
      </right>
      <top style="medium">
        <color rgb="FF4F81BD"/>
      </top>
      <bottom style="medium">
        <color rgb="FF4F81BD"/>
      </bottom>
    </border>
    <border>
      <left style="medium">
        <color rgb="FF4F81BD"/>
      </left>
      <right style="medium">
        <color rgb="FF4F81BD"/>
      </right>
      <top style="medium">
        <color rgb="FF4F81BD"/>
      </top>
    </border>
    <border>
      <left style="medium">
        <color rgb="FF4F81BD"/>
      </left>
      <right style="medium">
        <color rgb="FF4F81BD"/>
      </right>
      <bottom style="medium">
        <color rgb="FF4F81BD"/>
      </bottom>
    </border>
    <border>
      <left style="medium">
        <color rgb="FF4F81BD"/>
      </left>
      <right/>
      <top/>
      <bottom/>
      <diagonal/>
    </border>
    <border>
      <left style="medium">
        <color rgb="FF4F81BD"/>
      </left>
      <right style="medium">
        <color rgb="FF4F81BD"/>
      </right>
      <top/>
      <bottom/>
      <diagonal/>
    </border>
    <border>
      <left style="medium">
        <color rgb="FF4F81BD"/>
      </left>
      <right style="medium">
        <color rgb="FF4F81BD"/>
      </right>
      <top/>
      <bottom style="medium">
        <color rgb="FF4F81BD"/>
      </bottom>
      <diagonal/>
    </border>
    <border>
      <left style="thick">
        <color rgb="FFB3B3B3"/>
      </left>
      <right style="thick">
        <color rgb="FFB3B3B3"/>
      </right>
      <top style="thick">
        <color rgb="FFB3B3B3"/>
      </top>
      <bottom style="thick">
        <color rgb="FFB3B3B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4" borderId="7" pivotButton="0" quotePrefix="0" xfId="0"/>
    <xf numFmtId="0" fontId="0" fillId="0" borderId="7" pivotButton="0" quotePrefix="0" xfId="0"/>
  </cellXfs>
  <cellStyles count="1">
    <cellStyle name="Normal" xfId="0" builtinId="0" hidden="0"/>
  </cellStyles>
  <dxfs count="6">
    <dxf>
      <fill>
        <patternFill patternType="solid">
          <fgColor rgb="FFF4A460"/>
          <bgColor rgb="FFF4A460"/>
        </patternFill>
      </fill>
    </dxf>
    <dxf>
      <fill>
        <patternFill patternType="solid">
          <fgColor rgb="FFFFD700"/>
          <bgColor rgb="FFFFD7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6B6B"/>
          <bgColor rgb="FFFF6B6B"/>
        </patternFill>
      </fill>
    </dxf>
    <dxf>
      <fill>
        <patternFill patternType="solid">
          <fgColor rgb="FFFFA500"/>
          <bgColor rgb="FF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 xml:space="preserve">Grupo </t>
        </is>
      </c>
      <c r="B1" t="inlineStr">
        <is>
          <t>D111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s="1" t="inlineStr"/>
      <c r="C3" s="1" t="inlineStr">
        <is>
          <t>Lunes</t>
        </is>
      </c>
      <c r="D3" s="1" t="inlineStr">
        <is>
          <t>Martes</t>
        </is>
      </c>
      <c r="E3" s="1" t="inlineStr">
        <is>
          <t>Miércoles</t>
        </is>
      </c>
      <c r="F3" s="1" t="inlineStr">
        <is>
          <t>Jueves</t>
        </is>
      </c>
      <c r="G3" s="1" t="inlineStr">
        <is>
          <t>Viernes</t>
        </is>
      </c>
      <c r="H3" t="inlineStr"/>
      <c r="I3" s="2" t="inlineStr">
        <is>
          <t>Abrev</t>
        </is>
      </c>
      <c r="J3" s="1" t="inlineStr">
        <is>
          <t>Asignaturas</t>
        </is>
      </c>
      <c r="K3" s="1" t="inlineStr">
        <is>
          <t>Frec</t>
        </is>
      </c>
      <c r="L3" s="1" t="inlineStr">
        <is>
          <t>Faltan</t>
        </is>
      </c>
      <c r="M3" s="1" t="inlineStr">
        <is>
          <t>Asignadas</t>
        </is>
      </c>
      <c r="N3" t="inlineStr"/>
      <c r="O3" t="inlineStr">
        <is>
          <t>Aulas</t>
        </is>
      </c>
    </row>
    <row r="4">
      <c r="A4" t="inlineStr"/>
      <c r="B4" s="3" t="inlineStr">
        <is>
          <t>Turno 1</t>
        </is>
      </c>
      <c r="C4" s="4" t="inlineStr">
        <is>
          <t>F</t>
        </is>
      </c>
      <c r="D4" s="4" t="inlineStr">
        <is>
          <t>ICD</t>
        </is>
      </c>
      <c r="E4" s="4" t="inlineStr">
        <is>
          <t>AL</t>
        </is>
      </c>
      <c r="F4" s="4" t="inlineStr">
        <is>
          <t>AM I</t>
        </is>
      </c>
      <c r="G4" s="4" t="inlineStr">
        <is>
          <t>AL</t>
        </is>
      </c>
      <c r="H4" t="inlineStr"/>
      <c r="I4" s="2" t="inlineStr">
        <is>
          <t>AL</t>
        </is>
      </c>
      <c r="J4" s="1" t="inlineStr">
        <is>
          <t>Álgebra Lineal</t>
        </is>
      </c>
      <c r="K4" s="1" t="n">
        <v>3</v>
      </c>
      <c r="L4" s="1">
        <f>K4-M4</f>
        <v/>
      </c>
      <c r="M4" s="1">
        <f>COUNTIF($C$4:$G$15,I4)</f>
        <v/>
      </c>
      <c r="N4" t="inlineStr"/>
      <c r="O4" s="1" t="inlineStr">
        <is>
          <t>Aula 6*</t>
        </is>
      </c>
    </row>
    <row r="5">
      <c r="A5" t="inlineStr"/>
      <c r="B5" s="5" t="n"/>
      <c r="C5" s="6" t="inlineStr">
        <is>
          <t>Aula 8</t>
        </is>
      </c>
      <c r="D5" s="6" t="inlineStr">
        <is>
          <t>Aula 7</t>
        </is>
      </c>
      <c r="E5" s="6" t="inlineStr">
        <is>
          <t>Aula 7*</t>
        </is>
      </c>
      <c r="F5" s="6" t="inlineStr">
        <is>
          <t>Aula 7*</t>
        </is>
      </c>
      <c r="G5" s="6" t="inlineStr">
        <is>
          <t>Aula 7*</t>
        </is>
      </c>
      <c r="H5" t="inlineStr"/>
      <c r="I5" s="2" t="inlineStr">
        <is>
          <t>L</t>
        </is>
      </c>
      <c r="J5" s="1" t="inlineStr">
        <is>
          <t>Lógica</t>
        </is>
      </c>
      <c r="K5" s="1" t="n">
        <v>2</v>
      </c>
      <c r="L5" s="1">
        <f>K5-M5</f>
        <v/>
      </c>
      <c r="M5" s="1">
        <f>COUNTIF($C$4:$G$15,I5)</f>
        <v/>
      </c>
      <c r="N5" t="inlineStr"/>
      <c r="O5" s="1" t="inlineStr">
        <is>
          <t>Aula 7</t>
        </is>
      </c>
    </row>
    <row r="6">
      <c r="A6" t="inlineStr"/>
      <c r="B6" s="3" t="inlineStr">
        <is>
          <t>Turno 2</t>
        </is>
      </c>
      <c r="C6" s="4" t="inlineStr">
        <is>
          <t>L</t>
        </is>
      </c>
      <c r="D6" s="4" t="inlineStr">
        <is>
          <t>AL</t>
        </is>
      </c>
      <c r="E6" s="4" t="inlineStr">
        <is>
          <t>EF</t>
        </is>
      </c>
      <c r="F6" s="4" t="inlineStr">
        <is>
          <t>L</t>
        </is>
      </c>
      <c r="G6" s="4" t="inlineStr"/>
      <c r="H6" t="inlineStr"/>
      <c r="I6" s="2" t="inlineStr">
        <is>
          <t>IP</t>
        </is>
      </c>
      <c r="J6" s="1" t="inlineStr">
        <is>
          <t>Introducción a la Programación</t>
        </is>
      </c>
      <c r="K6" s="1" t="n">
        <v>2</v>
      </c>
      <c r="L6" s="1">
        <f>K6-M6</f>
        <v/>
      </c>
      <c r="M6" s="1">
        <f>COUNTIF($C$4:$G$15,I6)</f>
        <v/>
      </c>
      <c r="N6" t="inlineStr"/>
      <c r="O6" s="1" t="inlineStr">
        <is>
          <t>Aula 7*</t>
        </is>
      </c>
    </row>
    <row r="7">
      <c r="A7" t="inlineStr"/>
      <c r="B7" s="5" t="n"/>
      <c r="C7" s="6" t="inlineStr">
        <is>
          <t>Aula 6*</t>
        </is>
      </c>
      <c r="D7" s="6" t="inlineStr">
        <is>
          <t>Aula 6*</t>
        </is>
      </c>
      <c r="E7" s="6" t="inlineStr">
        <is>
          <t>SEDER</t>
        </is>
      </c>
      <c r="F7" s="6" t="inlineStr">
        <is>
          <t>Aula 7</t>
        </is>
      </c>
      <c r="G7" s="6" t="inlineStr"/>
      <c r="H7" t="inlineStr"/>
      <c r="I7" s="2" t="inlineStr">
        <is>
          <t>AM I</t>
        </is>
      </c>
      <c r="J7" s="1" t="inlineStr">
        <is>
          <t>Análisis Matemático I</t>
        </is>
      </c>
      <c r="K7" s="1" t="n">
        <v>2</v>
      </c>
      <c r="L7" s="1">
        <f>K7-M7</f>
        <v/>
      </c>
      <c r="M7" s="1">
        <f>COUNTIF($C$4:$G$15,I7)</f>
        <v/>
      </c>
      <c r="N7" t="inlineStr"/>
      <c r="O7" s="1" t="inlineStr">
        <is>
          <t>Aula 8</t>
        </is>
      </c>
    </row>
    <row r="8">
      <c r="A8" t="inlineStr"/>
      <c r="B8" s="3" t="inlineStr">
        <is>
          <t>Turno 3</t>
        </is>
      </c>
      <c r="C8" s="4" t="inlineStr">
        <is>
          <t>IP</t>
        </is>
      </c>
      <c r="D8" s="4" t="inlineStr">
        <is>
          <t>AM I</t>
        </is>
      </c>
      <c r="E8" s="4" t="inlineStr">
        <is>
          <t>AM I</t>
        </is>
      </c>
      <c r="F8" s="4" t="inlineStr">
        <is>
          <t>IP</t>
        </is>
      </c>
      <c r="G8" s="4" t="inlineStr"/>
      <c r="H8" t="inlineStr"/>
      <c r="I8" s="2" t="inlineStr">
        <is>
          <t>ICD</t>
        </is>
      </c>
      <c r="J8" s="1" t="inlineStr">
        <is>
          <t>Introducción a la Ciencia de Datos</t>
        </is>
      </c>
      <c r="K8" s="1" t="n">
        <v>2</v>
      </c>
      <c r="L8" s="1">
        <f>K8-M8</f>
        <v/>
      </c>
      <c r="M8" s="1">
        <f>COUNTIF($C$4:$G$15,I8)</f>
        <v/>
      </c>
      <c r="N8" t="inlineStr"/>
      <c r="O8" s="1" t="inlineStr">
        <is>
          <t>Lab</t>
        </is>
      </c>
    </row>
    <row r="9">
      <c r="A9" t="inlineStr"/>
      <c r="B9" s="5" t="n"/>
      <c r="C9" s="6" t="inlineStr">
        <is>
          <t>Aula 7</t>
        </is>
      </c>
      <c r="D9" s="6" t="inlineStr">
        <is>
          <t>Aula 6*</t>
        </is>
      </c>
      <c r="E9" s="6" t="inlineStr">
        <is>
          <t>Aula 7*</t>
        </is>
      </c>
      <c r="F9" s="6" t="inlineStr">
        <is>
          <t>Lab</t>
        </is>
      </c>
      <c r="G9" s="6" t="inlineStr"/>
      <c r="H9" t="inlineStr"/>
      <c r="I9" s="2" t="inlineStr">
        <is>
          <t>F</t>
        </is>
      </c>
      <c r="J9" s="1" t="inlineStr">
        <is>
          <t>Filosofía</t>
        </is>
      </c>
      <c r="K9" s="1" t="n">
        <v>2</v>
      </c>
      <c r="L9" s="1">
        <f>K9-M9</f>
        <v/>
      </c>
      <c r="M9" s="1">
        <f>COUNTIF($C$4:$G$15,I9)</f>
        <v/>
      </c>
      <c r="N9" t="inlineStr">
        <is>
          <t>Total:</t>
        </is>
      </c>
      <c r="O9">
        <f>COUNTA(O4:O8)</f>
        <v/>
      </c>
    </row>
    <row r="10">
      <c r="A10" t="inlineStr"/>
      <c r="B10" s="3" t="inlineStr">
        <is>
          <t>Turno 4</t>
        </is>
      </c>
      <c r="C10" s="4" t="inlineStr"/>
      <c r="D10" s="4" t="inlineStr"/>
      <c r="E10" s="4" t="inlineStr"/>
      <c r="F10" s="4" t="inlineStr"/>
      <c r="G10" s="4" t="inlineStr"/>
      <c r="H10" t="inlineStr"/>
      <c r="I10" s="2" t="inlineStr">
        <is>
          <t>EF</t>
        </is>
      </c>
      <c r="J10" s="1" t="inlineStr">
        <is>
          <t>Educación Física I</t>
        </is>
      </c>
      <c r="K10" s="1" t="n">
        <v>2</v>
      </c>
      <c r="L10" s="1">
        <f>K10-M10</f>
        <v/>
      </c>
      <c r="M10" s="1">
        <f>COUNTIF($C$4:$G$15,I10)</f>
        <v/>
      </c>
      <c r="N10" t="inlineStr"/>
      <c r="O10" t="inlineStr"/>
    </row>
    <row r="11">
      <c r="A11" t="inlineStr"/>
      <c r="B11" s="5" t="n"/>
      <c r="C11" s="6" t="inlineStr"/>
      <c r="D11" s="6" t="inlineStr"/>
      <c r="E11" s="6" t="inlineStr"/>
      <c r="F11" s="6" t="inlineStr"/>
      <c r="G11" s="6" t="inlineStr"/>
      <c r="H11" t="inlineStr"/>
      <c r="I11" t="inlineStr"/>
      <c r="J11" t="inlineStr"/>
      <c r="K11" t="inlineStr"/>
      <c r="L11" t="inlineStr">
        <is>
          <t>Total:</t>
        </is>
      </c>
      <c r="M11">
        <f>COUNTA(I4:I10)</f>
        <v/>
      </c>
      <c r="N11" t="inlineStr"/>
      <c r="O11" t="inlineStr"/>
    </row>
    <row r="12">
      <c r="A12" t="inlineStr"/>
      <c r="B12" s="3" t="inlineStr">
        <is>
          <t>Turno 5</t>
        </is>
      </c>
      <c r="C12" s="4" t="inlineStr"/>
      <c r="D12" s="4" t="inlineStr"/>
      <c r="E12" s="4" t="inlineStr"/>
      <c r="F12" s="4" t="inlineStr"/>
      <c r="G12" s="4" t="inlineStr"/>
      <c r="H12" t="inlineStr"/>
      <c r="I12" t="inlineStr"/>
      <c r="J12" t="inlineStr"/>
      <c r="K12" t="inlineStr"/>
      <c r="L12" t="inlineStr">
        <is>
          <t>Σ Frec:</t>
        </is>
      </c>
      <c r="M12">
        <f>SUM(K4:K10)</f>
        <v/>
      </c>
      <c r="N12" t="inlineStr"/>
      <c r="O12" t="inlineStr"/>
    </row>
    <row r="13">
      <c r="A13" t="inlineStr"/>
      <c r="B13" s="5" t="n"/>
      <c r="C13" s="6" t="inlineStr"/>
      <c r="D13" s="6" t="inlineStr"/>
      <c r="E13" s="6" t="inlineStr"/>
      <c r="F13" s="6" t="inlineStr"/>
      <c r="G13" s="6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/>
      <c r="B14" s="3" t="inlineStr">
        <is>
          <t>Turno 6</t>
        </is>
      </c>
      <c r="C14" s="4" t="inlineStr"/>
      <c r="D14" s="4" t="inlineStr"/>
      <c r="E14" s="4" t="inlineStr"/>
      <c r="F14" s="4" t="inlineStr"/>
      <c r="G14" s="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/>
      <c r="B15" s="5" t="n"/>
      <c r="C15" s="6" t="inlineStr"/>
      <c r="D15" s="6" t="inlineStr"/>
      <c r="E15" s="6" t="inlineStr"/>
      <c r="F15" s="6" t="inlineStr"/>
      <c r="G15" s="6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F16" t="inlineStr">
        <is>
          <t>Ocupados:</t>
        </is>
      </c>
      <c r="G16">
        <f>COUNTA(C4:G15)/2</f>
        <v/>
      </c>
    </row>
  </sheetData>
  <mergeCells count="6">
    <mergeCell ref="B4:B5"/>
    <mergeCell ref="B12:B13"/>
    <mergeCell ref="B8:B9"/>
    <mergeCell ref="B10:B11"/>
    <mergeCell ref="B6:B7"/>
    <mergeCell ref="B14:B15"/>
  </mergeCells>
  <conditionalFormatting sqref="C4">
    <cfRule type="expression" priority="1" dxfId="0" stopIfTrue="1">
      <formula>AND(C4&lt;&gt;"", COUNTIF($I4:I10,C4)=0)</formula>
    </cfRule>
  </conditionalFormatting>
  <conditionalFormatting sqref="D4">
    <cfRule type="expression" priority="2" dxfId="0" stopIfTrue="1">
      <formula>AND(D4&lt;&gt;"", COUNTIF($I4:I10,D4)=0)</formula>
    </cfRule>
  </conditionalFormatting>
  <conditionalFormatting sqref="E4">
    <cfRule type="expression" priority="3" dxfId="0" stopIfTrue="1">
      <formula>AND(E4&lt;&gt;"", COUNTIF($I4:I10,E4)=0)</formula>
    </cfRule>
  </conditionalFormatting>
  <conditionalFormatting sqref="F4">
    <cfRule type="expression" priority="4" dxfId="0" stopIfTrue="1">
      <formula>AND(F4&lt;&gt;"", COUNTIF($I4:I10,F4)=0)</formula>
    </cfRule>
  </conditionalFormatting>
  <conditionalFormatting sqref="G4">
    <cfRule type="expression" priority="5" dxfId="0" stopIfTrue="1">
      <formula>AND(G4&lt;&gt;"", COUNTIF($I4:I10,G4)=0)</formula>
    </cfRule>
  </conditionalFormatting>
  <conditionalFormatting sqref="C6">
    <cfRule type="expression" priority="6" dxfId="0" stopIfTrue="1">
      <formula>AND(C6&lt;&gt;"", COUNTIF($I4:I10,C6)=0)</formula>
    </cfRule>
  </conditionalFormatting>
  <conditionalFormatting sqref="D6">
    <cfRule type="expression" priority="7" dxfId="0" stopIfTrue="1">
      <formula>AND(D6&lt;&gt;"", COUNTIF($I4:I10,D6)=0)</formula>
    </cfRule>
  </conditionalFormatting>
  <conditionalFormatting sqref="E6">
    <cfRule type="expression" priority="8" dxfId="0" stopIfTrue="1">
      <formula>AND(E6&lt;&gt;"", COUNTIF($I4:I10,E6)=0)</formula>
    </cfRule>
  </conditionalFormatting>
  <conditionalFormatting sqref="F6">
    <cfRule type="expression" priority="9" dxfId="0" stopIfTrue="1">
      <formula>AND(F6&lt;&gt;"", COUNTIF($I4:I10,F6)=0)</formula>
    </cfRule>
  </conditionalFormatting>
  <conditionalFormatting sqref="G6">
    <cfRule type="expression" priority="10" dxfId="0" stopIfTrue="1">
      <formula>AND(G6&lt;&gt;"", COUNTIF($I4:I10,G6)=0)</formula>
    </cfRule>
  </conditionalFormatting>
  <conditionalFormatting sqref="C8">
    <cfRule type="expression" priority="11" dxfId="0" stopIfTrue="1">
      <formula>AND(C8&lt;&gt;"", COUNTIF($I4:I10,C8)=0)</formula>
    </cfRule>
  </conditionalFormatting>
  <conditionalFormatting sqref="D8">
    <cfRule type="expression" priority="12" dxfId="0" stopIfTrue="1">
      <formula>AND(D8&lt;&gt;"", COUNTIF($I4:I10,D8)=0)</formula>
    </cfRule>
  </conditionalFormatting>
  <conditionalFormatting sqref="E8">
    <cfRule type="expression" priority="13" dxfId="0" stopIfTrue="1">
      <formula>AND(E8&lt;&gt;"", COUNTIF($I4:I10,E8)=0)</formula>
    </cfRule>
  </conditionalFormatting>
  <conditionalFormatting sqref="F8">
    <cfRule type="expression" priority="14" dxfId="0" stopIfTrue="1">
      <formula>AND(F8&lt;&gt;"", COUNTIF($I4:I10,F8)=0)</formula>
    </cfRule>
  </conditionalFormatting>
  <conditionalFormatting sqref="G8">
    <cfRule type="expression" priority="15" dxfId="0" stopIfTrue="1">
      <formula>AND(G8&lt;&gt;"", COUNTIF($I4:I10,G8)=0)</formula>
    </cfRule>
  </conditionalFormatting>
  <conditionalFormatting sqref="C10">
    <cfRule type="expression" priority="16" dxfId="0" stopIfTrue="1">
      <formula>AND(C10&lt;&gt;"", COUNTIF($I4:I10,C10)=0)</formula>
    </cfRule>
  </conditionalFormatting>
  <conditionalFormatting sqref="D10">
    <cfRule type="expression" priority="17" dxfId="0" stopIfTrue="1">
      <formula>AND(D10&lt;&gt;"", COUNTIF($I4:I10,D10)=0)</formula>
    </cfRule>
  </conditionalFormatting>
  <conditionalFormatting sqref="E10">
    <cfRule type="expression" priority="18" dxfId="0" stopIfTrue="1">
      <formula>AND(E10&lt;&gt;"", COUNTIF($I4:I10,E10)=0)</formula>
    </cfRule>
  </conditionalFormatting>
  <conditionalFormatting sqref="F10">
    <cfRule type="expression" priority="19" dxfId="0" stopIfTrue="1">
      <formula>AND(F10&lt;&gt;"", COUNTIF($I4:I10,F10)=0)</formula>
    </cfRule>
  </conditionalFormatting>
  <conditionalFormatting sqref="G10">
    <cfRule type="expression" priority="20" dxfId="0" stopIfTrue="1">
      <formula>AND(G10&lt;&gt;"", COUNTIF($I4:I10,G10)=0)</formula>
    </cfRule>
  </conditionalFormatting>
  <conditionalFormatting sqref="C12">
    <cfRule type="expression" priority="21" dxfId="0" stopIfTrue="1">
      <formula>AND(C12&lt;&gt;"", COUNTIF($I4:I10,C12)=0)</formula>
    </cfRule>
  </conditionalFormatting>
  <conditionalFormatting sqref="D12">
    <cfRule type="expression" priority="22" dxfId="0" stopIfTrue="1">
      <formula>AND(D12&lt;&gt;"", COUNTIF($I4:I10,D12)=0)</formula>
    </cfRule>
  </conditionalFormatting>
  <conditionalFormatting sqref="E12">
    <cfRule type="expression" priority="23" dxfId="0" stopIfTrue="1">
      <formula>AND(E12&lt;&gt;"", COUNTIF($I4:I10,E12)=0)</formula>
    </cfRule>
  </conditionalFormatting>
  <conditionalFormatting sqref="F12">
    <cfRule type="expression" priority="24" dxfId="0" stopIfTrue="1">
      <formula>AND(F12&lt;&gt;"", COUNTIF($I4:I10,F12)=0)</formula>
    </cfRule>
  </conditionalFormatting>
  <conditionalFormatting sqref="G12">
    <cfRule type="expression" priority="25" dxfId="0" stopIfTrue="1">
      <formula>AND(G12&lt;&gt;"", COUNTIF($I4:I10,G12)=0)</formula>
    </cfRule>
  </conditionalFormatting>
  <conditionalFormatting sqref="C14">
    <cfRule type="expression" priority="26" dxfId="0" stopIfTrue="1">
      <formula>AND(C14&lt;&gt;"", COUNTIF($I4:I10,C14)=0)</formula>
    </cfRule>
  </conditionalFormatting>
  <conditionalFormatting sqref="D14">
    <cfRule type="expression" priority="27" dxfId="0" stopIfTrue="1">
      <formula>AND(D14&lt;&gt;"", COUNTIF($I4:I10,D14)=0)</formula>
    </cfRule>
  </conditionalFormatting>
  <conditionalFormatting sqref="E14">
    <cfRule type="expression" priority="28" dxfId="0" stopIfTrue="1">
      <formula>AND(E14&lt;&gt;"", COUNTIF($I4:I10,E14)=0)</formula>
    </cfRule>
  </conditionalFormatting>
  <conditionalFormatting sqref="F14">
    <cfRule type="expression" priority="29" dxfId="0" stopIfTrue="1">
      <formula>AND(F14&lt;&gt;"", COUNTIF($I4:I10,F14)=0)</formula>
    </cfRule>
  </conditionalFormatting>
  <conditionalFormatting sqref="G14">
    <cfRule type="expression" priority="30" dxfId="0" stopIfTrue="1">
      <formula>AND(G14&lt;&gt;"", COUNTIF($I4:I10,G14)=0)</formula>
    </cfRule>
  </conditionalFormatting>
  <conditionalFormatting sqref="C5">
    <cfRule type="expression" priority="31" dxfId="1" stopIfTrue="1">
      <formula>AND(C5&lt;&gt;"", COUNTIF($O4:O8,C5)=0)</formula>
    </cfRule>
    <cfRule type="expression" priority="61" dxfId="2" stopIfTrue="1">
      <formula>AND(C4&lt;&gt;"", C5="")</formula>
    </cfRule>
  </conditionalFormatting>
  <conditionalFormatting sqref="D5">
    <cfRule type="expression" priority="32" dxfId="1" stopIfTrue="1">
      <formula>AND(D5&lt;&gt;"", COUNTIF($O4:O8,D5)=0)</formula>
    </cfRule>
    <cfRule type="expression" priority="62" dxfId="2" stopIfTrue="1">
      <formula>AND(D4&lt;&gt;"", D5="")</formula>
    </cfRule>
  </conditionalFormatting>
  <conditionalFormatting sqref="E5">
    <cfRule type="expression" priority="33" dxfId="1" stopIfTrue="1">
      <formula>AND(E5&lt;&gt;"", COUNTIF($O4:O8,E5)=0)</formula>
    </cfRule>
    <cfRule type="expression" priority="63" dxfId="2" stopIfTrue="1">
      <formula>AND(E4&lt;&gt;"", E5="")</formula>
    </cfRule>
  </conditionalFormatting>
  <conditionalFormatting sqref="F5">
    <cfRule type="expression" priority="34" dxfId="1" stopIfTrue="1">
      <formula>AND(F5&lt;&gt;"", COUNTIF($O4:O8,F5)=0)</formula>
    </cfRule>
    <cfRule type="expression" priority="64" dxfId="2" stopIfTrue="1">
      <formula>AND(F4&lt;&gt;"", F5="")</formula>
    </cfRule>
  </conditionalFormatting>
  <conditionalFormatting sqref="G5">
    <cfRule type="expression" priority="35" dxfId="1" stopIfTrue="1">
      <formula>AND(G5&lt;&gt;"", COUNTIF($O4:O8,G5)=0)</formula>
    </cfRule>
    <cfRule type="expression" priority="65" dxfId="2" stopIfTrue="1">
      <formula>AND(G4&lt;&gt;"", G5="")</formula>
    </cfRule>
  </conditionalFormatting>
  <conditionalFormatting sqref="C7">
    <cfRule type="expression" priority="36" dxfId="1" stopIfTrue="1">
      <formula>AND(C7&lt;&gt;"", COUNTIF($O4:O8,C7)=0)</formula>
    </cfRule>
    <cfRule type="expression" priority="66" dxfId="2" stopIfTrue="1">
      <formula>AND(C6&lt;&gt;"", C7="")</formula>
    </cfRule>
  </conditionalFormatting>
  <conditionalFormatting sqref="D7">
    <cfRule type="expression" priority="37" dxfId="1" stopIfTrue="1">
      <formula>AND(D7&lt;&gt;"", COUNTIF($O4:O8,D7)=0)</formula>
    </cfRule>
    <cfRule type="expression" priority="67" dxfId="2" stopIfTrue="1">
      <formula>AND(D6&lt;&gt;"", D7="")</formula>
    </cfRule>
  </conditionalFormatting>
  <conditionalFormatting sqref="E7">
    <cfRule type="expression" priority="38" dxfId="1" stopIfTrue="1">
      <formula>AND(E7&lt;&gt;"", COUNTIF($O4:O8,E7)=0)</formula>
    </cfRule>
    <cfRule type="expression" priority="68" dxfId="2" stopIfTrue="1">
      <formula>AND(E6&lt;&gt;"", E7="")</formula>
    </cfRule>
  </conditionalFormatting>
  <conditionalFormatting sqref="F7">
    <cfRule type="expression" priority="39" dxfId="1" stopIfTrue="1">
      <formula>AND(F7&lt;&gt;"", COUNTIF($O4:O8,F7)=0)</formula>
    </cfRule>
    <cfRule type="expression" priority="69" dxfId="2" stopIfTrue="1">
      <formula>AND(F6&lt;&gt;"", F7="")</formula>
    </cfRule>
  </conditionalFormatting>
  <conditionalFormatting sqref="G7">
    <cfRule type="expression" priority="40" dxfId="1" stopIfTrue="1">
      <formula>AND(G7&lt;&gt;"", COUNTIF($O4:O8,G7)=0)</formula>
    </cfRule>
    <cfRule type="expression" priority="70" dxfId="2" stopIfTrue="1">
      <formula>AND(G6&lt;&gt;"", G7="")</formula>
    </cfRule>
  </conditionalFormatting>
  <conditionalFormatting sqref="C9">
    <cfRule type="expression" priority="41" dxfId="1" stopIfTrue="1">
      <formula>AND(C9&lt;&gt;"", COUNTIF($O4:O8,C9)=0)</formula>
    </cfRule>
    <cfRule type="expression" priority="71" dxfId="2" stopIfTrue="1">
      <formula>AND(C8&lt;&gt;"", C9="")</formula>
    </cfRule>
  </conditionalFormatting>
  <conditionalFormatting sqref="D9">
    <cfRule type="expression" priority="42" dxfId="1" stopIfTrue="1">
      <formula>AND(D9&lt;&gt;"", COUNTIF($O4:O8,D9)=0)</formula>
    </cfRule>
    <cfRule type="expression" priority="72" dxfId="2" stopIfTrue="1">
      <formula>AND(D8&lt;&gt;"", D9="")</formula>
    </cfRule>
  </conditionalFormatting>
  <conditionalFormatting sqref="E9">
    <cfRule type="expression" priority="43" dxfId="1" stopIfTrue="1">
      <formula>AND(E9&lt;&gt;"", COUNTIF($O4:O8,E9)=0)</formula>
    </cfRule>
    <cfRule type="expression" priority="73" dxfId="2" stopIfTrue="1">
      <formula>AND(E8&lt;&gt;"", E9="")</formula>
    </cfRule>
  </conditionalFormatting>
  <conditionalFormatting sqref="F9">
    <cfRule type="expression" priority="44" dxfId="1" stopIfTrue="1">
      <formula>AND(F9&lt;&gt;"", COUNTIF($O4:O8,F9)=0)</formula>
    </cfRule>
    <cfRule type="expression" priority="74" dxfId="2" stopIfTrue="1">
      <formula>AND(F8&lt;&gt;"", F9="")</formula>
    </cfRule>
  </conditionalFormatting>
  <conditionalFormatting sqref="G9">
    <cfRule type="expression" priority="45" dxfId="1" stopIfTrue="1">
      <formula>AND(G9&lt;&gt;"", COUNTIF($O4:O8,G9)=0)</formula>
    </cfRule>
    <cfRule type="expression" priority="75" dxfId="2" stopIfTrue="1">
      <formula>AND(G8&lt;&gt;"", G9="")</formula>
    </cfRule>
  </conditionalFormatting>
  <conditionalFormatting sqref="C11">
    <cfRule type="expression" priority="46" dxfId="1" stopIfTrue="1">
      <formula>AND(C11&lt;&gt;"", COUNTIF($O4:O8,C11)=0)</formula>
    </cfRule>
    <cfRule type="expression" priority="76" dxfId="2" stopIfTrue="1">
      <formula>AND(C10&lt;&gt;"", C11="")</formula>
    </cfRule>
  </conditionalFormatting>
  <conditionalFormatting sqref="D11">
    <cfRule type="expression" priority="47" dxfId="1" stopIfTrue="1">
      <formula>AND(D11&lt;&gt;"", COUNTIF($O4:O8,D11)=0)</formula>
    </cfRule>
    <cfRule type="expression" priority="77" dxfId="2" stopIfTrue="1">
      <formula>AND(D10&lt;&gt;"", D11="")</formula>
    </cfRule>
  </conditionalFormatting>
  <conditionalFormatting sqref="E11">
    <cfRule type="expression" priority="48" dxfId="1" stopIfTrue="1">
      <formula>AND(E11&lt;&gt;"", COUNTIF($O4:O8,E11)=0)</formula>
    </cfRule>
    <cfRule type="expression" priority="78" dxfId="2" stopIfTrue="1">
      <formula>AND(E10&lt;&gt;"", E11="")</formula>
    </cfRule>
  </conditionalFormatting>
  <conditionalFormatting sqref="F11">
    <cfRule type="expression" priority="49" dxfId="1" stopIfTrue="1">
      <formula>AND(F11&lt;&gt;"", COUNTIF($O4:O8,F11)=0)</formula>
    </cfRule>
    <cfRule type="expression" priority="79" dxfId="2" stopIfTrue="1">
      <formula>AND(F10&lt;&gt;"", F11="")</formula>
    </cfRule>
  </conditionalFormatting>
  <conditionalFormatting sqref="G11">
    <cfRule type="expression" priority="50" dxfId="1" stopIfTrue="1">
      <formula>AND(G11&lt;&gt;"", COUNTIF($O4:O8,G11)=0)</formula>
    </cfRule>
    <cfRule type="expression" priority="80" dxfId="2" stopIfTrue="1">
      <formula>AND(G10&lt;&gt;"", G11="")</formula>
    </cfRule>
  </conditionalFormatting>
  <conditionalFormatting sqref="C13">
    <cfRule type="expression" priority="51" dxfId="1" stopIfTrue="1">
      <formula>AND(C13&lt;&gt;"", COUNTIF($O4:O8,C13)=0)</formula>
    </cfRule>
    <cfRule type="expression" priority="81" dxfId="2" stopIfTrue="1">
      <formula>AND(C12&lt;&gt;"", C13="")</formula>
    </cfRule>
  </conditionalFormatting>
  <conditionalFormatting sqref="D13">
    <cfRule type="expression" priority="52" dxfId="1" stopIfTrue="1">
      <formula>AND(D13&lt;&gt;"", COUNTIF($O4:O8,D13)=0)</formula>
    </cfRule>
    <cfRule type="expression" priority="82" dxfId="2" stopIfTrue="1">
      <formula>AND(D12&lt;&gt;"", D13="")</formula>
    </cfRule>
  </conditionalFormatting>
  <conditionalFormatting sqref="E13">
    <cfRule type="expression" priority="53" dxfId="1" stopIfTrue="1">
      <formula>AND(E13&lt;&gt;"", COUNTIF($O4:O8,E13)=0)</formula>
    </cfRule>
    <cfRule type="expression" priority="83" dxfId="2" stopIfTrue="1">
      <formula>AND(E12&lt;&gt;"", E13="")</formula>
    </cfRule>
  </conditionalFormatting>
  <conditionalFormatting sqref="F13">
    <cfRule type="expression" priority="54" dxfId="1" stopIfTrue="1">
      <formula>AND(F13&lt;&gt;"", COUNTIF($O4:O8,F13)=0)</formula>
    </cfRule>
    <cfRule type="expression" priority="84" dxfId="2" stopIfTrue="1">
      <formula>AND(F12&lt;&gt;"", F13="")</formula>
    </cfRule>
  </conditionalFormatting>
  <conditionalFormatting sqref="G13">
    <cfRule type="expression" priority="55" dxfId="1" stopIfTrue="1">
      <formula>AND(G13&lt;&gt;"", COUNTIF($O4:O8,G13)=0)</formula>
    </cfRule>
    <cfRule type="expression" priority="85" dxfId="2" stopIfTrue="1">
      <formula>AND(G12&lt;&gt;"", G13="")</formula>
    </cfRule>
  </conditionalFormatting>
  <conditionalFormatting sqref="C15">
    <cfRule type="expression" priority="56" dxfId="1" stopIfTrue="1">
      <formula>AND(C15&lt;&gt;"", COUNTIF($O4:O8,C15)=0)</formula>
    </cfRule>
    <cfRule type="expression" priority="86" dxfId="2" stopIfTrue="1">
      <formula>AND(C14&lt;&gt;"", C15="")</formula>
    </cfRule>
  </conditionalFormatting>
  <conditionalFormatting sqref="D15">
    <cfRule type="expression" priority="57" dxfId="1" stopIfTrue="1">
      <formula>AND(D15&lt;&gt;"", COUNTIF($O4:O8,D15)=0)</formula>
    </cfRule>
    <cfRule type="expression" priority="87" dxfId="2" stopIfTrue="1">
      <formula>AND(D14&lt;&gt;"", D15="")</formula>
    </cfRule>
  </conditionalFormatting>
  <conditionalFormatting sqref="E15">
    <cfRule type="expression" priority="58" dxfId="1" stopIfTrue="1">
      <formula>AND(E15&lt;&gt;"", COUNTIF($O4:O8,E15)=0)</formula>
    </cfRule>
    <cfRule type="expression" priority="88" dxfId="2" stopIfTrue="1">
      <formula>AND(E14&lt;&gt;"", E15="")</formula>
    </cfRule>
  </conditionalFormatting>
  <conditionalFormatting sqref="F15">
    <cfRule type="expression" priority="59" dxfId="1" stopIfTrue="1">
      <formula>AND(F15&lt;&gt;"", COUNTIF($O4:O8,F15)=0)</formula>
    </cfRule>
    <cfRule type="expression" priority="89" dxfId="2" stopIfTrue="1">
      <formula>AND(F14&lt;&gt;"", F15="")</formula>
    </cfRule>
  </conditionalFormatting>
  <conditionalFormatting sqref="G15">
    <cfRule type="expression" priority="60" dxfId="1" stopIfTrue="1">
      <formula>AND(G15&lt;&gt;"", COUNTIF($O4:O8,G15)=0)</formula>
    </cfRule>
    <cfRule type="expression" priority="90" dxfId="2" stopIfTrue="1">
      <formula>AND(G14&lt;&gt;"", G15="")</formula>
    </cfRule>
  </conditionalFormatting>
  <conditionalFormatting sqref="J4">
    <cfRule type="expression" priority="91" dxfId="3" stopIfTrue="1">
      <formula>AND(J4&lt;&gt;"", M4&gt;0, L4=0)</formula>
    </cfRule>
    <cfRule type="expression" priority="98" dxfId="4" stopIfTrue="1">
      <formula>AND(J4&lt;&gt;"", M4&gt;0, L4&lt;0)</formula>
    </cfRule>
    <cfRule type="expression" priority="105" dxfId="5" stopIfTrue="1">
      <formula>AND(J4&lt;&gt;"", M4&gt;0, L4&gt;0, L4&lt;K4)</formula>
    </cfRule>
  </conditionalFormatting>
  <conditionalFormatting sqref="J5">
    <cfRule type="expression" priority="92" dxfId="3" stopIfTrue="1">
      <formula>AND(J5&lt;&gt;"", M5&gt;0, L5=0)</formula>
    </cfRule>
    <cfRule type="expression" priority="99" dxfId="4" stopIfTrue="1">
      <formula>AND(J5&lt;&gt;"", M5&gt;0, L5&lt;0)</formula>
    </cfRule>
    <cfRule type="expression" priority="106" dxfId="5" stopIfTrue="1">
      <formula>AND(J5&lt;&gt;"", M5&gt;0, L5&gt;0, L5&lt;K5)</formula>
    </cfRule>
  </conditionalFormatting>
  <conditionalFormatting sqref="J6">
    <cfRule type="expression" priority="93" dxfId="3" stopIfTrue="1">
      <formula>AND(J6&lt;&gt;"", M6&gt;0, L6=0)</formula>
    </cfRule>
    <cfRule type="expression" priority="100" dxfId="4" stopIfTrue="1">
      <formula>AND(J6&lt;&gt;"", M6&gt;0, L6&lt;0)</formula>
    </cfRule>
    <cfRule type="expression" priority="107" dxfId="5" stopIfTrue="1">
      <formula>AND(J6&lt;&gt;"", M6&gt;0, L6&gt;0, L6&lt;K6)</formula>
    </cfRule>
  </conditionalFormatting>
  <conditionalFormatting sqref="J7">
    <cfRule type="expression" priority="94" dxfId="3" stopIfTrue="1">
      <formula>AND(J7&lt;&gt;"", M7&gt;0, L7=0)</formula>
    </cfRule>
    <cfRule type="expression" priority="101" dxfId="4" stopIfTrue="1">
      <formula>AND(J7&lt;&gt;"", M7&gt;0, L7&lt;0)</formula>
    </cfRule>
    <cfRule type="expression" priority="108" dxfId="5" stopIfTrue="1">
      <formula>AND(J7&lt;&gt;"", M7&gt;0, L7&gt;0, L7&lt;K7)</formula>
    </cfRule>
  </conditionalFormatting>
  <conditionalFormatting sqref="J8">
    <cfRule type="expression" priority="95" dxfId="3" stopIfTrue="1">
      <formula>AND(J8&lt;&gt;"", M8&gt;0, L8=0)</formula>
    </cfRule>
    <cfRule type="expression" priority="102" dxfId="4" stopIfTrue="1">
      <formula>AND(J8&lt;&gt;"", M8&gt;0, L8&lt;0)</formula>
    </cfRule>
    <cfRule type="expression" priority="109" dxfId="5" stopIfTrue="1">
      <formula>AND(J8&lt;&gt;"", M8&gt;0, L8&gt;0, L8&lt;K8)</formula>
    </cfRule>
  </conditionalFormatting>
  <conditionalFormatting sqref="J9">
    <cfRule type="expression" priority="96" dxfId="3" stopIfTrue="1">
      <formula>AND(J9&lt;&gt;"", M9&gt;0, L9=0)</formula>
    </cfRule>
    <cfRule type="expression" priority="103" dxfId="4" stopIfTrue="1">
      <formula>AND(J9&lt;&gt;"", M9&gt;0, L9&lt;0)</formula>
    </cfRule>
    <cfRule type="expression" priority="110" dxfId="5" stopIfTrue="1">
      <formula>AND(J9&lt;&gt;"", M9&gt;0, L9&gt;0, L9&lt;K9)</formula>
    </cfRule>
  </conditionalFormatting>
  <conditionalFormatting sqref="J10">
    <cfRule type="expression" priority="97" dxfId="3" stopIfTrue="1">
      <formula>AND(J10&lt;&gt;"", M10&gt;0, L10=0)</formula>
    </cfRule>
    <cfRule type="expression" priority="104" dxfId="4" stopIfTrue="1">
      <formula>AND(J10&lt;&gt;"", M10&gt;0, L10&lt;0)</formula>
    </cfRule>
    <cfRule type="expression" priority="111" dxfId="5" stopIfTrue="1">
      <formula>AND(J10&lt;&gt;"", M10&gt;0, L10&gt;0, L10&lt;K10)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 xml:space="preserve">Grupo </t>
        </is>
      </c>
      <c r="B1" t="inlineStr">
        <is>
          <t>D211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s="1" t="inlineStr"/>
      <c r="C3" s="1" t="inlineStr">
        <is>
          <t>Lunes</t>
        </is>
      </c>
      <c r="D3" s="1" t="inlineStr">
        <is>
          <t>Martes</t>
        </is>
      </c>
      <c r="E3" s="1" t="inlineStr">
        <is>
          <t>Miércoles</t>
        </is>
      </c>
      <c r="F3" s="1" t="inlineStr">
        <is>
          <t>Jueves</t>
        </is>
      </c>
      <c r="G3" s="1" t="inlineStr">
        <is>
          <t>Viernes</t>
        </is>
      </c>
      <c r="H3" t="inlineStr"/>
      <c r="I3" s="2" t="inlineStr">
        <is>
          <t>Abrev</t>
        </is>
      </c>
      <c r="J3" s="1" t="inlineStr">
        <is>
          <t>Asignaturas</t>
        </is>
      </c>
      <c r="K3" s="1" t="inlineStr">
        <is>
          <t>Frec</t>
        </is>
      </c>
      <c r="L3" s="1" t="inlineStr">
        <is>
          <t>Faltan</t>
        </is>
      </c>
      <c r="M3" s="1" t="inlineStr">
        <is>
          <t>Asignadas</t>
        </is>
      </c>
      <c r="N3" t="inlineStr"/>
      <c r="O3" t="inlineStr">
        <is>
          <t>Aulas</t>
        </is>
      </c>
    </row>
    <row r="4">
      <c r="A4" t="inlineStr"/>
      <c r="B4" s="3" t="inlineStr">
        <is>
          <t>Turno 1</t>
        </is>
      </c>
      <c r="C4" s="4" t="inlineStr"/>
      <c r="D4" s="4" t="inlineStr"/>
      <c r="E4" s="4" t="inlineStr"/>
      <c r="F4" s="4" t="inlineStr"/>
      <c r="G4" s="4" t="inlineStr"/>
      <c r="H4" t="inlineStr"/>
      <c r="I4" s="2" t="inlineStr">
        <is>
          <t>MA</t>
        </is>
      </c>
      <c r="J4" s="1" t="inlineStr">
        <is>
          <t>Matemática y Aplicaciones</t>
        </is>
      </c>
      <c r="K4" s="1" t="n">
        <v>2</v>
      </c>
      <c r="L4" s="1">
        <f>K4-M4</f>
        <v/>
      </c>
      <c r="M4" s="1">
        <f>COUNTIF($C$4:$G$15,I4)</f>
        <v/>
      </c>
      <c r="N4" t="inlineStr"/>
      <c r="O4" s="1" t="inlineStr">
        <is>
          <t>c 6</t>
        </is>
      </c>
    </row>
    <row r="5">
      <c r="A5" t="inlineStr"/>
      <c r="B5" s="5" t="n"/>
      <c r="C5" s="6" t="inlineStr"/>
      <c r="D5" s="6" t="inlineStr"/>
      <c r="E5" s="6" t="inlineStr"/>
      <c r="F5" s="6" t="inlineStr"/>
      <c r="G5" s="6" t="inlineStr"/>
      <c r="H5" t="inlineStr"/>
      <c r="I5" s="2" t="inlineStr">
        <is>
          <t>Prb</t>
        </is>
      </c>
      <c r="J5" s="1" t="inlineStr">
        <is>
          <t>Probabilidades</t>
        </is>
      </c>
      <c r="K5" s="1" t="n">
        <v>2</v>
      </c>
      <c r="L5" s="1">
        <f>K5-M5</f>
        <v/>
      </c>
      <c r="M5" s="1">
        <f>COUNTIF($C$4:$G$15,I5)</f>
        <v/>
      </c>
      <c r="N5" t="inlineStr"/>
      <c r="O5" s="1" t="inlineStr">
        <is>
          <t>c 7</t>
        </is>
      </c>
    </row>
    <row r="6">
      <c r="A6" t="inlineStr"/>
      <c r="B6" s="3" t="inlineStr">
        <is>
          <t>Turno 2</t>
        </is>
      </c>
      <c r="C6" s="4" t="inlineStr"/>
      <c r="D6" s="4" t="inlineStr"/>
      <c r="E6" s="4" t="inlineStr"/>
      <c r="F6" s="4" t="inlineStr"/>
      <c r="G6" s="4" t="inlineStr"/>
      <c r="H6" t="inlineStr"/>
      <c r="I6" s="2" t="inlineStr">
        <is>
          <t>BD</t>
        </is>
      </c>
      <c r="J6" s="1" t="inlineStr">
        <is>
          <t>Bases de Datos</t>
        </is>
      </c>
      <c r="K6" s="1" t="n">
        <v>2</v>
      </c>
      <c r="L6" s="1">
        <f>K6-M6</f>
        <v/>
      </c>
      <c r="M6" s="1">
        <f>COUNTIF($C$4:$G$15,I6)</f>
        <v/>
      </c>
      <c r="N6" t="inlineStr">
        <is>
          <t>Total:</t>
        </is>
      </c>
      <c r="O6">
        <f>COUNTA(O4:O5)</f>
        <v/>
      </c>
    </row>
    <row r="7">
      <c r="A7" t="inlineStr"/>
      <c r="B7" s="5" t="n"/>
      <c r="C7" s="6" t="inlineStr"/>
      <c r="D7" s="6" t="inlineStr"/>
      <c r="E7" s="6" t="inlineStr"/>
      <c r="F7" s="6" t="inlineStr"/>
      <c r="G7" s="6" t="inlineStr"/>
      <c r="H7" t="inlineStr"/>
      <c r="I7" s="2" t="inlineStr">
        <is>
          <t>ED</t>
        </is>
      </c>
      <c r="J7" s="1" t="inlineStr">
        <is>
          <t>Estructura de Datos</t>
        </is>
      </c>
      <c r="K7" s="1" t="n">
        <v>2</v>
      </c>
      <c r="L7" s="1">
        <f>K7-M7</f>
        <v/>
      </c>
      <c r="M7" s="1">
        <f>COUNTIF($C$4:$G$15,I7)</f>
        <v/>
      </c>
      <c r="N7" t="inlineStr"/>
      <c r="O7" t="inlineStr"/>
    </row>
    <row r="8">
      <c r="A8" t="inlineStr"/>
      <c r="B8" s="3" t="inlineStr">
        <is>
          <t>Turno 3</t>
        </is>
      </c>
      <c r="C8" s="4" t="inlineStr"/>
      <c r="D8" s="4" t="inlineStr"/>
      <c r="E8" s="4" t="inlineStr"/>
      <c r="F8" s="4" t="inlineStr"/>
      <c r="G8" s="4" t="inlineStr"/>
      <c r="H8" t="inlineStr"/>
      <c r="I8" s="2" t="inlineStr">
        <is>
          <t>VD</t>
        </is>
      </c>
      <c r="J8" s="1" t="inlineStr">
        <is>
          <t>Visualización de Datos</t>
        </is>
      </c>
      <c r="K8" s="1" t="n">
        <v>2</v>
      </c>
      <c r="L8" s="1">
        <f>K8-M8</f>
        <v/>
      </c>
      <c r="M8" s="1">
        <f>COUNTIF($C$4:$G$15,I8)</f>
        <v/>
      </c>
      <c r="N8" t="inlineStr"/>
      <c r="O8" t="inlineStr"/>
    </row>
    <row r="9">
      <c r="A9" t="inlineStr"/>
      <c r="B9" s="5" t="n"/>
      <c r="C9" s="6" t="inlineStr"/>
      <c r="D9" s="6" t="inlineStr"/>
      <c r="E9" s="6" t="inlineStr"/>
      <c r="F9" s="6" t="inlineStr"/>
      <c r="G9" s="6" t="inlineStr"/>
      <c r="H9" t="inlineStr"/>
      <c r="I9" s="2" t="inlineStr">
        <is>
          <t>EP</t>
        </is>
      </c>
      <c r="J9" s="1" t="inlineStr">
        <is>
          <t>Economía Política</t>
        </is>
      </c>
      <c r="K9" s="1" t="n">
        <v>2</v>
      </c>
      <c r="L9" s="1">
        <f>K9-M9</f>
        <v/>
      </c>
      <c r="M9" s="1">
        <f>COUNTIF($C$4:$G$15,I9)</f>
        <v/>
      </c>
      <c r="N9" t="inlineStr"/>
      <c r="O9" t="inlineStr"/>
    </row>
    <row r="10">
      <c r="A10" t="inlineStr"/>
      <c r="B10" s="3" t="inlineStr">
        <is>
          <t>Turno 4</t>
        </is>
      </c>
      <c r="C10" s="4" t="inlineStr">
        <is>
          <t>ED</t>
        </is>
      </c>
      <c r="D10" s="4" t="inlineStr">
        <is>
          <t>BD</t>
        </is>
      </c>
      <c r="E10" s="4" t="inlineStr">
        <is>
          <t>MA (EDO) cp 6 (con</t>
        </is>
      </c>
      <c r="F10" s="4" t="inlineStr">
        <is>
          <t>BD</t>
        </is>
      </c>
      <c r="G10" s="4" t="inlineStr"/>
      <c r="H10" t="inlineStr"/>
      <c r="I10" s="2" t="inlineStr">
        <is>
          <t>EF</t>
        </is>
      </c>
      <c r="J10" s="1" t="inlineStr">
        <is>
          <t>Educación Física III</t>
        </is>
      </c>
      <c r="K10" s="1" t="n">
        <v>2</v>
      </c>
      <c r="L10" s="1">
        <f>K10-M10</f>
        <v/>
      </c>
      <c r="M10" s="1">
        <f>COUNTIF($C$4:$G$15,I10)</f>
        <v/>
      </c>
      <c r="N10" t="inlineStr"/>
      <c r="O10" t="inlineStr"/>
    </row>
    <row r="11">
      <c r="A11" t="inlineStr"/>
      <c r="B11" s="5" t="n"/>
      <c r="C11" s="6" t="inlineStr">
        <is>
          <t>c 7</t>
        </is>
      </c>
      <c r="D11" s="6" t="inlineStr">
        <is>
          <t>c 7</t>
        </is>
      </c>
      <c r="E11" s="6" t="inlineStr">
        <is>
          <t>C211</t>
        </is>
      </c>
      <c r="F11" s="6" t="inlineStr">
        <is>
          <t>cp 7</t>
        </is>
      </c>
      <c r="G11" s="6" t="inlineStr"/>
      <c r="H11" t="inlineStr"/>
      <c r="I11" t="inlineStr"/>
      <c r="J11" t="inlineStr"/>
      <c r="K11" t="inlineStr"/>
      <c r="L11" t="inlineStr">
        <is>
          <t>Total:</t>
        </is>
      </c>
      <c r="M11">
        <f>COUNTA(I4:I10)</f>
        <v/>
      </c>
      <c r="N11" t="inlineStr"/>
      <c r="O11" t="inlineStr"/>
    </row>
    <row r="12">
      <c r="A12" t="inlineStr"/>
      <c r="B12" s="3" t="inlineStr">
        <is>
          <t>Turno 5</t>
        </is>
      </c>
      <c r="C12" s="4" t="inlineStr">
        <is>
          <t>VD</t>
        </is>
      </c>
      <c r="D12" s="4" t="inlineStr">
        <is>
          <t>EP</t>
        </is>
      </c>
      <c r="E12" s="4" t="inlineStr">
        <is>
          <t>EP</t>
        </is>
      </c>
      <c r="F12" s="4" t="inlineStr">
        <is>
          <t>Prb</t>
        </is>
      </c>
      <c r="G12" s="4" t="inlineStr"/>
      <c r="H12" t="inlineStr"/>
      <c r="I12" t="inlineStr"/>
      <c r="J12" t="inlineStr"/>
      <c r="K12" t="inlineStr"/>
      <c r="L12" t="inlineStr">
        <is>
          <t>Σ Frec:</t>
        </is>
      </c>
      <c r="M12">
        <f>SUM(K4:K10)</f>
        <v/>
      </c>
      <c r="N12" t="inlineStr"/>
      <c r="O12" t="inlineStr"/>
    </row>
    <row r="13">
      <c r="A13" t="inlineStr"/>
      <c r="B13" s="5" t="n"/>
      <c r="C13" s="6" t="inlineStr">
        <is>
          <t>c 7</t>
        </is>
      </c>
      <c r="D13" s="6" t="inlineStr">
        <is>
          <t>c 7</t>
        </is>
      </c>
      <c r="E13" s="6" t="inlineStr">
        <is>
          <t>c 7</t>
        </is>
      </c>
      <c r="F13" s="6" t="inlineStr">
        <is>
          <t>cp 7</t>
        </is>
      </c>
      <c r="G13" s="6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/>
      <c r="B14" s="3" t="inlineStr">
        <is>
          <t>Turno 6</t>
        </is>
      </c>
      <c r="C14" s="4" t="inlineStr">
        <is>
          <t>MA</t>
        </is>
      </c>
      <c r="D14" s="4" t="inlineStr">
        <is>
          <t>Prb</t>
        </is>
      </c>
      <c r="E14" s="4" t="inlineStr">
        <is>
          <t>EF 4:45pm a 5:35pm</t>
        </is>
      </c>
      <c r="F14" s="4" t="inlineStr">
        <is>
          <t>ED</t>
        </is>
      </c>
      <c r="G14" s="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/>
      <c r="B15" s="5" t="n"/>
      <c r="C15" s="6" t="inlineStr">
        <is>
          <t>c 6</t>
        </is>
      </c>
      <c r="D15" s="6" t="inlineStr">
        <is>
          <t>c 7</t>
        </is>
      </c>
      <c r="E15" s="6" t="inlineStr"/>
      <c r="F15" s="6" t="inlineStr">
        <is>
          <t>cp 7</t>
        </is>
      </c>
      <c r="G15" s="6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F16" t="inlineStr">
        <is>
          <t>Ocupados:</t>
        </is>
      </c>
      <c r="G16">
        <f>COUNTA(C4:G15)/2</f>
        <v/>
      </c>
    </row>
  </sheetData>
  <mergeCells count="6">
    <mergeCell ref="B4:B5"/>
    <mergeCell ref="B12:B13"/>
    <mergeCell ref="B8:B9"/>
    <mergeCell ref="B10:B11"/>
    <mergeCell ref="B6:B7"/>
    <mergeCell ref="B14:B15"/>
  </mergeCells>
  <conditionalFormatting sqref="C4">
    <cfRule type="expression" priority="1" dxfId="0" stopIfTrue="1">
      <formula>AND(C4&lt;&gt;"", COUNTIF($I4:I10,C4)=0)</formula>
    </cfRule>
  </conditionalFormatting>
  <conditionalFormatting sqref="D4">
    <cfRule type="expression" priority="2" dxfId="0" stopIfTrue="1">
      <formula>AND(D4&lt;&gt;"", COUNTIF($I4:I10,D4)=0)</formula>
    </cfRule>
  </conditionalFormatting>
  <conditionalFormatting sqref="E4">
    <cfRule type="expression" priority="3" dxfId="0" stopIfTrue="1">
      <formula>AND(E4&lt;&gt;"", COUNTIF($I4:I10,E4)=0)</formula>
    </cfRule>
  </conditionalFormatting>
  <conditionalFormatting sqref="F4">
    <cfRule type="expression" priority="4" dxfId="0" stopIfTrue="1">
      <formula>AND(F4&lt;&gt;"", COUNTIF($I4:I10,F4)=0)</formula>
    </cfRule>
  </conditionalFormatting>
  <conditionalFormatting sqref="G4">
    <cfRule type="expression" priority="5" dxfId="0" stopIfTrue="1">
      <formula>AND(G4&lt;&gt;"", COUNTIF($I4:I10,G4)=0)</formula>
    </cfRule>
  </conditionalFormatting>
  <conditionalFormatting sqref="C6">
    <cfRule type="expression" priority="6" dxfId="0" stopIfTrue="1">
      <formula>AND(C6&lt;&gt;"", COUNTIF($I4:I10,C6)=0)</formula>
    </cfRule>
  </conditionalFormatting>
  <conditionalFormatting sqref="D6">
    <cfRule type="expression" priority="7" dxfId="0" stopIfTrue="1">
      <formula>AND(D6&lt;&gt;"", COUNTIF($I4:I10,D6)=0)</formula>
    </cfRule>
  </conditionalFormatting>
  <conditionalFormatting sqref="E6">
    <cfRule type="expression" priority="8" dxfId="0" stopIfTrue="1">
      <formula>AND(E6&lt;&gt;"", COUNTIF($I4:I10,E6)=0)</formula>
    </cfRule>
  </conditionalFormatting>
  <conditionalFormatting sqref="F6">
    <cfRule type="expression" priority="9" dxfId="0" stopIfTrue="1">
      <formula>AND(F6&lt;&gt;"", COUNTIF($I4:I10,F6)=0)</formula>
    </cfRule>
  </conditionalFormatting>
  <conditionalFormatting sqref="G6">
    <cfRule type="expression" priority="10" dxfId="0" stopIfTrue="1">
      <formula>AND(G6&lt;&gt;"", COUNTIF($I4:I10,G6)=0)</formula>
    </cfRule>
  </conditionalFormatting>
  <conditionalFormatting sqref="C8">
    <cfRule type="expression" priority="11" dxfId="0" stopIfTrue="1">
      <formula>AND(C8&lt;&gt;"", COUNTIF($I4:I10,C8)=0)</formula>
    </cfRule>
  </conditionalFormatting>
  <conditionalFormatting sqref="D8">
    <cfRule type="expression" priority="12" dxfId="0" stopIfTrue="1">
      <formula>AND(D8&lt;&gt;"", COUNTIF($I4:I10,D8)=0)</formula>
    </cfRule>
  </conditionalFormatting>
  <conditionalFormatting sqref="E8">
    <cfRule type="expression" priority="13" dxfId="0" stopIfTrue="1">
      <formula>AND(E8&lt;&gt;"", COUNTIF($I4:I10,E8)=0)</formula>
    </cfRule>
  </conditionalFormatting>
  <conditionalFormatting sqref="F8">
    <cfRule type="expression" priority="14" dxfId="0" stopIfTrue="1">
      <formula>AND(F8&lt;&gt;"", COUNTIF($I4:I10,F8)=0)</formula>
    </cfRule>
  </conditionalFormatting>
  <conditionalFormatting sqref="G8">
    <cfRule type="expression" priority="15" dxfId="0" stopIfTrue="1">
      <formula>AND(G8&lt;&gt;"", COUNTIF($I4:I10,G8)=0)</formula>
    </cfRule>
  </conditionalFormatting>
  <conditionalFormatting sqref="C10">
    <cfRule type="expression" priority="16" dxfId="0" stopIfTrue="1">
      <formula>AND(C10&lt;&gt;"", COUNTIF($I4:I10,C10)=0)</formula>
    </cfRule>
  </conditionalFormatting>
  <conditionalFormatting sqref="D10">
    <cfRule type="expression" priority="17" dxfId="0" stopIfTrue="1">
      <formula>AND(D10&lt;&gt;"", COUNTIF($I4:I10,D10)=0)</formula>
    </cfRule>
  </conditionalFormatting>
  <conditionalFormatting sqref="E10">
    <cfRule type="expression" priority="18" dxfId="0" stopIfTrue="1">
      <formula>AND(E10&lt;&gt;"", COUNTIF($I4:I10,E10)=0)</formula>
    </cfRule>
  </conditionalFormatting>
  <conditionalFormatting sqref="F10">
    <cfRule type="expression" priority="19" dxfId="0" stopIfTrue="1">
      <formula>AND(F10&lt;&gt;"", COUNTIF($I4:I10,F10)=0)</formula>
    </cfRule>
  </conditionalFormatting>
  <conditionalFormatting sqref="G10">
    <cfRule type="expression" priority="20" dxfId="0" stopIfTrue="1">
      <formula>AND(G10&lt;&gt;"", COUNTIF($I4:I10,G10)=0)</formula>
    </cfRule>
  </conditionalFormatting>
  <conditionalFormatting sqref="C12">
    <cfRule type="expression" priority="21" dxfId="0" stopIfTrue="1">
      <formula>AND(C12&lt;&gt;"", COUNTIF($I4:I10,C12)=0)</formula>
    </cfRule>
  </conditionalFormatting>
  <conditionalFormatting sqref="D12">
    <cfRule type="expression" priority="22" dxfId="0" stopIfTrue="1">
      <formula>AND(D12&lt;&gt;"", COUNTIF($I4:I10,D12)=0)</formula>
    </cfRule>
  </conditionalFormatting>
  <conditionalFormatting sqref="E12">
    <cfRule type="expression" priority="23" dxfId="0" stopIfTrue="1">
      <formula>AND(E12&lt;&gt;"", COUNTIF($I4:I10,E12)=0)</formula>
    </cfRule>
  </conditionalFormatting>
  <conditionalFormatting sqref="F12">
    <cfRule type="expression" priority="24" dxfId="0" stopIfTrue="1">
      <formula>AND(F12&lt;&gt;"", COUNTIF($I4:I10,F12)=0)</formula>
    </cfRule>
  </conditionalFormatting>
  <conditionalFormatting sqref="G12">
    <cfRule type="expression" priority="25" dxfId="0" stopIfTrue="1">
      <formula>AND(G12&lt;&gt;"", COUNTIF($I4:I10,G12)=0)</formula>
    </cfRule>
  </conditionalFormatting>
  <conditionalFormatting sqref="C14">
    <cfRule type="expression" priority="26" dxfId="0" stopIfTrue="1">
      <formula>AND(C14&lt;&gt;"", COUNTIF($I4:I10,C14)=0)</formula>
    </cfRule>
  </conditionalFormatting>
  <conditionalFormatting sqref="D14">
    <cfRule type="expression" priority="27" dxfId="0" stopIfTrue="1">
      <formula>AND(D14&lt;&gt;"", COUNTIF($I4:I10,D14)=0)</formula>
    </cfRule>
  </conditionalFormatting>
  <conditionalFormatting sqref="E14">
    <cfRule type="expression" priority="28" dxfId="0" stopIfTrue="1">
      <formula>AND(E14&lt;&gt;"", COUNTIF($I4:I10,E14)=0)</formula>
    </cfRule>
  </conditionalFormatting>
  <conditionalFormatting sqref="F14">
    <cfRule type="expression" priority="29" dxfId="0" stopIfTrue="1">
      <formula>AND(F14&lt;&gt;"", COUNTIF($I4:I10,F14)=0)</formula>
    </cfRule>
  </conditionalFormatting>
  <conditionalFormatting sqref="G14">
    <cfRule type="expression" priority="30" dxfId="0" stopIfTrue="1">
      <formula>AND(G14&lt;&gt;"", COUNTIF($I4:I10,G14)=0)</formula>
    </cfRule>
  </conditionalFormatting>
  <conditionalFormatting sqref="C5">
    <cfRule type="expression" priority="31" dxfId="1" stopIfTrue="1">
      <formula>AND(C5&lt;&gt;"", COUNTIF($O4:O5,C5)=0)</formula>
    </cfRule>
    <cfRule type="expression" priority="61" dxfId="2" stopIfTrue="1">
      <formula>AND(C4&lt;&gt;"", C5="")</formula>
    </cfRule>
  </conditionalFormatting>
  <conditionalFormatting sqref="D5">
    <cfRule type="expression" priority="32" dxfId="1" stopIfTrue="1">
      <formula>AND(D5&lt;&gt;"", COUNTIF($O4:O5,D5)=0)</formula>
    </cfRule>
    <cfRule type="expression" priority="62" dxfId="2" stopIfTrue="1">
      <formula>AND(D4&lt;&gt;"", D5="")</formula>
    </cfRule>
  </conditionalFormatting>
  <conditionalFormatting sqref="E5">
    <cfRule type="expression" priority="33" dxfId="1" stopIfTrue="1">
      <formula>AND(E5&lt;&gt;"", COUNTIF($O4:O5,E5)=0)</formula>
    </cfRule>
    <cfRule type="expression" priority="63" dxfId="2" stopIfTrue="1">
      <formula>AND(E4&lt;&gt;"", E5="")</formula>
    </cfRule>
  </conditionalFormatting>
  <conditionalFormatting sqref="F5">
    <cfRule type="expression" priority="34" dxfId="1" stopIfTrue="1">
      <formula>AND(F5&lt;&gt;"", COUNTIF($O4:O5,F5)=0)</formula>
    </cfRule>
    <cfRule type="expression" priority="64" dxfId="2" stopIfTrue="1">
      <formula>AND(F4&lt;&gt;"", F5="")</formula>
    </cfRule>
  </conditionalFormatting>
  <conditionalFormatting sqref="G5">
    <cfRule type="expression" priority="35" dxfId="1" stopIfTrue="1">
      <formula>AND(G5&lt;&gt;"", COUNTIF($O4:O5,G5)=0)</formula>
    </cfRule>
    <cfRule type="expression" priority="65" dxfId="2" stopIfTrue="1">
      <formula>AND(G4&lt;&gt;"", G5="")</formula>
    </cfRule>
  </conditionalFormatting>
  <conditionalFormatting sqref="C7">
    <cfRule type="expression" priority="36" dxfId="1" stopIfTrue="1">
      <formula>AND(C7&lt;&gt;"", COUNTIF($O4:O5,C7)=0)</formula>
    </cfRule>
    <cfRule type="expression" priority="66" dxfId="2" stopIfTrue="1">
      <formula>AND(C6&lt;&gt;"", C7="")</formula>
    </cfRule>
  </conditionalFormatting>
  <conditionalFormatting sqref="D7">
    <cfRule type="expression" priority="37" dxfId="1" stopIfTrue="1">
      <formula>AND(D7&lt;&gt;"", COUNTIF($O4:O5,D7)=0)</formula>
    </cfRule>
    <cfRule type="expression" priority="67" dxfId="2" stopIfTrue="1">
      <formula>AND(D6&lt;&gt;"", D7="")</formula>
    </cfRule>
  </conditionalFormatting>
  <conditionalFormatting sqref="E7">
    <cfRule type="expression" priority="38" dxfId="1" stopIfTrue="1">
      <formula>AND(E7&lt;&gt;"", COUNTIF($O4:O5,E7)=0)</formula>
    </cfRule>
    <cfRule type="expression" priority="68" dxfId="2" stopIfTrue="1">
      <formula>AND(E6&lt;&gt;"", E7="")</formula>
    </cfRule>
  </conditionalFormatting>
  <conditionalFormatting sqref="F7">
    <cfRule type="expression" priority="39" dxfId="1" stopIfTrue="1">
      <formula>AND(F7&lt;&gt;"", COUNTIF($O4:O5,F7)=0)</formula>
    </cfRule>
    <cfRule type="expression" priority="69" dxfId="2" stopIfTrue="1">
      <formula>AND(F6&lt;&gt;"", F7="")</formula>
    </cfRule>
  </conditionalFormatting>
  <conditionalFormatting sqref="G7">
    <cfRule type="expression" priority="40" dxfId="1" stopIfTrue="1">
      <formula>AND(G7&lt;&gt;"", COUNTIF($O4:O5,G7)=0)</formula>
    </cfRule>
    <cfRule type="expression" priority="70" dxfId="2" stopIfTrue="1">
      <formula>AND(G6&lt;&gt;"", G7="")</formula>
    </cfRule>
  </conditionalFormatting>
  <conditionalFormatting sqref="C9">
    <cfRule type="expression" priority="41" dxfId="1" stopIfTrue="1">
      <formula>AND(C9&lt;&gt;"", COUNTIF($O4:O5,C9)=0)</formula>
    </cfRule>
    <cfRule type="expression" priority="71" dxfId="2" stopIfTrue="1">
      <formula>AND(C8&lt;&gt;"", C9="")</formula>
    </cfRule>
  </conditionalFormatting>
  <conditionalFormatting sqref="D9">
    <cfRule type="expression" priority="42" dxfId="1" stopIfTrue="1">
      <formula>AND(D9&lt;&gt;"", COUNTIF($O4:O5,D9)=0)</formula>
    </cfRule>
    <cfRule type="expression" priority="72" dxfId="2" stopIfTrue="1">
      <formula>AND(D8&lt;&gt;"", D9="")</formula>
    </cfRule>
  </conditionalFormatting>
  <conditionalFormatting sqref="E9">
    <cfRule type="expression" priority="43" dxfId="1" stopIfTrue="1">
      <formula>AND(E9&lt;&gt;"", COUNTIF($O4:O5,E9)=0)</formula>
    </cfRule>
    <cfRule type="expression" priority="73" dxfId="2" stopIfTrue="1">
      <formula>AND(E8&lt;&gt;"", E9="")</formula>
    </cfRule>
  </conditionalFormatting>
  <conditionalFormatting sqref="F9">
    <cfRule type="expression" priority="44" dxfId="1" stopIfTrue="1">
      <formula>AND(F9&lt;&gt;"", COUNTIF($O4:O5,F9)=0)</formula>
    </cfRule>
    <cfRule type="expression" priority="74" dxfId="2" stopIfTrue="1">
      <formula>AND(F8&lt;&gt;"", F9="")</formula>
    </cfRule>
  </conditionalFormatting>
  <conditionalFormatting sqref="G9">
    <cfRule type="expression" priority="45" dxfId="1" stopIfTrue="1">
      <formula>AND(G9&lt;&gt;"", COUNTIF($O4:O5,G9)=0)</formula>
    </cfRule>
    <cfRule type="expression" priority="75" dxfId="2" stopIfTrue="1">
      <formula>AND(G8&lt;&gt;"", G9="")</formula>
    </cfRule>
  </conditionalFormatting>
  <conditionalFormatting sqref="C11">
    <cfRule type="expression" priority="46" dxfId="1" stopIfTrue="1">
      <formula>AND(C11&lt;&gt;"", COUNTIF($O4:O5,C11)=0)</formula>
    </cfRule>
    <cfRule type="expression" priority="76" dxfId="2" stopIfTrue="1">
      <formula>AND(C10&lt;&gt;"", C11="")</formula>
    </cfRule>
  </conditionalFormatting>
  <conditionalFormatting sqref="D11">
    <cfRule type="expression" priority="47" dxfId="1" stopIfTrue="1">
      <formula>AND(D11&lt;&gt;"", COUNTIF($O4:O5,D11)=0)</formula>
    </cfRule>
    <cfRule type="expression" priority="77" dxfId="2" stopIfTrue="1">
      <formula>AND(D10&lt;&gt;"", D11="")</formula>
    </cfRule>
  </conditionalFormatting>
  <conditionalFormatting sqref="E11">
    <cfRule type="expression" priority="48" dxfId="1" stopIfTrue="1">
      <formula>AND(E11&lt;&gt;"", COUNTIF($O4:O5,E11)=0)</formula>
    </cfRule>
    <cfRule type="expression" priority="78" dxfId="2" stopIfTrue="1">
      <formula>AND(E10&lt;&gt;"", E11="")</formula>
    </cfRule>
  </conditionalFormatting>
  <conditionalFormatting sqref="F11">
    <cfRule type="expression" priority="49" dxfId="1" stopIfTrue="1">
      <formula>AND(F11&lt;&gt;"", COUNTIF($O4:O5,F11)=0)</formula>
    </cfRule>
    <cfRule type="expression" priority="79" dxfId="2" stopIfTrue="1">
      <formula>AND(F10&lt;&gt;"", F11="")</formula>
    </cfRule>
  </conditionalFormatting>
  <conditionalFormatting sqref="G11">
    <cfRule type="expression" priority="50" dxfId="1" stopIfTrue="1">
      <formula>AND(G11&lt;&gt;"", COUNTIF($O4:O5,G11)=0)</formula>
    </cfRule>
    <cfRule type="expression" priority="80" dxfId="2" stopIfTrue="1">
      <formula>AND(G10&lt;&gt;"", G11="")</formula>
    </cfRule>
  </conditionalFormatting>
  <conditionalFormatting sqref="C13">
    <cfRule type="expression" priority="51" dxfId="1" stopIfTrue="1">
      <formula>AND(C13&lt;&gt;"", COUNTIF($O4:O5,C13)=0)</formula>
    </cfRule>
    <cfRule type="expression" priority="81" dxfId="2" stopIfTrue="1">
      <formula>AND(C12&lt;&gt;"", C13="")</formula>
    </cfRule>
  </conditionalFormatting>
  <conditionalFormatting sqref="D13">
    <cfRule type="expression" priority="52" dxfId="1" stopIfTrue="1">
      <formula>AND(D13&lt;&gt;"", COUNTIF($O4:O5,D13)=0)</formula>
    </cfRule>
    <cfRule type="expression" priority="82" dxfId="2" stopIfTrue="1">
      <formula>AND(D12&lt;&gt;"", D13="")</formula>
    </cfRule>
  </conditionalFormatting>
  <conditionalFormatting sqref="E13">
    <cfRule type="expression" priority="53" dxfId="1" stopIfTrue="1">
      <formula>AND(E13&lt;&gt;"", COUNTIF($O4:O5,E13)=0)</formula>
    </cfRule>
    <cfRule type="expression" priority="83" dxfId="2" stopIfTrue="1">
      <formula>AND(E12&lt;&gt;"", E13="")</formula>
    </cfRule>
  </conditionalFormatting>
  <conditionalFormatting sqref="F13">
    <cfRule type="expression" priority="54" dxfId="1" stopIfTrue="1">
      <formula>AND(F13&lt;&gt;"", COUNTIF($O4:O5,F13)=0)</formula>
    </cfRule>
    <cfRule type="expression" priority="84" dxfId="2" stopIfTrue="1">
      <formula>AND(F12&lt;&gt;"", F13="")</formula>
    </cfRule>
  </conditionalFormatting>
  <conditionalFormatting sqref="G13">
    <cfRule type="expression" priority="55" dxfId="1" stopIfTrue="1">
      <formula>AND(G13&lt;&gt;"", COUNTIF($O4:O5,G13)=0)</formula>
    </cfRule>
    <cfRule type="expression" priority="85" dxfId="2" stopIfTrue="1">
      <formula>AND(G12&lt;&gt;"", G13="")</formula>
    </cfRule>
  </conditionalFormatting>
  <conditionalFormatting sqref="C15">
    <cfRule type="expression" priority="56" dxfId="1" stopIfTrue="1">
      <formula>AND(C15&lt;&gt;"", COUNTIF($O4:O5,C15)=0)</formula>
    </cfRule>
    <cfRule type="expression" priority="86" dxfId="2" stopIfTrue="1">
      <formula>AND(C14&lt;&gt;"", C15="")</formula>
    </cfRule>
  </conditionalFormatting>
  <conditionalFormatting sqref="D15">
    <cfRule type="expression" priority="57" dxfId="1" stopIfTrue="1">
      <formula>AND(D15&lt;&gt;"", COUNTIF($O4:O5,D15)=0)</formula>
    </cfRule>
    <cfRule type="expression" priority="87" dxfId="2" stopIfTrue="1">
      <formula>AND(D14&lt;&gt;"", D15="")</formula>
    </cfRule>
  </conditionalFormatting>
  <conditionalFormatting sqref="E15">
    <cfRule type="expression" priority="58" dxfId="1" stopIfTrue="1">
      <formula>AND(E15&lt;&gt;"", COUNTIF($O4:O5,E15)=0)</formula>
    </cfRule>
    <cfRule type="expression" priority="88" dxfId="2" stopIfTrue="1">
      <formula>AND(E14&lt;&gt;"", E15="")</formula>
    </cfRule>
  </conditionalFormatting>
  <conditionalFormatting sqref="F15">
    <cfRule type="expression" priority="59" dxfId="1" stopIfTrue="1">
      <formula>AND(F15&lt;&gt;"", COUNTIF($O4:O5,F15)=0)</formula>
    </cfRule>
    <cfRule type="expression" priority="89" dxfId="2" stopIfTrue="1">
      <formula>AND(F14&lt;&gt;"", F15="")</formula>
    </cfRule>
  </conditionalFormatting>
  <conditionalFormatting sqref="G15">
    <cfRule type="expression" priority="60" dxfId="1" stopIfTrue="1">
      <formula>AND(G15&lt;&gt;"", COUNTIF($O4:O5,G15)=0)</formula>
    </cfRule>
    <cfRule type="expression" priority="90" dxfId="2" stopIfTrue="1">
      <formula>AND(G14&lt;&gt;"", G15="")</formula>
    </cfRule>
  </conditionalFormatting>
  <conditionalFormatting sqref="J4">
    <cfRule type="expression" priority="91" dxfId="3" stopIfTrue="1">
      <formula>AND(J4&lt;&gt;"", M4&gt;0, L4=0)</formula>
    </cfRule>
    <cfRule type="expression" priority="98" dxfId="4" stopIfTrue="1">
      <formula>AND(J4&lt;&gt;"", M4&gt;0, L4&lt;0)</formula>
    </cfRule>
    <cfRule type="expression" priority="105" dxfId="5" stopIfTrue="1">
      <formula>AND(J4&lt;&gt;"", M4&gt;0, L4&gt;0, L4&lt;K4)</formula>
    </cfRule>
  </conditionalFormatting>
  <conditionalFormatting sqref="J5">
    <cfRule type="expression" priority="92" dxfId="3" stopIfTrue="1">
      <formula>AND(J5&lt;&gt;"", M5&gt;0, L5=0)</formula>
    </cfRule>
    <cfRule type="expression" priority="99" dxfId="4" stopIfTrue="1">
      <formula>AND(J5&lt;&gt;"", M5&gt;0, L5&lt;0)</formula>
    </cfRule>
    <cfRule type="expression" priority="106" dxfId="5" stopIfTrue="1">
      <formula>AND(J5&lt;&gt;"", M5&gt;0, L5&gt;0, L5&lt;K5)</formula>
    </cfRule>
  </conditionalFormatting>
  <conditionalFormatting sqref="J6">
    <cfRule type="expression" priority="93" dxfId="3" stopIfTrue="1">
      <formula>AND(J6&lt;&gt;"", M6&gt;0, L6=0)</formula>
    </cfRule>
    <cfRule type="expression" priority="100" dxfId="4" stopIfTrue="1">
      <formula>AND(J6&lt;&gt;"", M6&gt;0, L6&lt;0)</formula>
    </cfRule>
    <cfRule type="expression" priority="107" dxfId="5" stopIfTrue="1">
      <formula>AND(J6&lt;&gt;"", M6&gt;0, L6&gt;0, L6&lt;K6)</formula>
    </cfRule>
  </conditionalFormatting>
  <conditionalFormatting sqref="J7">
    <cfRule type="expression" priority="94" dxfId="3" stopIfTrue="1">
      <formula>AND(J7&lt;&gt;"", M7&gt;0, L7=0)</formula>
    </cfRule>
    <cfRule type="expression" priority="101" dxfId="4" stopIfTrue="1">
      <formula>AND(J7&lt;&gt;"", M7&gt;0, L7&lt;0)</formula>
    </cfRule>
    <cfRule type="expression" priority="108" dxfId="5" stopIfTrue="1">
      <formula>AND(J7&lt;&gt;"", M7&gt;0, L7&gt;0, L7&lt;K7)</formula>
    </cfRule>
  </conditionalFormatting>
  <conditionalFormatting sqref="J8">
    <cfRule type="expression" priority="95" dxfId="3" stopIfTrue="1">
      <formula>AND(J8&lt;&gt;"", M8&gt;0, L8=0)</formula>
    </cfRule>
    <cfRule type="expression" priority="102" dxfId="4" stopIfTrue="1">
      <formula>AND(J8&lt;&gt;"", M8&gt;0, L8&lt;0)</formula>
    </cfRule>
    <cfRule type="expression" priority="109" dxfId="5" stopIfTrue="1">
      <formula>AND(J8&lt;&gt;"", M8&gt;0, L8&gt;0, L8&lt;K8)</formula>
    </cfRule>
  </conditionalFormatting>
  <conditionalFormatting sqref="J9">
    <cfRule type="expression" priority="96" dxfId="3" stopIfTrue="1">
      <formula>AND(J9&lt;&gt;"", M9&gt;0, L9=0)</formula>
    </cfRule>
    <cfRule type="expression" priority="103" dxfId="4" stopIfTrue="1">
      <formula>AND(J9&lt;&gt;"", M9&gt;0, L9&lt;0)</formula>
    </cfRule>
    <cfRule type="expression" priority="110" dxfId="5" stopIfTrue="1">
      <formula>AND(J9&lt;&gt;"", M9&gt;0, L9&gt;0, L9&lt;K9)</formula>
    </cfRule>
  </conditionalFormatting>
  <conditionalFormatting sqref="J10">
    <cfRule type="expression" priority="97" dxfId="3" stopIfTrue="1">
      <formula>AND(J10&lt;&gt;"", M10&gt;0, L10=0)</formula>
    </cfRule>
    <cfRule type="expression" priority="104" dxfId="4" stopIfTrue="1">
      <formula>AND(J10&lt;&gt;"", M10&gt;0, L10&lt;0)</formula>
    </cfRule>
    <cfRule type="expression" priority="111" dxfId="5" stopIfTrue="1">
      <formula>AND(J10&lt;&gt;"", M10&gt;0, L10&gt;0, L10&lt;K10)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 xml:space="preserve">Grupo </t>
        </is>
      </c>
      <c r="B1" t="inlineStr">
        <is>
          <t>D311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s="1" t="inlineStr"/>
      <c r="C3" s="1" t="inlineStr">
        <is>
          <t>Lunes</t>
        </is>
      </c>
      <c r="D3" s="1" t="inlineStr">
        <is>
          <t>Martes</t>
        </is>
      </c>
      <c r="E3" s="1" t="inlineStr">
        <is>
          <t>Miércoles</t>
        </is>
      </c>
      <c r="F3" s="1" t="inlineStr">
        <is>
          <t>Jueves</t>
        </is>
      </c>
      <c r="G3" s="1" t="inlineStr">
        <is>
          <t>Viernes</t>
        </is>
      </c>
      <c r="H3" t="inlineStr"/>
      <c r="I3" s="2" t="inlineStr">
        <is>
          <t>Abrev</t>
        </is>
      </c>
      <c r="J3" s="1" t="inlineStr">
        <is>
          <t>Asignaturas</t>
        </is>
      </c>
      <c r="K3" s="1" t="inlineStr">
        <is>
          <t>Frec</t>
        </is>
      </c>
      <c r="L3" s="1" t="inlineStr">
        <is>
          <t>Faltan</t>
        </is>
      </c>
      <c r="M3" s="1" t="inlineStr">
        <is>
          <t>Asignadas</t>
        </is>
      </c>
      <c r="N3" t="inlineStr"/>
      <c r="O3" t="inlineStr">
        <is>
          <t>Aulas</t>
        </is>
      </c>
    </row>
    <row r="4">
      <c r="A4" t="inlineStr"/>
      <c r="B4" s="3" t="inlineStr">
        <is>
          <t>Turno 1</t>
        </is>
      </c>
      <c r="C4" s="4" t="inlineStr">
        <is>
          <t>AE2</t>
        </is>
      </c>
      <c r="D4" s="4" t="inlineStr">
        <is>
          <t>RN</t>
        </is>
      </c>
      <c r="E4" s="4" t="inlineStr">
        <is>
          <t>TP 4</t>
        </is>
      </c>
      <c r="F4" s="4" t="inlineStr"/>
      <c r="G4" s="4" t="inlineStr"/>
      <c r="H4" t="inlineStr"/>
      <c r="I4" s="2" t="inlineStr">
        <is>
          <t>AE2</t>
        </is>
      </c>
      <c r="J4" s="1" t="inlineStr">
        <is>
          <t>Análisis Estadístico II</t>
        </is>
      </c>
      <c r="K4" s="1" t="n">
        <v>2</v>
      </c>
      <c r="L4" s="1">
        <f>K4-M4</f>
        <v/>
      </c>
      <c r="M4" s="1">
        <f>COUNTIF($C$4:$G$15,I4)</f>
        <v/>
      </c>
      <c r="N4" t="inlineStr"/>
      <c r="O4" s="1" t="inlineStr">
        <is>
          <t>c 2</t>
        </is>
      </c>
    </row>
    <row r="5">
      <c r="A5" t="inlineStr"/>
      <c r="B5" s="5" t="n"/>
      <c r="C5" s="6" t="inlineStr">
        <is>
          <t>c 2</t>
        </is>
      </c>
      <c r="D5" s="6" t="inlineStr">
        <is>
          <t>c 2</t>
        </is>
      </c>
      <c r="E5" s="6" t="inlineStr"/>
      <c r="F5" s="6" t="inlineStr"/>
      <c r="G5" s="6" t="inlineStr"/>
      <c r="H5" t="inlineStr"/>
      <c r="I5" s="2" t="inlineStr">
        <is>
          <t>MDE</t>
        </is>
      </c>
      <c r="J5" s="1" t="inlineStr">
        <is>
          <t>Muestreo y Diseño de Experimentos</t>
        </is>
      </c>
      <c r="K5" s="1" t="n">
        <v>2</v>
      </c>
      <c r="L5" s="1">
        <f>K5-M5</f>
        <v/>
      </c>
      <c r="M5" s="1">
        <f>COUNTIF($C$4:$G$15,I5)</f>
        <v/>
      </c>
      <c r="N5" t="inlineStr"/>
      <c r="O5" s="1" t="inlineStr">
        <is>
          <t>c 4</t>
        </is>
      </c>
    </row>
    <row r="6">
      <c r="A6" t="inlineStr"/>
      <c r="B6" s="3" t="inlineStr">
        <is>
          <t>Turno 2</t>
        </is>
      </c>
      <c r="C6" s="4" t="inlineStr">
        <is>
          <t>MDE</t>
        </is>
      </c>
      <c r="D6" s="4" t="inlineStr">
        <is>
          <t>PL</t>
        </is>
      </c>
      <c r="E6" s="4" t="inlineStr">
        <is>
          <t>MDE</t>
        </is>
      </c>
      <c r="F6" s="4" t="inlineStr">
        <is>
          <t>RN</t>
        </is>
      </c>
      <c r="G6" s="4" t="inlineStr"/>
      <c r="H6" t="inlineStr"/>
      <c r="I6" s="2" t="inlineStr">
        <is>
          <t>RN</t>
        </is>
      </c>
      <c r="J6" s="1" t="inlineStr">
        <is>
          <t>Redes Neuronales</t>
        </is>
      </c>
      <c r="K6" s="1" t="n">
        <v>2</v>
      </c>
      <c r="L6" s="1">
        <f>K6-M6</f>
        <v/>
      </c>
      <c r="M6" s="1">
        <f>COUNTIF($C$4:$G$15,I6)</f>
        <v/>
      </c>
      <c r="N6" t="inlineStr"/>
      <c r="O6" s="1" t="inlineStr">
        <is>
          <t>cp Lab2</t>
        </is>
      </c>
    </row>
    <row r="7">
      <c r="A7" t="inlineStr"/>
      <c r="B7" s="5" t="n"/>
      <c r="C7" s="6" t="inlineStr">
        <is>
          <t>c 2</t>
        </is>
      </c>
      <c r="D7" s="6" t="inlineStr">
        <is>
          <t>c 2</t>
        </is>
      </c>
      <c r="E7" s="6" t="inlineStr">
        <is>
          <t>cp 2</t>
        </is>
      </c>
      <c r="F7" s="6" t="inlineStr">
        <is>
          <t>cp Lab2</t>
        </is>
      </c>
      <c r="G7" s="6" t="inlineStr"/>
      <c r="H7" t="inlineStr"/>
      <c r="I7" s="2" t="inlineStr">
        <is>
          <t>PL</t>
        </is>
      </c>
      <c r="J7" s="1" t="inlineStr">
        <is>
          <t>Procesamiento del Lenguaje</t>
        </is>
      </c>
      <c r="K7" s="1" t="n">
        <v>2</v>
      </c>
      <c r="L7" s="1">
        <f>K7-M7</f>
        <v/>
      </c>
      <c r="M7" s="1">
        <f>COUNTIF($C$4:$G$15,I7)</f>
        <v/>
      </c>
      <c r="N7" t="inlineStr">
        <is>
          <t>Total:</t>
        </is>
      </c>
      <c r="O7">
        <f>COUNTA(O4:O6)</f>
        <v/>
      </c>
    </row>
    <row r="8">
      <c r="A8" t="inlineStr"/>
      <c r="B8" s="3" t="inlineStr">
        <is>
          <t>Turno 3</t>
        </is>
      </c>
      <c r="C8" s="4" t="inlineStr">
        <is>
          <t>PGVD</t>
        </is>
      </c>
      <c r="D8" s="4" t="inlineStr">
        <is>
          <t>TP</t>
        </is>
      </c>
      <c r="E8" s="4" t="inlineStr">
        <is>
          <t>AE2</t>
        </is>
      </c>
      <c r="F8" s="4" t="inlineStr">
        <is>
          <t>PGVD</t>
        </is>
      </c>
      <c r="G8" s="4" t="inlineStr"/>
      <c r="H8" t="inlineStr"/>
      <c r="I8" s="2" t="inlineStr">
        <is>
          <t>PGVD</t>
        </is>
      </c>
      <c r="J8" s="1" t="inlineStr">
        <is>
          <t>Procesamiento de Grandes Volúmenes de Datos</t>
        </is>
      </c>
      <c r="K8" s="1" t="n">
        <v>2</v>
      </c>
      <c r="L8" s="1">
        <f>K8-M8</f>
        <v/>
      </c>
      <c r="M8" s="1">
        <f>COUNTIF($C$4:$G$15,I8)</f>
        <v/>
      </c>
      <c r="N8" t="inlineStr"/>
      <c r="O8" t="inlineStr"/>
    </row>
    <row r="9">
      <c r="A9" t="inlineStr"/>
      <c r="B9" s="5" t="n"/>
      <c r="C9" s="6" t="inlineStr">
        <is>
          <t>c 2</t>
        </is>
      </c>
      <c r="D9" s="6" t="inlineStr">
        <is>
          <t>c 4</t>
        </is>
      </c>
      <c r="E9" s="6" t="inlineStr">
        <is>
          <t>cp Lab2</t>
        </is>
      </c>
      <c r="F9" s="6" t="inlineStr">
        <is>
          <t>cp 7</t>
        </is>
      </c>
      <c r="G9" s="6" t="inlineStr"/>
      <c r="H9" t="inlineStr"/>
      <c r="I9" s="2" t="inlineStr">
        <is>
          <t>TP</t>
        </is>
      </c>
      <c r="J9" s="1" t="inlineStr">
        <is>
          <t>Teoría Política</t>
        </is>
      </c>
      <c r="K9" s="1" t="n">
        <v>2</v>
      </c>
      <c r="L9" s="1">
        <f>K9-M9</f>
        <v/>
      </c>
      <c r="M9" s="1">
        <f>COUNTIF($C$4:$G$15,I9)</f>
        <v/>
      </c>
      <c r="N9" t="inlineStr"/>
      <c r="O9" t="inlineStr"/>
    </row>
    <row r="10">
      <c r="A10" t="inlineStr"/>
      <c r="B10" s="3" t="inlineStr">
        <is>
          <t>Turno 4</t>
        </is>
      </c>
      <c r="C10" s="4" t="inlineStr"/>
      <c r="D10" s="4" t="inlineStr"/>
      <c r="E10" s="4" t="inlineStr"/>
      <c r="F10" s="4" t="inlineStr"/>
      <c r="G10" s="4" t="inlineStr"/>
      <c r="H10" t="inlineStr"/>
      <c r="I10" t="inlineStr"/>
      <c r="J10" t="inlineStr"/>
      <c r="K10" t="inlineStr"/>
      <c r="L10" t="inlineStr">
        <is>
          <t>Total:</t>
        </is>
      </c>
      <c r="M10">
        <f>COUNTA(I4:I9)</f>
        <v/>
      </c>
      <c r="N10" t="inlineStr"/>
      <c r="O10" t="inlineStr"/>
    </row>
    <row r="11">
      <c r="A11" t="inlineStr"/>
      <c r="B11" s="5" t="n"/>
      <c r="C11" s="6" t="inlineStr"/>
      <c r="D11" s="6" t="inlineStr"/>
      <c r="E11" s="6" t="inlineStr"/>
      <c r="F11" s="6" t="inlineStr"/>
      <c r="G11" s="6" t="inlineStr"/>
      <c r="H11" t="inlineStr"/>
      <c r="I11" t="inlineStr"/>
      <c r="J11" t="inlineStr"/>
      <c r="K11" t="inlineStr"/>
      <c r="L11" t="inlineStr">
        <is>
          <t>Σ Frec:</t>
        </is>
      </c>
      <c r="M11">
        <f>SUM(K4:K9)</f>
        <v/>
      </c>
      <c r="N11" t="inlineStr"/>
      <c r="O11" t="inlineStr"/>
    </row>
    <row r="12">
      <c r="A12" t="inlineStr"/>
      <c r="B12" s="3" t="inlineStr">
        <is>
          <t>Turno 5</t>
        </is>
      </c>
      <c r="C12" s="4" t="inlineStr"/>
      <c r="D12" s="4" t="inlineStr"/>
      <c r="E12" s="4" t="inlineStr"/>
      <c r="F12" s="4" t="inlineStr"/>
      <c r="G12" s="4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/>
      <c r="B13" s="5" t="n"/>
      <c r="C13" s="6" t="inlineStr"/>
      <c r="D13" s="6" t="inlineStr"/>
      <c r="E13" s="6" t="inlineStr"/>
      <c r="F13" s="6" t="inlineStr"/>
      <c r="G13" s="6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/>
      <c r="B14" s="3" t="inlineStr">
        <is>
          <t>Turno 6</t>
        </is>
      </c>
      <c r="C14" s="4" t="inlineStr"/>
      <c r="D14" s="4" t="inlineStr"/>
      <c r="E14" s="4" t="inlineStr"/>
      <c r="F14" s="4" t="inlineStr"/>
      <c r="G14" s="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/>
      <c r="B15" s="5" t="n"/>
      <c r="C15" s="6" t="inlineStr"/>
      <c r="D15" s="6" t="inlineStr"/>
      <c r="E15" s="6" t="inlineStr"/>
      <c r="F15" s="6" t="inlineStr"/>
      <c r="G15" s="6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F16" t="inlineStr">
        <is>
          <t>Ocupados:</t>
        </is>
      </c>
      <c r="G16">
        <f>COUNTA(C4:G15)/2</f>
        <v/>
      </c>
    </row>
  </sheetData>
  <mergeCells count="6">
    <mergeCell ref="B4:B5"/>
    <mergeCell ref="B12:B13"/>
    <mergeCell ref="B8:B9"/>
    <mergeCell ref="B10:B11"/>
    <mergeCell ref="B6:B7"/>
    <mergeCell ref="B14:B15"/>
  </mergeCells>
  <conditionalFormatting sqref="C4">
    <cfRule type="expression" priority="1" dxfId="0" stopIfTrue="1">
      <formula>AND(C4&lt;&gt;"", COUNTIF($I4:I9,C4)=0)</formula>
    </cfRule>
  </conditionalFormatting>
  <conditionalFormatting sqref="D4">
    <cfRule type="expression" priority="2" dxfId="0" stopIfTrue="1">
      <formula>AND(D4&lt;&gt;"", COUNTIF($I4:I9,D4)=0)</formula>
    </cfRule>
  </conditionalFormatting>
  <conditionalFormatting sqref="E4">
    <cfRule type="expression" priority="3" dxfId="0" stopIfTrue="1">
      <formula>AND(E4&lt;&gt;"", COUNTIF($I4:I9,E4)=0)</formula>
    </cfRule>
  </conditionalFormatting>
  <conditionalFormatting sqref="F4">
    <cfRule type="expression" priority="4" dxfId="0" stopIfTrue="1">
      <formula>AND(F4&lt;&gt;"", COUNTIF($I4:I9,F4)=0)</formula>
    </cfRule>
  </conditionalFormatting>
  <conditionalFormatting sqref="G4">
    <cfRule type="expression" priority="5" dxfId="0" stopIfTrue="1">
      <formula>AND(G4&lt;&gt;"", COUNTIF($I4:I9,G4)=0)</formula>
    </cfRule>
  </conditionalFormatting>
  <conditionalFormatting sqref="C6">
    <cfRule type="expression" priority="6" dxfId="0" stopIfTrue="1">
      <formula>AND(C6&lt;&gt;"", COUNTIF($I4:I9,C6)=0)</formula>
    </cfRule>
  </conditionalFormatting>
  <conditionalFormatting sqref="D6">
    <cfRule type="expression" priority="7" dxfId="0" stopIfTrue="1">
      <formula>AND(D6&lt;&gt;"", COUNTIF($I4:I9,D6)=0)</formula>
    </cfRule>
  </conditionalFormatting>
  <conditionalFormatting sqref="E6">
    <cfRule type="expression" priority="8" dxfId="0" stopIfTrue="1">
      <formula>AND(E6&lt;&gt;"", COUNTIF($I4:I9,E6)=0)</formula>
    </cfRule>
  </conditionalFormatting>
  <conditionalFormatting sqref="F6">
    <cfRule type="expression" priority="9" dxfId="0" stopIfTrue="1">
      <formula>AND(F6&lt;&gt;"", COUNTIF($I4:I9,F6)=0)</formula>
    </cfRule>
  </conditionalFormatting>
  <conditionalFormatting sqref="G6">
    <cfRule type="expression" priority="10" dxfId="0" stopIfTrue="1">
      <formula>AND(G6&lt;&gt;"", COUNTIF($I4:I9,G6)=0)</formula>
    </cfRule>
  </conditionalFormatting>
  <conditionalFormatting sqref="C8">
    <cfRule type="expression" priority="11" dxfId="0" stopIfTrue="1">
      <formula>AND(C8&lt;&gt;"", COUNTIF($I4:I9,C8)=0)</formula>
    </cfRule>
  </conditionalFormatting>
  <conditionalFormatting sqref="D8">
    <cfRule type="expression" priority="12" dxfId="0" stopIfTrue="1">
      <formula>AND(D8&lt;&gt;"", COUNTIF($I4:I9,D8)=0)</formula>
    </cfRule>
  </conditionalFormatting>
  <conditionalFormatting sqref="E8">
    <cfRule type="expression" priority="13" dxfId="0" stopIfTrue="1">
      <formula>AND(E8&lt;&gt;"", COUNTIF($I4:I9,E8)=0)</formula>
    </cfRule>
  </conditionalFormatting>
  <conditionalFormatting sqref="F8">
    <cfRule type="expression" priority="14" dxfId="0" stopIfTrue="1">
      <formula>AND(F8&lt;&gt;"", COUNTIF($I4:I9,F8)=0)</formula>
    </cfRule>
  </conditionalFormatting>
  <conditionalFormatting sqref="G8">
    <cfRule type="expression" priority="15" dxfId="0" stopIfTrue="1">
      <formula>AND(G8&lt;&gt;"", COUNTIF($I4:I9,G8)=0)</formula>
    </cfRule>
  </conditionalFormatting>
  <conditionalFormatting sqref="C10">
    <cfRule type="expression" priority="16" dxfId="0" stopIfTrue="1">
      <formula>AND(C10&lt;&gt;"", COUNTIF($I4:I9,C10)=0)</formula>
    </cfRule>
  </conditionalFormatting>
  <conditionalFormatting sqref="D10">
    <cfRule type="expression" priority="17" dxfId="0" stopIfTrue="1">
      <formula>AND(D10&lt;&gt;"", COUNTIF($I4:I9,D10)=0)</formula>
    </cfRule>
  </conditionalFormatting>
  <conditionalFormatting sqref="E10">
    <cfRule type="expression" priority="18" dxfId="0" stopIfTrue="1">
      <formula>AND(E10&lt;&gt;"", COUNTIF($I4:I9,E10)=0)</formula>
    </cfRule>
  </conditionalFormatting>
  <conditionalFormatting sqref="F10">
    <cfRule type="expression" priority="19" dxfId="0" stopIfTrue="1">
      <formula>AND(F10&lt;&gt;"", COUNTIF($I4:I9,F10)=0)</formula>
    </cfRule>
  </conditionalFormatting>
  <conditionalFormatting sqref="G10">
    <cfRule type="expression" priority="20" dxfId="0" stopIfTrue="1">
      <formula>AND(G10&lt;&gt;"", COUNTIF($I4:I9,G10)=0)</formula>
    </cfRule>
  </conditionalFormatting>
  <conditionalFormatting sqref="C12">
    <cfRule type="expression" priority="21" dxfId="0" stopIfTrue="1">
      <formula>AND(C12&lt;&gt;"", COUNTIF($I4:I9,C12)=0)</formula>
    </cfRule>
  </conditionalFormatting>
  <conditionalFormatting sqref="D12">
    <cfRule type="expression" priority="22" dxfId="0" stopIfTrue="1">
      <formula>AND(D12&lt;&gt;"", COUNTIF($I4:I9,D12)=0)</formula>
    </cfRule>
  </conditionalFormatting>
  <conditionalFormatting sqref="E12">
    <cfRule type="expression" priority="23" dxfId="0" stopIfTrue="1">
      <formula>AND(E12&lt;&gt;"", COUNTIF($I4:I9,E12)=0)</formula>
    </cfRule>
  </conditionalFormatting>
  <conditionalFormatting sqref="F12">
    <cfRule type="expression" priority="24" dxfId="0" stopIfTrue="1">
      <formula>AND(F12&lt;&gt;"", COUNTIF($I4:I9,F12)=0)</formula>
    </cfRule>
  </conditionalFormatting>
  <conditionalFormatting sqref="G12">
    <cfRule type="expression" priority="25" dxfId="0" stopIfTrue="1">
      <formula>AND(G12&lt;&gt;"", COUNTIF($I4:I9,G12)=0)</formula>
    </cfRule>
  </conditionalFormatting>
  <conditionalFormatting sqref="C14">
    <cfRule type="expression" priority="26" dxfId="0" stopIfTrue="1">
      <formula>AND(C14&lt;&gt;"", COUNTIF($I4:I9,C14)=0)</formula>
    </cfRule>
  </conditionalFormatting>
  <conditionalFormatting sqref="D14">
    <cfRule type="expression" priority="27" dxfId="0" stopIfTrue="1">
      <formula>AND(D14&lt;&gt;"", COUNTIF($I4:I9,D14)=0)</formula>
    </cfRule>
  </conditionalFormatting>
  <conditionalFormatting sqref="E14">
    <cfRule type="expression" priority="28" dxfId="0" stopIfTrue="1">
      <formula>AND(E14&lt;&gt;"", COUNTIF($I4:I9,E14)=0)</formula>
    </cfRule>
  </conditionalFormatting>
  <conditionalFormatting sqref="F14">
    <cfRule type="expression" priority="29" dxfId="0" stopIfTrue="1">
      <formula>AND(F14&lt;&gt;"", COUNTIF($I4:I9,F14)=0)</formula>
    </cfRule>
  </conditionalFormatting>
  <conditionalFormatting sqref="G14">
    <cfRule type="expression" priority="30" dxfId="0" stopIfTrue="1">
      <formula>AND(G14&lt;&gt;"", COUNTIF($I4:I9,G14)=0)</formula>
    </cfRule>
  </conditionalFormatting>
  <conditionalFormatting sqref="C5">
    <cfRule type="expression" priority="31" dxfId="1" stopIfTrue="1">
      <formula>AND(C5&lt;&gt;"", COUNTIF($O4:O6,C5)=0)</formula>
    </cfRule>
    <cfRule type="expression" priority="61" dxfId="2" stopIfTrue="1">
      <formula>AND(C4&lt;&gt;"", C5="")</formula>
    </cfRule>
  </conditionalFormatting>
  <conditionalFormatting sqref="D5">
    <cfRule type="expression" priority="32" dxfId="1" stopIfTrue="1">
      <formula>AND(D5&lt;&gt;"", COUNTIF($O4:O6,D5)=0)</formula>
    </cfRule>
    <cfRule type="expression" priority="62" dxfId="2" stopIfTrue="1">
      <formula>AND(D4&lt;&gt;"", D5="")</formula>
    </cfRule>
  </conditionalFormatting>
  <conditionalFormatting sqref="E5">
    <cfRule type="expression" priority="33" dxfId="1" stopIfTrue="1">
      <formula>AND(E5&lt;&gt;"", COUNTIF($O4:O6,E5)=0)</formula>
    </cfRule>
    <cfRule type="expression" priority="63" dxfId="2" stopIfTrue="1">
      <formula>AND(E4&lt;&gt;"", E5="")</formula>
    </cfRule>
  </conditionalFormatting>
  <conditionalFormatting sqref="F5">
    <cfRule type="expression" priority="34" dxfId="1" stopIfTrue="1">
      <formula>AND(F5&lt;&gt;"", COUNTIF($O4:O6,F5)=0)</formula>
    </cfRule>
    <cfRule type="expression" priority="64" dxfId="2" stopIfTrue="1">
      <formula>AND(F4&lt;&gt;"", F5="")</formula>
    </cfRule>
  </conditionalFormatting>
  <conditionalFormatting sqref="G5">
    <cfRule type="expression" priority="35" dxfId="1" stopIfTrue="1">
      <formula>AND(G5&lt;&gt;"", COUNTIF($O4:O6,G5)=0)</formula>
    </cfRule>
    <cfRule type="expression" priority="65" dxfId="2" stopIfTrue="1">
      <formula>AND(G4&lt;&gt;"", G5="")</formula>
    </cfRule>
  </conditionalFormatting>
  <conditionalFormatting sqref="C7">
    <cfRule type="expression" priority="36" dxfId="1" stopIfTrue="1">
      <formula>AND(C7&lt;&gt;"", COUNTIF($O4:O6,C7)=0)</formula>
    </cfRule>
    <cfRule type="expression" priority="66" dxfId="2" stopIfTrue="1">
      <formula>AND(C6&lt;&gt;"", C7="")</formula>
    </cfRule>
  </conditionalFormatting>
  <conditionalFormatting sqref="D7">
    <cfRule type="expression" priority="37" dxfId="1" stopIfTrue="1">
      <formula>AND(D7&lt;&gt;"", COUNTIF($O4:O6,D7)=0)</formula>
    </cfRule>
    <cfRule type="expression" priority="67" dxfId="2" stopIfTrue="1">
      <formula>AND(D6&lt;&gt;"", D7="")</formula>
    </cfRule>
  </conditionalFormatting>
  <conditionalFormatting sqref="E7">
    <cfRule type="expression" priority="38" dxfId="1" stopIfTrue="1">
      <formula>AND(E7&lt;&gt;"", COUNTIF($O4:O6,E7)=0)</formula>
    </cfRule>
    <cfRule type="expression" priority="68" dxfId="2" stopIfTrue="1">
      <formula>AND(E6&lt;&gt;"", E7="")</formula>
    </cfRule>
  </conditionalFormatting>
  <conditionalFormatting sqref="F7">
    <cfRule type="expression" priority="39" dxfId="1" stopIfTrue="1">
      <formula>AND(F7&lt;&gt;"", COUNTIF($O4:O6,F7)=0)</formula>
    </cfRule>
    <cfRule type="expression" priority="69" dxfId="2" stopIfTrue="1">
      <formula>AND(F6&lt;&gt;"", F7="")</formula>
    </cfRule>
  </conditionalFormatting>
  <conditionalFormatting sqref="G7">
    <cfRule type="expression" priority="40" dxfId="1" stopIfTrue="1">
      <formula>AND(G7&lt;&gt;"", COUNTIF($O4:O6,G7)=0)</formula>
    </cfRule>
    <cfRule type="expression" priority="70" dxfId="2" stopIfTrue="1">
      <formula>AND(G6&lt;&gt;"", G7="")</formula>
    </cfRule>
  </conditionalFormatting>
  <conditionalFormatting sqref="C9">
    <cfRule type="expression" priority="41" dxfId="1" stopIfTrue="1">
      <formula>AND(C9&lt;&gt;"", COUNTIF($O4:O6,C9)=0)</formula>
    </cfRule>
    <cfRule type="expression" priority="71" dxfId="2" stopIfTrue="1">
      <formula>AND(C8&lt;&gt;"", C9="")</formula>
    </cfRule>
  </conditionalFormatting>
  <conditionalFormatting sqref="D9">
    <cfRule type="expression" priority="42" dxfId="1" stopIfTrue="1">
      <formula>AND(D9&lt;&gt;"", COUNTIF($O4:O6,D9)=0)</formula>
    </cfRule>
    <cfRule type="expression" priority="72" dxfId="2" stopIfTrue="1">
      <formula>AND(D8&lt;&gt;"", D9="")</formula>
    </cfRule>
  </conditionalFormatting>
  <conditionalFormatting sqref="E9">
    <cfRule type="expression" priority="43" dxfId="1" stopIfTrue="1">
      <formula>AND(E9&lt;&gt;"", COUNTIF($O4:O6,E9)=0)</formula>
    </cfRule>
    <cfRule type="expression" priority="73" dxfId="2" stopIfTrue="1">
      <formula>AND(E8&lt;&gt;"", E9="")</formula>
    </cfRule>
  </conditionalFormatting>
  <conditionalFormatting sqref="F9">
    <cfRule type="expression" priority="44" dxfId="1" stopIfTrue="1">
      <formula>AND(F9&lt;&gt;"", COUNTIF($O4:O6,F9)=0)</formula>
    </cfRule>
    <cfRule type="expression" priority="74" dxfId="2" stopIfTrue="1">
      <formula>AND(F8&lt;&gt;"", F9="")</formula>
    </cfRule>
  </conditionalFormatting>
  <conditionalFormatting sqref="G9">
    <cfRule type="expression" priority="45" dxfId="1" stopIfTrue="1">
      <formula>AND(G9&lt;&gt;"", COUNTIF($O4:O6,G9)=0)</formula>
    </cfRule>
    <cfRule type="expression" priority="75" dxfId="2" stopIfTrue="1">
      <formula>AND(G8&lt;&gt;"", G9="")</formula>
    </cfRule>
  </conditionalFormatting>
  <conditionalFormatting sqref="C11">
    <cfRule type="expression" priority="46" dxfId="1" stopIfTrue="1">
      <formula>AND(C11&lt;&gt;"", COUNTIF($O4:O6,C11)=0)</formula>
    </cfRule>
    <cfRule type="expression" priority="76" dxfId="2" stopIfTrue="1">
      <formula>AND(C10&lt;&gt;"", C11="")</formula>
    </cfRule>
  </conditionalFormatting>
  <conditionalFormatting sqref="D11">
    <cfRule type="expression" priority="47" dxfId="1" stopIfTrue="1">
      <formula>AND(D11&lt;&gt;"", COUNTIF($O4:O6,D11)=0)</formula>
    </cfRule>
    <cfRule type="expression" priority="77" dxfId="2" stopIfTrue="1">
      <formula>AND(D10&lt;&gt;"", D11="")</formula>
    </cfRule>
  </conditionalFormatting>
  <conditionalFormatting sqref="E11">
    <cfRule type="expression" priority="48" dxfId="1" stopIfTrue="1">
      <formula>AND(E11&lt;&gt;"", COUNTIF($O4:O6,E11)=0)</formula>
    </cfRule>
    <cfRule type="expression" priority="78" dxfId="2" stopIfTrue="1">
      <formula>AND(E10&lt;&gt;"", E11="")</formula>
    </cfRule>
  </conditionalFormatting>
  <conditionalFormatting sqref="F11">
    <cfRule type="expression" priority="49" dxfId="1" stopIfTrue="1">
      <formula>AND(F11&lt;&gt;"", COUNTIF($O4:O6,F11)=0)</formula>
    </cfRule>
    <cfRule type="expression" priority="79" dxfId="2" stopIfTrue="1">
      <formula>AND(F10&lt;&gt;"", F11="")</formula>
    </cfRule>
  </conditionalFormatting>
  <conditionalFormatting sqref="G11">
    <cfRule type="expression" priority="50" dxfId="1" stopIfTrue="1">
      <formula>AND(G11&lt;&gt;"", COUNTIF($O4:O6,G11)=0)</formula>
    </cfRule>
    <cfRule type="expression" priority="80" dxfId="2" stopIfTrue="1">
      <formula>AND(G10&lt;&gt;"", G11="")</formula>
    </cfRule>
  </conditionalFormatting>
  <conditionalFormatting sqref="C13">
    <cfRule type="expression" priority="51" dxfId="1" stopIfTrue="1">
      <formula>AND(C13&lt;&gt;"", COUNTIF($O4:O6,C13)=0)</formula>
    </cfRule>
    <cfRule type="expression" priority="81" dxfId="2" stopIfTrue="1">
      <formula>AND(C12&lt;&gt;"", C13="")</formula>
    </cfRule>
  </conditionalFormatting>
  <conditionalFormatting sqref="D13">
    <cfRule type="expression" priority="52" dxfId="1" stopIfTrue="1">
      <formula>AND(D13&lt;&gt;"", COUNTIF($O4:O6,D13)=0)</formula>
    </cfRule>
    <cfRule type="expression" priority="82" dxfId="2" stopIfTrue="1">
      <formula>AND(D12&lt;&gt;"", D13="")</formula>
    </cfRule>
  </conditionalFormatting>
  <conditionalFormatting sqref="E13">
    <cfRule type="expression" priority="53" dxfId="1" stopIfTrue="1">
      <formula>AND(E13&lt;&gt;"", COUNTIF($O4:O6,E13)=0)</formula>
    </cfRule>
    <cfRule type="expression" priority="83" dxfId="2" stopIfTrue="1">
      <formula>AND(E12&lt;&gt;"", E13="")</formula>
    </cfRule>
  </conditionalFormatting>
  <conditionalFormatting sqref="F13">
    <cfRule type="expression" priority="54" dxfId="1" stopIfTrue="1">
      <formula>AND(F13&lt;&gt;"", COUNTIF($O4:O6,F13)=0)</formula>
    </cfRule>
    <cfRule type="expression" priority="84" dxfId="2" stopIfTrue="1">
      <formula>AND(F12&lt;&gt;"", F13="")</formula>
    </cfRule>
  </conditionalFormatting>
  <conditionalFormatting sqref="G13">
    <cfRule type="expression" priority="55" dxfId="1" stopIfTrue="1">
      <formula>AND(G13&lt;&gt;"", COUNTIF($O4:O6,G13)=0)</formula>
    </cfRule>
    <cfRule type="expression" priority="85" dxfId="2" stopIfTrue="1">
      <formula>AND(G12&lt;&gt;"", G13="")</formula>
    </cfRule>
  </conditionalFormatting>
  <conditionalFormatting sqref="C15">
    <cfRule type="expression" priority="56" dxfId="1" stopIfTrue="1">
      <formula>AND(C15&lt;&gt;"", COUNTIF($O4:O6,C15)=0)</formula>
    </cfRule>
    <cfRule type="expression" priority="86" dxfId="2" stopIfTrue="1">
      <formula>AND(C14&lt;&gt;"", C15="")</formula>
    </cfRule>
  </conditionalFormatting>
  <conditionalFormatting sqref="D15">
    <cfRule type="expression" priority="57" dxfId="1" stopIfTrue="1">
      <formula>AND(D15&lt;&gt;"", COUNTIF($O4:O6,D15)=0)</formula>
    </cfRule>
    <cfRule type="expression" priority="87" dxfId="2" stopIfTrue="1">
      <formula>AND(D14&lt;&gt;"", D15="")</formula>
    </cfRule>
  </conditionalFormatting>
  <conditionalFormatting sqref="E15">
    <cfRule type="expression" priority="58" dxfId="1" stopIfTrue="1">
      <formula>AND(E15&lt;&gt;"", COUNTIF($O4:O6,E15)=0)</formula>
    </cfRule>
    <cfRule type="expression" priority="88" dxfId="2" stopIfTrue="1">
      <formula>AND(E14&lt;&gt;"", E15="")</formula>
    </cfRule>
  </conditionalFormatting>
  <conditionalFormatting sqref="F15">
    <cfRule type="expression" priority="59" dxfId="1" stopIfTrue="1">
      <formula>AND(F15&lt;&gt;"", COUNTIF($O4:O6,F15)=0)</formula>
    </cfRule>
    <cfRule type="expression" priority="89" dxfId="2" stopIfTrue="1">
      <formula>AND(F14&lt;&gt;"", F15="")</formula>
    </cfRule>
  </conditionalFormatting>
  <conditionalFormatting sqref="G15">
    <cfRule type="expression" priority="60" dxfId="1" stopIfTrue="1">
      <formula>AND(G15&lt;&gt;"", COUNTIF($O4:O6,G15)=0)</formula>
    </cfRule>
    <cfRule type="expression" priority="90" dxfId="2" stopIfTrue="1">
      <formula>AND(G14&lt;&gt;"", G15="")</formula>
    </cfRule>
  </conditionalFormatting>
  <conditionalFormatting sqref="J4">
    <cfRule type="expression" priority="91" dxfId="3" stopIfTrue="1">
      <formula>AND(J4&lt;&gt;"", M4&gt;0, L4=0)</formula>
    </cfRule>
    <cfRule type="expression" priority="97" dxfId="4" stopIfTrue="1">
      <formula>AND(J4&lt;&gt;"", M4&gt;0, L4&lt;0)</formula>
    </cfRule>
    <cfRule type="expression" priority="103" dxfId="5" stopIfTrue="1">
      <formula>AND(J4&lt;&gt;"", M4&gt;0, L4&gt;0, L4&lt;K4)</formula>
    </cfRule>
  </conditionalFormatting>
  <conditionalFormatting sqref="J5">
    <cfRule type="expression" priority="92" dxfId="3" stopIfTrue="1">
      <formula>AND(J5&lt;&gt;"", M5&gt;0, L5=0)</formula>
    </cfRule>
    <cfRule type="expression" priority="98" dxfId="4" stopIfTrue="1">
      <formula>AND(J5&lt;&gt;"", M5&gt;0, L5&lt;0)</formula>
    </cfRule>
    <cfRule type="expression" priority="104" dxfId="5" stopIfTrue="1">
      <formula>AND(J5&lt;&gt;"", M5&gt;0, L5&gt;0, L5&lt;K5)</formula>
    </cfRule>
  </conditionalFormatting>
  <conditionalFormatting sqref="J6">
    <cfRule type="expression" priority="93" dxfId="3" stopIfTrue="1">
      <formula>AND(J6&lt;&gt;"", M6&gt;0, L6=0)</formula>
    </cfRule>
    <cfRule type="expression" priority="99" dxfId="4" stopIfTrue="1">
      <formula>AND(J6&lt;&gt;"", M6&gt;0, L6&lt;0)</formula>
    </cfRule>
    <cfRule type="expression" priority="105" dxfId="5" stopIfTrue="1">
      <formula>AND(J6&lt;&gt;"", M6&gt;0, L6&gt;0, L6&lt;K6)</formula>
    </cfRule>
  </conditionalFormatting>
  <conditionalFormatting sqref="J7">
    <cfRule type="expression" priority="94" dxfId="3" stopIfTrue="1">
      <formula>AND(J7&lt;&gt;"", M7&gt;0, L7=0)</formula>
    </cfRule>
    <cfRule type="expression" priority="100" dxfId="4" stopIfTrue="1">
      <formula>AND(J7&lt;&gt;"", M7&gt;0, L7&lt;0)</formula>
    </cfRule>
    <cfRule type="expression" priority="106" dxfId="5" stopIfTrue="1">
      <formula>AND(J7&lt;&gt;"", M7&gt;0, L7&gt;0, L7&lt;K7)</formula>
    </cfRule>
  </conditionalFormatting>
  <conditionalFormatting sqref="J8">
    <cfRule type="expression" priority="95" dxfId="3" stopIfTrue="1">
      <formula>AND(J8&lt;&gt;"", M8&gt;0, L8=0)</formula>
    </cfRule>
    <cfRule type="expression" priority="101" dxfId="4" stopIfTrue="1">
      <formula>AND(J8&lt;&gt;"", M8&gt;0, L8&lt;0)</formula>
    </cfRule>
    <cfRule type="expression" priority="107" dxfId="5" stopIfTrue="1">
      <formula>AND(J8&lt;&gt;"", M8&gt;0, L8&gt;0, L8&lt;K8)</formula>
    </cfRule>
  </conditionalFormatting>
  <conditionalFormatting sqref="J9">
    <cfRule type="expression" priority="96" dxfId="3" stopIfTrue="1">
      <formula>AND(J9&lt;&gt;"", M9&gt;0, L9=0)</formula>
    </cfRule>
    <cfRule type="expression" priority="102" dxfId="4" stopIfTrue="1">
      <formula>AND(J9&lt;&gt;"", M9&gt;0, L9&lt;0)</formula>
    </cfRule>
    <cfRule type="expression" priority="108" dxfId="5" stopIfTrue="1">
      <formula>AND(J9&lt;&gt;"", M9&gt;0, L9&gt;0, L9&lt;K9)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 xml:space="preserve">Grupo </t>
        </is>
      </c>
      <c r="B1" t="inlineStr">
        <is>
          <t>D411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s="1" t="inlineStr"/>
      <c r="C3" s="1" t="inlineStr">
        <is>
          <t>Lunes</t>
        </is>
      </c>
      <c r="D3" s="1" t="inlineStr">
        <is>
          <t>Martes</t>
        </is>
      </c>
      <c r="E3" s="1" t="inlineStr">
        <is>
          <t>Miércoles</t>
        </is>
      </c>
      <c r="F3" s="1" t="inlineStr">
        <is>
          <t>Jueves</t>
        </is>
      </c>
      <c r="G3" s="1" t="inlineStr">
        <is>
          <t>Viernes</t>
        </is>
      </c>
      <c r="H3" t="inlineStr"/>
      <c r="I3" s="2" t="inlineStr">
        <is>
          <t>Abrev</t>
        </is>
      </c>
      <c r="J3" s="1" t="inlineStr">
        <is>
          <t>Asignaturas</t>
        </is>
      </c>
      <c r="K3" s="1" t="inlineStr">
        <is>
          <t>Frec</t>
        </is>
      </c>
      <c r="L3" s="1" t="inlineStr">
        <is>
          <t>Faltan</t>
        </is>
      </c>
      <c r="M3" s="1" t="inlineStr">
        <is>
          <t>Asignadas</t>
        </is>
      </c>
      <c r="N3" t="inlineStr"/>
      <c r="O3" t="inlineStr">
        <is>
          <t>Aulas</t>
        </is>
      </c>
    </row>
    <row r="4">
      <c r="A4" t="inlineStr"/>
      <c r="B4" s="3" t="inlineStr">
        <is>
          <t>Turno 1</t>
        </is>
      </c>
      <c r="C4" s="4" t="inlineStr"/>
      <c r="D4" s="4" t="inlineStr">
        <is>
          <t>EIA</t>
        </is>
      </c>
      <c r="E4" s="4" t="inlineStr"/>
      <c r="F4" s="4" t="inlineStr">
        <is>
          <t>SN</t>
        </is>
      </c>
      <c r="G4" s="4" t="inlineStr"/>
      <c r="H4" t="inlineStr"/>
      <c r="I4" s="2" t="inlineStr">
        <is>
          <t>IN</t>
        </is>
      </c>
      <c r="J4" s="1" t="inlineStr">
        <is>
          <t>Inteligencia de Negocios</t>
        </is>
      </c>
      <c r="K4" s="1" t="n">
        <v>2</v>
      </c>
      <c r="L4" s="1">
        <f>K4-M4</f>
        <v/>
      </c>
      <c r="M4" s="1">
        <f>COUNTIF($C$4:$G$15,I4)</f>
        <v/>
      </c>
      <c r="N4" t="inlineStr"/>
      <c r="O4" s="1" t="inlineStr"/>
    </row>
    <row r="5">
      <c r="A5" t="inlineStr"/>
      <c r="B5" s="5" t="n"/>
      <c r="C5" s="6" t="inlineStr">
        <is>
          <t>CP 2</t>
        </is>
      </c>
      <c r="D5" s="6" t="inlineStr">
        <is>
          <t>2</t>
        </is>
      </c>
      <c r="E5" s="6" t="inlineStr">
        <is>
          <t>CP 2</t>
        </is>
      </c>
      <c r="F5" s="6" t="inlineStr">
        <is>
          <t>C4</t>
        </is>
      </c>
      <c r="G5" s="6" t="inlineStr"/>
      <c r="H5" t="inlineStr"/>
      <c r="I5" s="2" t="inlineStr">
        <is>
          <t>EIA</t>
        </is>
      </c>
      <c r="J5" s="1" t="inlineStr">
        <is>
          <t>Elementos de Inteligencia Artificial</t>
        </is>
      </c>
      <c r="K5" s="1" t="n">
        <v>2</v>
      </c>
      <c r="L5" s="1">
        <f>K5-M5</f>
        <v/>
      </c>
      <c r="M5" s="1">
        <f>COUNTIF($C$4:$G$15,I5)</f>
        <v/>
      </c>
      <c r="N5" t="inlineStr">
        <is>
          <t>Total:</t>
        </is>
      </c>
      <c r="O5">
        <f>COUNTA(O4:O4)</f>
        <v/>
      </c>
    </row>
    <row r="6">
      <c r="A6" t="inlineStr"/>
      <c r="B6" s="3" t="inlineStr">
        <is>
          <t>Turno 2</t>
        </is>
      </c>
      <c r="C6" s="4" t="inlineStr">
        <is>
          <t>IN</t>
        </is>
      </c>
      <c r="D6" s="4" t="inlineStr">
        <is>
          <t>SN</t>
        </is>
      </c>
      <c r="E6" s="4" t="inlineStr">
        <is>
          <t>IN</t>
        </is>
      </c>
      <c r="F6" s="4" t="inlineStr">
        <is>
          <t>SN</t>
        </is>
      </c>
      <c r="G6" s="4" t="inlineStr"/>
      <c r="H6" t="inlineStr"/>
      <c r="I6" s="2" t="inlineStr">
        <is>
          <t>CP</t>
        </is>
      </c>
      <c r="J6" s="1" t="inlineStr">
        <is>
          <t>Ciberseguridad y Privacidad</t>
        </is>
      </c>
      <c r="K6" s="1" t="n">
        <v>2</v>
      </c>
      <c r="L6" s="1">
        <f>K6-M6</f>
        <v/>
      </c>
      <c r="M6" s="1">
        <f>COUNTIF($C$4:$G$15,I6)</f>
        <v/>
      </c>
      <c r="N6" t="inlineStr"/>
      <c r="O6" t="inlineStr"/>
    </row>
    <row r="7">
      <c r="A7" t="inlineStr"/>
      <c r="B7" s="5" t="n"/>
      <c r="C7" s="6" t="inlineStr">
        <is>
          <t>2</t>
        </is>
      </c>
      <c r="D7" s="6" t="inlineStr">
        <is>
          <t>C4</t>
        </is>
      </c>
      <c r="E7" s="6" t="inlineStr">
        <is>
          <t>2</t>
        </is>
      </c>
      <c r="F7" s="6" t="inlineStr">
        <is>
          <t>C4</t>
        </is>
      </c>
      <c r="G7" s="6" t="inlineStr"/>
      <c r="H7" t="inlineStr"/>
      <c r="I7" s="2" t="inlineStr">
        <is>
          <t>CO2</t>
        </is>
      </c>
      <c r="J7" s="1" t="inlineStr">
        <is>
          <t>Curso Optativo II</t>
        </is>
      </c>
      <c r="K7" s="1" t="n">
        <v>2</v>
      </c>
      <c r="L7" s="1">
        <f>K7-M7</f>
        <v/>
      </c>
      <c r="M7" s="1">
        <f>COUNTIF($C$4:$G$15,I7)</f>
        <v/>
      </c>
      <c r="N7" t="inlineStr"/>
      <c r="O7" t="inlineStr"/>
    </row>
    <row r="8">
      <c r="A8" t="inlineStr"/>
      <c r="B8" s="3" t="inlineStr">
        <is>
          <t>Turno 3</t>
        </is>
      </c>
      <c r="C8" s="4" t="inlineStr">
        <is>
          <t>ECTS 9 (con</t>
        </is>
      </c>
      <c r="D8" s="4" t="inlineStr">
        <is>
          <t>CO</t>
        </is>
      </c>
      <c r="E8" s="4" t="inlineStr">
        <is>
          <t>EIA 2</t>
        </is>
      </c>
      <c r="F8" s="4" t="inlineStr"/>
      <c r="G8" s="4" t="inlineStr"/>
      <c r="H8" t="inlineStr"/>
      <c r="I8" s="2" t="inlineStr">
        <is>
          <t>ECTS</t>
        </is>
      </c>
      <c r="J8" s="1" t="inlineStr">
        <is>
          <t>Estudios de Ciencia, Tecnología y Sociedad</t>
        </is>
      </c>
      <c r="K8" s="1" t="n">
        <v>2</v>
      </c>
      <c r="L8" s="1">
        <f>K8-M8</f>
        <v/>
      </c>
      <c r="M8" s="1">
        <f>COUNTIF($C$4:$G$15,I8)</f>
        <v/>
      </c>
      <c r="N8" t="inlineStr"/>
      <c r="O8" t="inlineStr"/>
    </row>
    <row r="9">
      <c r="A9" t="inlineStr"/>
      <c r="B9" s="5" t="n"/>
      <c r="C9" s="6" t="inlineStr">
        <is>
          <t>C4</t>
        </is>
      </c>
      <c r="D9" s="6" t="inlineStr">
        <is>
          <t>2</t>
        </is>
      </c>
      <c r="E9" s="6" t="inlineStr"/>
      <c r="F9" s="6" t="inlineStr"/>
      <c r="G9" s="6" t="inlineStr"/>
      <c r="H9" t="inlineStr"/>
      <c r="I9" s="2" t="inlineStr">
        <is>
          <t>SN/DN</t>
        </is>
      </c>
      <c r="J9" s="1" t="inlineStr">
        <is>
          <t>Seguridad Nacional / Defensa Nacional</t>
        </is>
      </c>
      <c r="K9" s="1" t="n">
        <v>2</v>
      </c>
      <c r="L9" s="1">
        <f>K9-M9</f>
        <v/>
      </c>
      <c r="M9" s="1">
        <f>COUNTIF($C$4:$G$15,I9)</f>
        <v/>
      </c>
      <c r="N9" t="inlineStr"/>
      <c r="O9" t="inlineStr"/>
    </row>
    <row r="10">
      <c r="A10" t="inlineStr"/>
      <c r="B10" s="3" t="inlineStr">
        <is>
          <t>Turno 4</t>
        </is>
      </c>
      <c r="C10" s="4" t="inlineStr"/>
      <c r="D10" s="4" t="inlineStr"/>
      <c r="E10" s="4" t="inlineStr"/>
      <c r="F10" s="4" t="inlineStr"/>
      <c r="G10" s="4" t="inlineStr"/>
      <c r="H10" t="inlineStr"/>
      <c r="I10" t="inlineStr"/>
      <c r="J10" t="inlineStr"/>
      <c r="K10" t="inlineStr"/>
      <c r="L10" t="inlineStr">
        <is>
          <t>Total:</t>
        </is>
      </c>
      <c r="M10">
        <f>COUNTA(I4:I9)</f>
        <v/>
      </c>
      <c r="N10" t="inlineStr"/>
      <c r="O10" t="inlineStr"/>
    </row>
    <row r="11">
      <c r="A11" t="inlineStr"/>
      <c r="B11" s="5" t="n"/>
      <c r="C11" s="6" t="inlineStr"/>
      <c r="D11" s="6" t="inlineStr"/>
      <c r="E11" s="6" t="inlineStr"/>
      <c r="F11" s="6" t="inlineStr"/>
      <c r="G11" s="6" t="inlineStr"/>
      <c r="H11" t="inlineStr"/>
      <c r="I11" t="inlineStr"/>
      <c r="J11" t="inlineStr"/>
      <c r="K11" t="inlineStr"/>
      <c r="L11" t="inlineStr">
        <is>
          <t>Σ Frec:</t>
        </is>
      </c>
      <c r="M11">
        <f>SUM(K4:K9)</f>
        <v/>
      </c>
      <c r="N11" t="inlineStr"/>
      <c r="O11" t="inlineStr"/>
    </row>
    <row r="12">
      <c r="A12" t="inlineStr"/>
      <c r="B12" s="3" t="inlineStr">
        <is>
          <t>Turno 5</t>
        </is>
      </c>
      <c r="C12" s="4" t="inlineStr"/>
      <c r="D12" s="4" t="inlineStr"/>
      <c r="E12" s="4" t="inlineStr"/>
      <c r="F12" s="4" t="inlineStr"/>
      <c r="G12" s="4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/>
      <c r="B13" s="5" t="n"/>
      <c r="C13" s="6" t="inlineStr"/>
      <c r="D13" s="6" t="inlineStr"/>
      <c r="E13" s="6" t="inlineStr"/>
      <c r="F13" s="6" t="inlineStr"/>
      <c r="G13" s="6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/>
      <c r="B14" s="3" t="inlineStr">
        <is>
          <t>Turno 6</t>
        </is>
      </c>
      <c r="C14" s="4" t="inlineStr"/>
      <c r="D14" s="4" t="inlineStr"/>
      <c r="E14" s="4" t="inlineStr"/>
      <c r="F14" s="4" t="inlineStr"/>
      <c r="G14" s="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/>
      <c r="B15" s="5" t="n"/>
      <c r="C15" s="6" t="inlineStr"/>
      <c r="D15" s="6" t="inlineStr"/>
      <c r="E15" s="6" t="inlineStr"/>
      <c r="F15" s="6" t="inlineStr"/>
      <c r="G15" s="6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F16" t="inlineStr">
        <is>
          <t>Ocupados:</t>
        </is>
      </c>
      <c r="G16">
        <f>COUNTA(C4:G15)/2</f>
        <v/>
      </c>
    </row>
  </sheetData>
  <mergeCells count="6">
    <mergeCell ref="B4:B5"/>
    <mergeCell ref="B12:B13"/>
    <mergeCell ref="B8:B9"/>
    <mergeCell ref="B10:B11"/>
    <mergeCell ref="B6:B7"/>
    <mergeCell ref="B14:B15"/>
  </mergeCells>
  <conditionalFormatting sqref="C4">
    <cfRule type="expression" priority="1" dxfId="0" stopIfTrue="1">
      <formula>AND(C4&lt;&gt;"", COUNTIF($I4:I9,C4)=0)</formula>
    </cfRule>
  </conditionalFormatting>
  <conditionalFormatting sqref="D4">
    <cfRule type="expression" priority="2" dxfId="0" stopIfTrue="1">
      <formula>AND(D4&lt;&gt;"", COUNTIF($I4:I9,D4)=0)</formula>
    </cfRule>
  </conditionalFormatting>
  <conditionalFormatting sqref="E4">
    <cfRule type="expression" priority="3" dxfId="0" stopIfTrue="1">
      <formula>AND(E4&lt;&gt;"", COUNTIF($I4:I9,E4)=0)</formula>
    </cfRule>
  </conditionalFormatting>
  <conditionalFormatting sqref="F4">
    <cfRule type="expression" priority="4" dxfId="0" stopIfTrue="1">
      <formula>AND(F4&lt;&gt;"", COUNTIF($I4:I9,F4)=0)</formula>
    </cfRule>
  </conditionalFormatting>
  <conditionalFormatting sqref="G4">
    <cfRule type="expression" priority="5" dxfId="0" stopIfTrue="1">
      <formula>AND(G4&lt;&gt;"", COUNTIF($I4:I9,G4)=0)</formula>
    </cfRule>
  </conditionalFormatting>
  <conditionalFormatting sqref="C6">
    <cfRule type="expression" priority="6" dxfId="0" stopIfTrue="1">
      <formula>AND(C6&lt;&gt;"", COUNTIF($I4:I9,C6)=0)</formula>
    </cfRule>
  </conditionalFormatting>
  <conditionalFormatting sqref="D6">
    <cfRule type="expression" priority="7" dxfId="0" stopIfTrue="1">
      <formula>AND(D6&lt;&gt;"", COUNTIF($I4:I9,D6)=0)</formula>
    </cfRule>
  </conditionalFormatting>
  <conditionalFormatting sqref="E6">
    <cfRule type="expression" priority="8" dxfId="0" stopIfTrue="1">
      <formula>AND(E6&lt;&gt;"", COUNTIF($I4:I9,E6)=0)</formula>
    </cfRule>
  </conditionalFormatting>
  <conditionalFormatting sqref="F6">
    <cfRule type="expression" priority="9" dxfId="0" stopIfTrue="1">
      <formula>AND(F6&lt;&gt;"", COUNTIF($I4:I9,F6)=0)</formula>
    </cfRule>
  </conditionalFormatting>
  <conditionalFormatting sqref="G6">
    <cfRule type="expression" priority="10" dxfId="0" stopIfTrue="1">
      <formula>AND(G6&lt;&gt;"", COUNTIF($I4:I9,G6)=0)</formula>
    </cfRule>
  </conditionalFormatting>
  <conditionalFormatting sqref="C8">
    <cfRule type="expression" priority="11" dxfId="0" stopIfTrue="1">
      <formula>AND(C8&lt;&gt;"", COUNTIF($I4:I9,C8)=0)</formula>
    </cfRule>
  </conditionalFormatting>
  <conditionalFormatting sqref="D8">
    <cfRule type="expression" priority="12" dxfId="0" stopIfTrue="1">
      <formula>AND(D8&lt;&gt;"", COUNTIF($I4:I9,D8)=0)</formula>
    </cfRule>
  </conditionalFormatting>
  <conditionalFormatting sqref="E8">
    <cfRule type="expression" priority="13" dxfId="0" stopIfTrue="1">
      <formula>AND(E8&lt;&gt;"", COUNTIF($I4:I9,E8)=0)</formula>
    </cfRule>
  </conditionalFormatting>
  <conditionalFormatting sqref="F8">
    <cfRule type="expression" priority="14" dxfId="0" stopIfTrue="1">
      <formula>AND(F8&lt;&gt;"", COUNTIF($I4:I9,F8)=0)</formula>
    </cfRule>
  </conditionalFormatting>
  <conditionalFormatting sqref="G8">
    <cfRule type="expression" priority="15" dxfId="0" stopIfTrue="1">
      <formula>AND(G8&lt;&gt;"", COUNTIF($I4:I9,G8)=0)</formula>
    </cfRule>
  </conditionalFormatting>
  <conditionalFormatting sqref="C10">
    <cfRule type="expression" priority="16" dxfId="0" stopIfTrue="1">
      <formula>AND(C10&lt;&gt;"", COUNTIF($I4:I9,C10)=0)</formula>
    </cfRule>
  </conditionalFormatting>
  <conditionalFormatting sqref="D10">
    <cfRule type="expression" priority="17" dxfId="0" stopIfTrue="1">
      <formula>AND(D10&lt;&gt;"", COUNTIF($I4:I9,D10)=0)</formula>
    </cfRule>
  </conditionalFormatting>
  <conditionalFormatting sqref="E10">
    <cfRule type="expression" priority="18" dxfId="0" stopIfTrue="1">
      <formula>AND(E10&lt;&gt;"", COUNTIF($I4:I9,E10)=0)</formula>
    </cfRule>
  </conditionalFormatting>
  <conditionalFormatting sqref="F10">
    <cfRule type="expression" priority="19" dxfId="0" stopIfTrue="1">
      <formula>AND(F10&lt;&gt;"", COUNTIF($I4:I9,F10)=0)</formula>
    </cfRule>
  </conditionalFormatting>
  <conditionalFormatting sqref="G10">
    <cfRule type="expression" priority="20" dxfId="0" stopIfTrue="1">
      <formula>AND(G10&lt;&gt;"", COUNTIF($I4:I9,G10)=0)</formula>
    </cfRule>
  </conditionalFormatting>
  <conditionalFormatting sqref="C12">
    <cfRule type="expression" priority="21" dxfId="0" stopIfTrue="1">
      <formula>AND(C12&lt;&gt;"", COUNTIF($I4:I9,C12)=0)</formula>
    </cfRule>
  </conditionalFormatting>
  <conditionalFormatting sqref="D12">
    <cfRule type="expression" priority="22" dxfId="0" stopIfTrue="1">
      <formula>AND(D12&lt;&gt;"", COUNTIF($I4:I9,D12)=0)</formula>
    </cfRule>
  </conditionalFormatting>
  <conditionalFormatting sqref="E12">
    <cfRule type="expression" priority="23" dxfId="0" stopIfTrue="1">
      <formula>AND(E12&lt;&gt;"", COUNTIF($I4:I9,E12)=0)</formula>
    </cfRule>
  </conditionalFormatting>
  <conditionalFormatting sqref="F12">
    <cfRule type="expression" priority="24" dxfId="0" stopIfTrue="1">
      <formula>AND(F12&lt;&gt;"", COUNTIF($I4:I9,F12)=0)</formula>
    </cfRule>
  </conditionalFormatting>
  <conditionalFormatting sqref="G12">
    <cfRule type="expression" priority="25" dxfId="0" stopIfTrue="1">
      <formula>AND(G12&lt;&gt;"", COUNTIF($I4:I9,G12)=0)</formula>
    </cfRule>
  </conditionalFormatting>
  <conditionalFormatting sqref="C14">
    <cfRule type="expression" priority="26" dxfId="0" stopIfTrue="1">
      <formula>AND(C14&lt;&gt;"", COUNTIF($I4:I9,C14)=0)</formula>
    </cfRule>
  </conditionalFormatting>
  <conditionalFormatting sqref="D14">
    <cfRule type="expression" priority="27" dxfId="0" stopIfTrue="1">
      <formula>AND(D14&lt;&gt;"", COUNTIF($I4:I9,D14)=0)</formula>
    </cfRule>
  </conditionalFormatting>
  <conditionalFormatting sqref="E14">
    <cfRule type="expression" priority="28" dxfId="0" stopIfTrue="1">
      <formula>AND(E14&lt;&gt;"", COUNTIF($I4:I9,E14)=0)</formula>
    </cfRule>
  </conditionalFormatting>
  <conditionalFormatting sqref="F14">
    <cfRule type="expression" priority="29" dxfId="0" stopIfTrue="1">
      <formula>AND(F14&lt;&gt;"", COUNTIF($I4:I9,F14)=0)</formula>
    </cfRule>
  </conditionalFormatting>
  <conditionalFormatting sqref="G14">
    <cfRule type="expression" priority="30" dxfId="0" stopIfTrue="1">
      <formula>AND(G14&lt;&gt;"", COUNTIF($I4:I9,G14)=0)</formula>
    </cfRule>
  </conditionalFormatting>
  <conditionalFormatting sqref="C5">
    <cfRule type="expression" priority="31" dxfId="1" stopIfTrue="1">
      <formula>AND(C5&lt;&gt;"", COUNTIF($O4:O4,C5)=0)</formula>
    </cfRule>
    <cfRule type="expression" priority="61" dxfId="2" stopIfTrue="1">
      <formula>AND(C4&lt;&gt;"", C5="")</formula>
    </cfRule>
  </conditionalFormatting>
  <conditionalFormatting sqref="D5">
    <cfRule type="expression" priority="32" dxfId="1" stopIfTrue="1">
      <formula>AND(D5&lt;&gt;"", COUNTIF($O4:O4,D5)=0)</formula>
    </cfRule>
    <cfRule type="expression" priority="62" dxfId="2" stopIfTrue="1">
      <formula>AND(D4&lt;&gt;"", D5="")</formula>
    </cfRule>
  </conditionalFormatting>
  <conditionalFormatting sqref="E5">
    <cfRule type="expression" priority="33" dxfId="1" stopIfTrue="1">
      <formula>AND(E5&lt;&gt;"", COUNTIF($O4:O4,E5)=0)</formula>
    </cfRule>
    <cfRule type="expression" priority="63" dxfId="2" stopIfTrue="1">
      <formula>AND(E4&lt;&gt;"", E5="")</formula>
    </cfRule>
  </conditionalFormatting>
  <conditionalFormatting sqref="F5">
    <cfRule type="expression" priority="34" dxfId="1" stopIfTrue="1">
      <formula>AND(F5&lt;&gt;"", COUNTIF($O4:O4,F5)=0)</formula>
    </cfRule>
    <cfRule type="expression" priority="64" dxfId="2" stopIfTrue="1">
      <formula>AND(F4&lt;&gt;"", F5="")</formula>
    </cfRule>
  </conditionalFormatting>
  <conditionalFormatting sqref="G5">
    <cfRule type="expression" priority="35" dxfId="1" stopIfTrue="1">
      <formula>AND(G5&lt;&gt;"", COUNTIF($O4:O4,G5)=0)</formula>
    </cfRule>
    <cfRule type="expression" priority="65" dxfId="2" stopIfTrue="1">
      <formula>AND(G4&lt;&gt;"", G5="")</formula>
    </cfRule>
  </conditionalFormatting>
  <conditionalFormatting sqref="C7">
    <cfRule type="expression" priority="36" dxfId="1" stopIfTrue="1">
      <formula>AND(C7&lt;&gt;"", COUNTIF($O4:O4,C7)=0)</formula>
    </cfRule>
    <cfRule type="expression" priority="66" dxfId="2" stopIfTrue="1">
      <formula>AND(C6&lt;&gt;"", C7="")</formula>
    </cfRule>
  </conditionalFormatting>
  <conditionalFormatting sqref="D7">
    <cfRule type="expression" priority="37" dxfId="1" stopIfTrue="1">
      <formula>AND(D7&lt;&gt;"", COUNTIF($O4:O4,D7)=0)</formula>
    </cfRule>
    <cfRule type="expression" priority="67" dxfId="2" stopIfTrue="1">
      <formula>AND(D6&lt;&gt;"", D7="")</formula>
    </cfRule>
  </conditionalFormatting>
  <conditionalFormatting sqref="E7">
    <cfRule type="expression" priority="38" dxfId="1" stopIfTrue="1">
      <formula>AND(E7&lt;&gt;"", COUNTIF($O4:O4,E7)=0)</formula>
    </cfRule>
    <cfRule type="expression" priority="68" dxfId="2" stopIfTrue="1">
      <formula>AND(E6&lt;&gt;"", E7="")</formula>
    </cfRule>
  </conditionalFormatting>
  <conditionalFormatting sqref="F7">
    <cfRule type="expression" priority="39" dxfId="1" stopIfTrue="1">
      <formula>AND(F7&lt;&gt;"", COUNTIF($O4:O4,F7)=0)</formula>
    </cfRule>
    <cfRule type="expression" priority="69" dxfId="2" stopIfTrue="1">
      <formula>AND(F6&lt;&gt;"", F7="")</formula>
    </cfRule>
  </conditionalFormatting>
  <conditionalFormatting sqref="G7">
    <cfRule type="expression" priority="40" dxfId="1" stopIfTrue="1">
      <formula>AND(G7&lt;&gt;"", COUNTIF($O4:O4,G7)=0)</formula>
    </cfRule>
    <cfRule type="expression" priority="70" dxfId="2" stopIfTrue="1">
      <formula>AND(G6&lt;&gt;"", G7="")</formula>
    </cfRule>
  </conditionalFormatting>
  <conditionalFormatting sqref="C9">
    <cfRule type="expression" priority="41" dxfId="1" stopIfTrue="1">
      <formula>AND(C9&lt;&gt;"", COUNTIF($O4:O4,C9)=0)</formula>
    </cfRule>
    <cfRule type="expression" priority="71" dxfId="2" stopIfTrue="1">
      <formula>AND(C8&lt;&gt;"", C9="")</formula>
    </cfRule>
  </conditionalFormatting>
  <conditionalFormatting sqref="D9">
    <cfRule type="expression" priority="42" dxfId="1" stopIfTrue="1">
      <formula>AND(D9&lt;&gt;"", COUNTIF($O4:O4,D9)=0)</formula>
    </cfRule>
    <cfRule type="expression" priority="72" dxfId="2" stopIfTrue="1">
      <formula>AND(D8&lt;&gt;"", D9="")</formula>
    </cfRule>
  </conditionalFormatting>
  <conditionalFormatting sqref="E9">
    <cfRule type="expression" priority="43" dxfId="1" stopIfTrue="1">
      <formula>AND(E9&lt;&gt;"", COUNTIF($O4:O4,E9)=0)</formula>
    </cfRule>
    <cfRule type="expression" priority="73" dxfId="2" stopIfTrue="1">
      <formula>AND(E8&lt;&gt;"", E9="")</formula>
    </cfRule>
  </conditionalFormatting>
  <conditionalFormatting sqref="F9">
    <cfRule type="expression" priority="44" dxfId="1" stopIfTrue="1">
      <formula>AND(F9&lt;&gt;"", COUNTIF($O4:O4,F9)=0)</formula>
    </cfRule>
    <cfRule type="expression" priority="74" dxfId="2" stopIfTrue="1">
      <formula>AND(F8&lt;&gt;"", F9="")</formula>
    </cfRule>
  </conditionalFormatting>
  <conditionalFormatting sqref="G9">
    <cfRule type="expression" priority="45" dxfId="1" stopIfTrue="1">
      <formula>AND(G9&lt;&gt;"", COUNTIF($O4:O4,G9)=0)</formula>
    </cfRule>
    <cfRule type="expression" priority="75" dxfId="2" stopIfTrue="1">
      <formula>AND(G8&lt;&gt;"", G9="")</formula>
    </cfRule>
  </conditionalFormatting>
  <conditionalFormatting sqref="C11">
    <cfRule type="expression" priority="46" dxfId="1" stopIfTrue="1">
      <formula>AND(C11&lt;&gt;"", COUNTIF($O4:O4,C11)=0)</formula>
    </cfRule>
    <cfRule type="expression" priority="76" dxfId="2" stopIfTrue="1">
      <formula>AND(C10&lt;&gt;"", C11="")</formula>
    </cfRule>
  </conditionalFormatting>
  <conditionalFormatting sqref="D11">
    <cfRule type="expression" priority="47" dxfId="1" stopIfTrue="1">
      <formula>AND(D11&lt;&gt;"", COUNTIF($O4:O4,D11)=0)</formula>
    </cfRule>
    <cfRule type="expression" priority="77" dxfId="2" stopIfTrue="1">
      <formula>AND(D10&lt;&gt;"", D11="")</formula>
    </cfRule>
  </conditionalFormatting>
  <conditionalFormatting sqref="E11">
    <cfRule type="expression" priority="48" dxfId="1" stopIfTrue="1">
      <formula>AND(E11&lt;&gt;"", COUNTIF($O4:O4,E11)=0)</formula>
    </cfRule>
    <cfRule type="expression" priority="78" dxfId="2" stopIfTrue="1">
      <formula>AND(E10&lt;&gt;"", E11="")</formula>
    </cfRule>
  </conditionalFormatting>
  <conditionalFormatting sqref="F11">
    <cfRule type="expression" priority="49" dxfId="1" stopIfTrue="1">
      <formula>AND(F11&lt;&gt;"", COUNTIF($O4:O4,F11)=0)</formula>
    </cfRule>
    <cfRule type="expression" priority="79" dxfId="2" stopIfTrue="1">
      <formula>AND(F10&lt;&gt;"", F11="")</formula>
    </cfRule>
  </conditionalFormatting>
  <conditionalFormatting sqref="G11">
    <cfRule type="expression" priority="50" dxfId="1" stopIfTrue="1">
      <formula>AND(G11&lt;&gt;"", COUNTIF($O4:O4,G11)=0)</formula>
    </cfRule>
    <cfRule type="expression" priority="80" dxfId="2" stopIfTrue="1">
      <formula>AND(G10&lt;&gt;"", G11="")</formula>
    </cfRule>
  </conditionalFormatting>
  <conditionalFormatting sqref="C13">
    <cfRule type="expression" priority="51" dxfId="1" stopIfTrue="1">
      <formula>AND(C13&lt;&gt;"", COUNTIF($O4:O4,C13)=0)</formula>
    </cfRule>
    <cfRule type="expression" priority="81" dxfId="2" stopIfTrue="1">
      <formula>AND(C12&lt;&gt;"", C13="")</formula>
    </cfRule>
  </conditionalFormatting>
  <conditionalFormatting sqref="D13">
    <cfRule type="expression" priority="52" dxfId="1" stopIfTrue="1">
      <formula>AND(D13&lt;&gt;"", COUNTIF($O4:O4,D13)=0)</formula>
    </cfRule>
    <cfRule type="expression" priority="82" dxfId="2" stopIfTrue="1">
      <formula>AND(D12&lt;&gt;"", D13="")</formula>
    </cfRule>
  </conditionalFormatting>
  <conditionalFormatting sqref="E13">
    <cfRule type="expression" priority="53" dxfId="1" stopIfTrue="1">
      <formula>AND(E13&lt;&gt;"", COUNTIF($O4:O4,E13)=0)</formula>
    </cfRule>
    <cfRule type="expression" priority="83" dxfId="2" stopIfTrue="1">
      <formula>AND(E12&lt;&gt;"", E13="")</formula>
    </cfRule>
  </conditionalFormatting>
  <conditionalFormatting sqref="F13">
    <cfRule type="expression" priority="54" dxfId="1" stopIfTrue="1">
      <formula>AND(F13&lt;&gt;"", COUNTIF($O4:O4,F13)=0)</formula>
    </cfRule>
    <cfRule type="expression" priority="84" dxfId="2" stopIfTrue="1">
      <formula>AND(F12&lt;&gt;"", F13="")</formula>
    </cfRule>
  </conditionalFormatting>
  <conditionalFormatting sqref="G13">
    <cfRule type="expression" priority="55" dxfId="1" stopIfTrue="1">
      <formula>AND(G13&lt;&gt;"", COUNTIF($O4:O4,G13)=0)</formula>
    </cfRule>
    <cfRule type="expression" priority="85" dxfId="2" stopIfTrue="1">
      <formula>AND(G12&lt;&gt;"", G13="")</formula>
    </cfRule>
  </conditionalFormatting>
  <conditionalFormatting sqref="C15">
    <cfRule type="expression" priority="56" dxfId="1" stopIfTrue="1">
      <formula>AND(C15&lt;&gt;"", COUNTIF($O4:O4,C15)=0)</formula>
    </cfRule>
    <cfRule type="expression" priority="86" dxfId="2" stopIfTrue="1">
      <formula>AND(C14&lt;&gt;"", C15="")</formula>
    </cfRule>
  </conditionalFormatting>
  <conditionalFormatting sqref="D15">
    <cfRule type="expression" priority="57" dxfId="1" stopIfTrue="1">
      <formula>AND(D15&lt;&gt;"", COUNTIF($O4:O4,D15)=0)</formula>
    </cfRule>
    <cfRule type="expression" priority="87" dxfId="2" stopIfTrue="1">
      <formula>AND(D14&lt;&gt;"", D15="")</formula>
    </cfRule>
  </conditionalFormatting>
  <conditionalFormatting sqref="E15">
    <cfRule type="expression" priority="58" dxfId="1" stopIfTrue="1">
      <formula>AND(E15&lt;&gt;"", COUNTIF($O4:O4,E15)=0)</formula>
    </cfRule>
    <cfRule type="expression" priority="88" dxfId="2" stopIfTrue="1">
      <formula>AND(E14&lt;&gt;"", E15="")</formula>
    </cfRule>
  </conditionalFormatting>
  <conditionalFormatting sqref="F15">
    <cfRule type="expression" priority="59" dxfId="1" stopIfTrue="1">
      <formula>AND(F15&lt;&gt;"", COUNTIF($O4:O4,F15)=0)</formula>
    </cfRule>
    <cfRule type="expression" priority="89" dxfId="2" stopIfTrue="1">
      <formula>AND(F14&lt;&gt;"", F15="")</formula>
    </cfRule>
  </conditionalFormatting>
  <conditionalFormatting sqref="G15">
    <cfRule type="expression" priority="60" dxfId="1" stopIfTrue="1">
      <formula>AND(G15&lt;&gt;"", COUNTIF($O4:O4,G15)=0)</formula>
    </cfRule>
    <cfRule type="expression" priority="90" dxfId="2" stopIfTrue="1">
      <formula>AND(G14&lt;&gt;"", G15="")</formula>
    </cfRule>
  </conditionalFormatting>
  <conditionalFormatting sqref="J4">
    <cfRule type="expression" priority="91" dxfId="3" stopIfTrue="1">
      <formula>AND(J4&lt;&gt;"", M4&gt;0, L4=0)</formula>
    </cfRule>
    <cfRule type="expression" priority="97" dxfId="4" stopIfTrue="1">
      <formula>AND(J4&lt;&gt;"", M4&gt;0, L4&lt;0)</formula>
    </cfRule>
    <cfRule type="expression" priority="103" dxfId="5" stopIfTrue="1">
      <formula>AND(J4&lt;&gt;"", M4&gt;0, L4&gt;0, L4&lt;K4)</formula>
    </cfRule>
  </conditionalFormatting>
  <conditionalFormatting sqref="J5">
    <cfRule type="expression" priority="92" dxfId="3" stopIfTrue="1">
      <formula>AND(J5&lt;&gt;"", M5&gt;0, L5=0)</formula>
    </cfRule>
    <cfRule type="expression" priority="98" dxfId="4" stopIfTrue="1">
      <formula>AND(J5&lt;&gt;"", M5&gt;0, L5&lt;0)</formula>
    </cfRule>
    <cfRule type="expression" priority="104" dxfId="5" stopIfTrue="1">
      <formula>AND(J5&lt;&gt;"", M5&gt;0, L5&gt;0, L5&lt;K5)</formula>
    </cfRule>
  </conditionalFormatting>
  <conditionalFormatting sqref="J6">
    <cfRule type="expression" priority="93" dxfId="3" stopIfTrue="1">
      <formula>AND(J6&lt;&gt;"", M6&gt;0, L6=0)</formula>
    </cfRule>
    <cfRule type="expression" priority="99" dxfId="4" stopIfTrue="1">
      <formula>AND(J6&lt;&gt;"", M6&gt;0, L6&lt;0)</formula>
    </cfRule>
    <cfRule type="expression" priority="105" dxfId="5" stopIfTrue="1">
      <formula>AND(J6&lt;&gt;"", M6&gt;0, L6&gt;0, L6&lt;K6)</formula>
    </cfRule>
  </conditionalFormatting>
  <conditionalFormatting sqref="J7">
    <cfRule type="expression" priority="94" dxfId="3" stopIfTrue="1">
      <formula>AND(J7&lt;&gt;"", M7&gt;0, L7=0)</formula>
    </cfRule>
    <cfRule type="expression" priority="100" dxfId="4" stopIfTrue="1">
      <formula>AND(J7&lt;&gt;"", M7&gt;0, L7&lt;0)</formula>
    </cfRule>
    <cfRule type="expression" priority="106" dxfId="5" stopIfTrue="1">
      <formula>AND(J7&lt;&gt;"", M7&gt;0, L7&gt;0, L7&lt;K7)</formula>
    </cfRule>
  </conditionalFormatting>
  <conditionalFormatting sqref="J8">
    <cfRule type="expression" priority="95" dxfId="3" stopIfTrue="1">
      <formula>AND(J8&lt;&gt;"", M8&gt;0, L8=0)</formula>
    </cfRule>
    <cfRule type="expression" priority="101" dxfId="4" stopIfTrue="1">
      <formula>AND(J8&lt;&gt;"", M8&gt;0, L8&lt;0)</formula>
    </cfRule>
    <cfRule type="expression" priority="107" dxfId="5" stopIfTrue="1">
      <formula>AND(J8&lt;&gt;"", M8&gt;0, L8&gt;0, L8&lt;K8)</formula>
    </cfRule>
  </conditionalFormatting>
  <conditionalFormatting sqref="J9">
    <cfRule type="expression" priority="96" dxfId="3" stopIfTrue="1">
      <formula>AND(J9&lt;&gt;"", M9&gt;0, L9=0)</formula>
    </cfRule>
    <cfRule type="expression" priority="102" dxfId="4" stopIfTrue="1">
      <formula>AND(J9&lt;&gt;"", M9&gt;0, L9&lt;0)</formula>
    </cfRule>
    <cfRule type="expression" priority="108" dxfId="5" stopIfTrue="1">
      <formula>AND(J9&lt;&gt;"", M9&gt;0, L9&gt;0, L9&lt;K9)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 xml:space="preserve">Grupo </t>
        </is>
      </c>
      <c r="B1" t="inlineStr">
        <is>
          <t>C111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s="1" t="inlineStr"/>
      <c r="C3" s="1" t="inlineStr">
        <is>
          <t>Lunes</t>
        </is>
      </c>
      <c r="D3" s="1" t="inlineStr">
        <is>
          <t>Martes</t>
        </is>
      </c>
      <c r="E3" s="1" t="inlineStr">
        <is>
          <t>Miércoles</t>
        </is>
      </c>
      <c r="F3" s="1" t="inlineStr">
        <is>
          <t>Jueves</t>
        </is>
      </c>
      <c r="G3" s="1" t="inlineStr">
        <is>
          <t>Viernes</t>
        </is>
      </c>
      <c r="H3" t="inlineStr"/>
      <c r="I3" s="2" t="inlineStr">
        <is>
          <t>Abrev</t>
        </is>
      </c>
      <c r="J3" s="1" t="inlineStr">
        <is>
          <t>Asignaturas</t>
        </is>
      </c>
      <c r="K3" s="1" t="inlineStr">
        <is>
          <t>Frec</t>
        </is>
      </c>
      <c r="L3" s="1" t="inlineStr">
        <is>
          <t>Faltan</t>
        </is>
      </c>
      <c r="M3" s="1" t="inlineStr">
        <is>
          <t>Asignadas</t>
        </is>
      </c>
      <c r="N3" t="inlineStr"/>
      <c r="O3" t="inlineStr">
        <is>
          <t>Aulas</t>
        </is>
      </c>
    </row>
    <row r="4">
      <c r="A4" t="inlineStr"/>
      <c r="B4" s="3" t="inlineStr">
        <is>
          <t>Turno 1</t>
        </is>
      </c>
      <c r="C4" s="4" t="inlineStr">
        <is>
          <t>F</t>
        </is>
      </c>
      <c r="D4" s="4" t="inlineStr">
        <is>
          <t>A I</t>
        </is>
      </c>
      <c r="E4" s="4" t="inlineStr">
        <is>
          <t>AM I</t>
        </is>
      </c>
      <c r="F4" s="4" t="inlineStr">
        <is>
          <t>F</t>
        </is>
      </c>
      <c r="G4" s="4" t="inlineStr"/>
      <c r="H4" t="inlineStr"/>
      <c r="I4" s="2" t="inlineStr">
        <is>
          <t>A I</t>
        </is>
      </c>
      <c r="J4" s="1" t="inlineStr">
        <is>
          <t>Álgebra I</t>
        </is>
      </c>
      <c r="K4" s="1" t="n">
        <v>3</v>
      </c>
      <c r="L4" s="1">
        <f>K4-M4</f>
        <v/>
      </c>
      <c r="M4" s="1">
        <f>COUNTIF($C$4:$G$15,I4)</f>
        <v/>
      </c>
      <c r="N4" t="inlineStr"/>
      <c r="O4" s="1" t="inlineStr">
        <is>
          <t>Aula 6</t>
        </is>
      </c>
    </row>
    <row r="5">
      <c r="A5" t="inlineStr"/>
      <c r="B5" s="5" t="n"/>
      <c r="C5" s="6" t="inlineStr">
        <is>
          <t>Aula 6</t>
        </is>
      </c>
      <c r="D5" s="6" t="inlineStr">
        <is>
          <t>Aula 6*</t>
        </is>
      </c>
      <c r="E5" s="6" t="inlineStr">
        <is>
          <t>Aula 6*</t>
        </is>
      </c>
      <c r="F5" s="6" t="inlineStr">
        <is>
          <t>Aula 6</t>
        </is>
      </c>
      <c r="G5" s="6" t="inlineStr"/>
      <c r="H5" t="inlineStr"/>
      <c r="I5" s="2" t="inlineStr">
        <is>
          <t>L</t>
        </is>
      </c>
      <c r="J5" s="1" t="inlineStr">
        <is>
          <t>Lógica</t>
        </is>
      </c>
      <c r="K5" s="1" t="n">
        <v>2</v>
      </c>
      <c r="L5" s="1">
        <f>K5-M5</f>
        <v/>
      </c>
      <c r="M5" s="1">
        <f>COUNTIF($C$4:$G$15,I5)</f>
        <v/>
      </c>
      <c r="N5" t="inlineStr"/>
      <c r="O5" s="1" t="inlineStr">
        <is>
          <t>Aula 6*</t>
        </is>
      </c>
    </row>
    <row r="6">
      <c r="A6" t="inlineStr"/>
      <c r="B6" s="3" t="inlineStr">
        <is>
          <t>Turno 2</t>
        </is>
      </c>
      <c r="C6" s="4" t="inlineStr">
        <is>
          <t>L</t>
        </is>
      </c>
      <c r="D6" s="4" t="inlineStr">
        <is>
          <t>A I</t>
        </is>
      </c>
      <c r="E6" s="4" t="inlineStr">
        <is>
          <t>EF</t>
        </is>
      </c>
      <c r="F6" s="4" t="inlineStr">
        <is>
          <t>L</t>
        </is>
      </c>
      <c r="G6" s="4" t="inlineStr">
        <is>
          <t>A I</t>
        </is>
      </c>
      <c r="H6" t="inlineStr"/>
      <c r="I6" s="2" t="inlineStr">
        <is>
          <t>P</t>
        </is>
      </c>
      <c r="J6" s="1" t="inlineStr">
        <is>
          <t>Programación</t>
        </is>
      </c>
      <c r="K6" s="1" t="n">
        <v>3</v>
      </c>
      <c r="L6" s="1">
        <f>K6-M6</f>
        <v/>
      </c>
      <c r="M6" s="1">
        <f>COUNTIF($C$4:$G$15,I6)</f>
        <v/>
      </c>
      <c r="N6" t="inlineStr"/>
      <c r="O6" s="1" t="inlineStr">
        <is>
          <t>Lab</t>
        </is>
      </c>
    </row>
    <row r="7">
      <c r="A7" t="inlineStr"/>
      <c r="B7" s="5" t="n"/>
      <c r="C7" s="6" t="inlineStr">
        <is>
          <t>Aula 6*</t>
        </is>
      </c>
      <c r="D7" s="6" t="inlineStr">
        <is>
          <t>Aula 6*</t>
        </is>
      </c>
      <c r="E7" s="6" t="inlineStr">
        <is>
          <t>SEDER</t>
        </is>
      </c>
      <c r="F7" s="6" t="inlineStr">
        <is>
          <t>Aula 6*</t>
        </is>
      </c>
      <c r="G7" s="6" t="inlineStr">
        <is>
          <t>Aula 6*</t>
        </is>
      </c>
      <c r="H7" t="inlineStr"/>
      <c r="I7" s="2" t="inlineStr">
        <is>
          <t>AM I</t>
        </is>
      </c>
      <c r="J7" s="1" t="inlineStr">
        <is>
          <t>Análisis Matemático I</t>
        </is>
      </c>
      <c r="K7" s="1" t="n">
        <v>2</v>
      </c>
      <c r="L7" s="1">
        <f>K7-M7</f>
        <v/>
      </c>
      <c r="M7" s="1">
        <f>COUNTIF($C$4:$G$15,I7)</f>
        <v/>
      </c>
      <c r="N7" t="inlineStr">
        <is>
          <t>Total:</t>
        </is>
      </c>
      <c r="O7">
        <f>COUNTA(O4:O6)</f>
        <v/>
      </c>
    </row>
    <row r="8">
      <c r="A8" t="inlineStr"/>
      <c r="B8" s="3" t="inlineStr">
        <is>
          <t>Turno 3</t>
        </is>
      </c>
      <c r="C8" s="4" t="inlineStr">
        <is>
          <t>P</t>
        </is>
      </c>
      <c r="D8" s="4" t="inlineStr">
        <is>
          <t>AM I</t>
        </is>
      </c>
      <c r="E8" s="4" t="inlineStr">
        <is>
          <t>AM I</t>
        </is>
      </c>
      <c r="F8" s="4" t="inlineStr">
        <is>
          <t>P</t>
        </is>
      </c>
      <c r="G8" s="4" t="inlineStr">
        <is>
          <t>P</t>
        </is>
      </c>
      <c r="H8" t="inlineStr"/>
      <c r="I8" s="2" t="inlineStr">
        <is>
          <t>F</t>
        </is>
      </c>
      <c r="J8" s="1" t="inlineStr">
        <is>
          <t>Filosofía</t>
        </is>
      </c>
      <c r="K8" s="1" t="n">
        <v>2</v>
      </c>
      <c r="L8" s="1">
        <f>K8-M8</f>
        <v/>
      </c>
      <c r="M8" s="1">
        <f>COUNTIF($C$4:$G$15,I8)</f>
        <v/>
      </c>
      <c r="N8" t="inlineStr"/>
      <c r="O8" t="inlineStr"/>
    </row>
    <row r="9">
      <c r="A9" t="inlineStr"/>
      <c r="B9" s="5" t="n"/>
      <c r="C9" s="6" t="inlineStr">
        <is>
          <t>Aula 6</t>
        </is>
      </c>
      <c r="D9" s="6" t="inlineStr">
        <is>
          <t>Aula 6*</t>
        </is>
      </c>
      <c r="E9" s="6" t="inlineStr">
        <is>
          <t>Aula 6*</t>
        </is>
      </c>
      <c r="F9" s="6" t="inlineStr">
        <is>
          <t>Aula 6</t>
        </is>
      </c>
      <c r="G9" s="6" t="inlineStr">
        <is>
          <t>Lab</t>
        </is>
      </c>
      <c r="H9" t="inlineStr"/>
      <c r="I9" s="2" t="inlineStr">
        <is>
          <t>EF</t>
        </is>
      </c>
      <c r="J9" s="1" t="inlineStr">
        <is>
          <t>Educación Física I</t>
        </is>
      </c>
      <c r="K9" s="1" t="n">
        <v>2</v>
      </c>
      <c r="L9" s="1">
        <f>K9-M9</f>
        <v/>
      </c>
      <c r="M9" s="1">
        <f>COUNTIF($C$4:$G$15,I9)</f>
        <v/>
      </c>
      <c r="N9" t="inlineStr"/>
      <c r="O9" t="inlineStr"/>
    </row>
    <row r="10">
      <c r="A10" t="inlineStr"/>
      <c r="B10" s="3" t="inlineStr">
        <is>
          <t>Turno 4</t>
        </is>
      </c>
      <c r="C10" s="4" t="inlineStr"/>
      <c r="D10" s="4" t="inlineStr"/>
      <c r="E10" s="4" t="inlineStr"/>
      <c r="F10" s="4" t="inlineStr"/>
      <c r="G10" s="4" t="inlineStr"/>
      <c r="H10" t="inlineStr"/>
      <c r="I10" t="inlineStr"/>
      <c r="J10" t="inlineStr"/>
      <c r="K10" t="inlineStr"/>
      <c r="L10" t="inlineStr">
        <is>
          <t>Total:</t>
        </is>
      </c>
      <c r="M10">
        <f>COUNTA(I4:I9)</f>
        <v/>
      </c>
      <c r="N10" t="inlineStr"/>
      <c r="O10" t="inlineStr"/>
    </row>
    <row r="11">
      <c r="A11" t="inlineStr"/>
      <c r="B11" s="5" t="n"/>
      <c r="C11" s="6" t="inlineStr"/>
      <c r="D11" s="6" t="inlineStr"/>
      <c r="E11" s="6" t="inlineStr"/>
      <c r="F11" s="6" t="inlineStr"/>
      <c r="G11" s="6" t="inlineStr"/>
      <c r="H11" t="inlineStr"/>
      <c r="I11" t="inlineStr"/>
      <c r="J11" t="inlineStr"/>
      <c r="K11" t="inlineStr"/>
      <c r="L11" t="inlineStr">
        <is>
          <t>Σ Frec:</t>
        </is>
      </c>
      <c r="M11">
        <f>SUM(K4:K9)</f>
        <v/>
      </c>
      <c r="N11" t="inlineStr"/>
      <c r="O11" t="inlineStr"/>
    </row>
    <row r="12">
      <c r="A12" t="inlineStr"/>
      <c r="B12" s="3" t="inlineStr">
        <is>
          <t>Turno 5</t>
        </is>
      </c>
      <c r="C12" s="4" t="inlineStr"/>
      <c r="D12" s="4" t="inlineStr"/>
      <c r="E12" s="4" t="inlineStr"/>
      <c r="F12" s="4" t="inlineStr"/>
      <c r="G12" s="4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/>
      <c r="B13" s="5" t="n"/>
      <c r="C13" s="6" t="inlineStr"/>
      <c r="D13" s="6" t="inlineStr"/>
      <c r="E13" s="6" t="inlineStr"/>
      <c r="F13" s="6" t="inlineStr"/>
      <c r="G13" s="6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/>
      <c r="B14" s="3" t="inlineStr">
        <is>
          <t>Turno 6</t>
        </is>
      </c>
      <c r="C14" s="4" t="inlineStr"/>
      <c r="D14" s="4" t="inlineStr"/>
      <c r="E14" s="4" t="inlineStr"/>
      <c r="F14" s="4" t="inlineStr"/>
      <c r="G14" s="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/>
      <c r="B15" s="5" t="n"/>
      <c r="C15" s="6" t="inlineStr"/>
      <c r="D15" s="6" t="inlineStr"/>
      <c r="E15" s="6" t="inlineStr"/>
      <c r="F15" s="6" t="inlineStr"/>
      <c r="G15" s="6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F16" t="inlineStr">
        <is>
          <t>Ocupados:</t>
        </is>
      </c>
      <c r="G16">
        <f>COUNTA(C4:G15)/2</f>
        <v/>
      </c>
    </row>
  </sheetData>
  <mergeCells count="6">
    <mergeCell ref="B4:B5"/>
    <mergeCell ref="B12:B13"/>
    <mergeCell ref="B8:B9"/>
    <mergeCell ref="B10:B11"/>
    <mergeCell ref="B6:B7"/>
    <mergeCell ref="B14:B15"/>
  </mergeCells>
  <conditionalFormatting sqref="C4">
    <cfRule type="expression" priority="1" dxfId="0" stopIfTrue="1">
      <formula>AND(C4&lt;&gt;"", COUNTIF($I4:I9,C4)=0)</formula>
    </cfRule>
  </conditionalFormatting>
  <conditionalFormatting sqref="D4">
    <cfRule type="expression" priority="2" dxfId="0" stopIfTrue="1">
      <formula>AND(D4&lt;&gt;"", COUNTIF($I4:I9,D4)=0)</formula>
    </cfRule>
  </conditionalFormatting>
  <conditionalFormatting sqref="E4">
    <cfRule type="expression" priority="3" dxfId="0" stopIfTrue="1">
      <formula>AND(E4&lt;&gt;"", COUNTIF($I4:I9,E4)=0)</formula>
    </cfRule>
  </conditionalFormatting>
  <conditionalFormatting sqref="F4">
    <cfRule type="expression" priority="4" dxfId="0" stopIfTrue="1">
      <formula>AND(F4&lt;&gt;"", COUNTIF($I4:I9,F4)=0)</formula>
    </cfRule>
  </conditionalFormatting>
  <conditionalFormatting sqref="G4">
    <cfRule type="expression" priority="5" dxfId="0" stopIfTrue="1">
      <formula>AND(G4&lt;&gt;"", COUNTIF($I4:I9,G4)=0)</formula>
    </cfRule>
  </conditionalFormatting>
  <conditionalFormatting sqref="C6">
    <cfRule type="expression" priority="6" dxfId="0" stopIfTrue="1">
      <formula>AND(C6&lt;&gt;"", COUNTIF($I4:I9,C6)=0)</formula>
    </cfRule>
  </conditionalFormatting>
  <conditionalFormatting sqref="D6">
    <cfRule type="expression" priority="7" dxfId="0" stopIfTrue="1">
      <formula>AND(D6&lt;&gt;"", COUNTIF($I4:I9,D6)=0)</formula>
    </cfRule>
  </conditionalFormatting>
  <conditionalFormatting sqref="E6">
    <cfRule type="expression" priority="8" dxfId="0" stopIfTrue="1">
      <formula>AND(E6&lt;&gt;"", COUNTIF($I4:I9,E6)=0)</formula>
    </cfRule>
  </conditionalFormatting>
  <conditionalFormatting sqref="F6">
    <cfRule type="expression" priority="9" dxfId="0" stopIfTrue="1">
      <formula>AND(F6&lt;&gt;"", COUNTIF($I4:I9,F6)=0)</formula>
    </cfRule>
  </conditionalFormatting>
  <conditionalFormatting sqref="G6">
    <cfRule type="expression" priority="10" dxfId="0" stopIfTrue="1">
      <formula>AND(G6&lt;&gt;"", COUNTIF($I4:I9,G6)=0)</formula>
    </cfRule>
  </conditionalFormatting>
  <conditionalFormatting sqref="C8">
    <cfRule type="expression" priority="11" dxfId="0" stopIfTrue="1">
      <formula>AND(C8&lt;&gt;"", COUNTIF($I4:I9,C8)=0)</formula>
    </cfRule>
  </conditionalFormatting>
  <conditionalFormatting sqref="D8">
    <cfRule type="expression" priority="12" dxfId="0" stopIfTrue="1">
      <formula>AND(D8&lt;&gt;"", COUNTIF($I4:I9,D8)=0)</formula>
    </cfRule>
  </conditionalFormatting>
  <conditionalFormatting sqref="E8">
    <cfRule type="expression" priority="13" dxfId="0" stopIfTrue="1">
      <formula>AND(E8&lt;&gt;"", COUNTIF($I4:I9,E8)=0)</formula>
    </cfRule>
  </conditionalFormatting>
  <conditionalFormatting sqref="F8">
    <cfRule type="expression" priority="14" dxfId="0" stopIfTrue="1">
      <formula>AND(F8&lt;&gt;"", COUNTIF($I4:I9,F8)=0)</formula>
    </cfRule>
  </conditionalFormatting>
  <conditionalFormatting sqref="G8">
    <cfRule type="expression" priority="15" dxfId="0" stopIfTrue="1">
      <formula>AND(G8&lt;&gt;"", COUNTIF($I4:I9,G8)=0)</formula>
    </cfRule>
  </conditionalFormatting>
  <conditionalFormatting sqref="C10">
    <cfRule type="expression" priority="16" dxfId="0" stopIfTrue="1">
      <formula>AND(C10&lt;&gt;"", COUNTIF($I4:I9,C10)=0)</formula>
    </cfRule>
  </conditionalFormatting>
  <conditionalFormatting sqref="D10">
    <cfRule type="expression" priority="17" dxfId="0" stopIfTrue="1">
      <formula>AND(D10&lt;&gt;"", COUNTIF($I4:I9,D10)=0)</formula>
    </cfRule>
  </conditionalFormatting>
  <conditionalFormatting sqref="E10">
    <cfRule type="expression" priority="18" dxfId="0" stopIfTrue="1">
      <formula>AND(E10&lt;&gt;"", COUNTIF($I4:I9,E10)=0)</formula>
    </cfRule>
  </conditionalFormatting>
  <conditionalFormatting sqref="F10">
    <cfRule type="expression" priority="19" dxfId="0" stopIfTrue="1">
      <formula>AND(F10&lt;&gt;"", COUNTIF($I4:I9,F10)=0)</formula>
    </cfRule>
  </conditionalFormatting>
  <conditionalFormatting sqref="G10">
    <cfRule type="expression" priority="20" dxfId="0" stopIfTrue="1">
      <formula>AND(G10&lt;&gt;"", COUNTIF($I4:I9,G10)=0)</formula>
    </cfRule>
  </conditionalFormatting>
  <conditionalFormatting sqref="C12">
    <cfRule type="expression" priority="21" dxfId="0" stopIfTrue="1">
      <formula>AND(C12&lt;&gt;"", COUNTIF($I4:I9,C12)=0)</formula>
    </cfRule>
  </conditionalFormatting>
  <conditionalFormatting sqref="D12">
    <cfRule type="expression" priority="22" dxfId="0" stopIfTrue="1">
      <formula>AND(D12&lt;&gt;"", COUNTIF($I4:I9,D12)=0)</formula>
    </cfRule>
  </conditionalFormatting>
  <conditionalFormatting sqref="E12">
    <cfRule type="expression" priority="23" dxfId="0" stopIfTrue="1">
      <formula>AND(E12&lt;&gt;"", COUNTIF($I4:I9,E12)=0)</formula>
    </cfRule>
  </conditionalFormatting>
  <conditionalFormatting sqref="F12">
    <cfRule type="expression" priority="24" dxfId="0" stopIfTrue="1">
      <formula>AND(F12&lt;&gt;"", COUNTIF($I4:I9,F12)=0)</formula>
    </cfRule>
  </conditionalFormatting>
  <conditionalFormatting sqref="G12">
    <cfRule type="expression" priority="25" dxfId="0" stopIfTrue="1">
      <formula>AND(G12&lt;&gt;"", COUNTIF($I4:I9,G12)=0)</formula>
    </cfRule>
  </conditionalFormatting>
  <conditionalFormatting sqref="C14">
    <cfRule type="expression" priority="26" dxfId="0" stopIfTrue="1">
      <formula>AND(C14&lt;&gt;"", COUNTIF($I4:I9,C14)=0)</formula>
    </cfRule>
  </conditionalFormatting>
  <conditionalFormatting sqref="D14">
    <cfRule type="expression" priority="27" dxfId="0" stopIfTrue="1">
      <formula>AND(D14&lt;&gt;"", COUNTIF($I4:I9,D14)=0)</formula>
    </cfRule>
  </conditionalFormatting>
  <conditionalFormatting sqref="E14">
    <cfRule type="expression" priority="28" dxfId="0" stopIfTrue="1">
      <formula>AND(E14&lt;&gt;"", COUNTIF($I4:I9,E14)=0)</formula>
    </cfRule>
  </conditionalFormatting>
  <conditionalFormatting sqref="F14">
    <cfRule type="expression" priority="29" dxfId="0" stopIfTrue="1">
      <formula>AND(F14&lt;&gt;"", COUNTIF($I4:I9,F14)=0)</formula>
    </cfRule>
  </conditionalFormatting>
  <conditionalFormatting sqref="G14">
    <cfRule type="expression" priority="30" dxfId="0" stopIfTrue="1">
      <formula>AND(G14&lt;&gt;"", COUNTIF($I4:I9,G14)=0)</formula>
    </cfRule>
  </conditionalFormatting>
  <conditionalFormatting sqref="C5">
    <cfRule type="expression" priority="31" dxfId="1" stopIfTrue="1">
      <formula>AND(C5&lt;&gt;"", COUNTIF($O4:O6,C5)=0)</formula>
    </cfRule>
    <cfRule type="expression" priority="61" dxfId="2" stopIfTrue="1">
      <formula>AND(C4&lt;&gt;"", C5="")</formula>
    </cfRule>
  </conditionalFormatting>
  <conditionalFormatting sqref="D5">
    <cfRule type="expression" priority="32" dxfId="1" stopIfTrue="1">
      <formula>AND(D5&lt;&gt;"", COUNTIF($O4:O6,D5)=0)</formula>
    </cfRule>
    <cfRule type="expression" priority="62" dxfId="2" stopIfTrue="1">
      <formula>AND(D4&lt;&gt;"", D5="")</formula>
    </cfRule>
  </conditionalFormatting>
  <conditionalFormatting sqref="E5">
    <cfRule type="expression" priority="33" dxfId="1" stopIfTrue="1">
      <formula>AND(E5&lt;&gt;"", COUNTIF($O4:O6,E5)=0)</formula>
    </cfRule>
    <cfRule type="expression" priority="63" dxfId="2" stopIfTrue="1">
      <formula>AND(E4&lt;&gt;"", E5="")</formula>
    </cfRule>
  </conditionalFormatting>
  <conditionalFormatting sqref="F5">
    <cfRule type="expression" priority="34" dxfId="1" stopIfTrue="1">
      <formula>AND(F5&lt;&gt;"", COUNTIF($O4:O6,F5)=0)</formula>
    </cfRule>
    <cfRule type="expression" priority="64" dxfId="2" stopIfTrue="1">
      <formula>AND(F4&lt;&gt;"", F5="")</formula>
    </cfRule>
  </conditionalFormatting>
  <conditionalFormatting sqref="G5">
    <cfRule type="expression" priority="35" dxfId="1" stopIfTrue="1">
      <formula>AND(G5&lt;&gt;"", COUNTIF($O4:O6,G5)=0)</formula>
    </cfRule>
    <cfRule type="expression" priority="65" dxfId="2" stopIfTrue="1">
      <formula>AND(G4&lt;&gt;"", G5="")</formula>
    </cfRule>
  </conditionalFormatting>
  <conditionalFormatting sqref="C7">
    <cfRule type="expression" priority="36" dxfId="1" stopIfTrue="1">
      <formula>AND(C7&lt;&gt;"", COUNTIF($O4:O6,C7)=0)</formula>
    </cfRule>
    <cfRule type="expression" priority="66" dxfId="2" stopIfTrue="1">
      <formula>AND(C6&lt;&gt;"", C7="")</formula>
    </cfRule>
  </conditionalFormatting>
  <conditionalFormatting sqref="D7">
    <cfRule type="expression" priority="37" dxfId="1" stopIfTrue="1">
      <formula>AND(D7&lt;&gt;"", COUNTIF($O4:O6,D7)=0)</formula>
    </cfRule>
    <cfRule type="expression" priority="67" dxfId="2" stopIfTrue="1">
      <formula>AND(D6&lt;&gt;"", D7="")</formula>
    </cfRule>
  </conditionalFormatting>
  <conditionalFormatting sqref="E7">
    <cfRule type="expression" priority="38" dxfId="1" stopIfTrue="1">
      <formula>AND(E7&lt;&gt;"", COUNTIF($O4:O6,E7)=0)</formula>
    </cfRule>
    <cfRule type="expression" priority="68" dxfId="2" stopIfTrue="1">
      <formula>AND(E6&lt;&gt;"", E7="")</formula>
    </cfRule>
  </conditionalFormatting>
  <conditionalFormatting sqref="F7">
    <cfRule type="expression" priority="39" dxfId="1" stopIfTrue="1">
      <formula>AND(F7&lt;&gt;"", COUNTIF($O4:O6,F7)=0)</formula>
    </cfRule>
    <cfRule type="expression" priority="69" dxfId="2" stopIfTrue="1">
      <formula>AND(F6&lt;&gt;"", F7="")</formula>
    </cfRule>
  </conditionalFormatting>
  <conditionalFormatting sqref="G7">
    <cfRule type="expression" priority="40" dxfId="1" stopIfTrue="1">
      <formula>AND(G7&lt;&gt;"", COUNTIF($O4:O6,G7)=0)</formula>
    </cfRule>
    <cfRule type="expression" priority="70" dxfId="2" stopIfTrue="1">
      <formula>AND(G6&lt;&gt;"", G7="")</formula>
    </cfRule>
  </conditionalFormatting>
  <conditionalFormatting sqref="C9">
    <cfRule type="expression" priority="41" dxfId="1" stopIfTrue="1">
      <formula>AND(C9&lt;&gt;"", COUNTIF($O4:O6,C9)=0)</formula>
    </cfRule>
    <cfRule type="expression" priority="71" dxfId="2" stopIfTrue="1">
      <formula>AND(C8&lt;&gt;"", C9="")</formula>
    </cfRule>
  </conditionalFormatting>
  <conditionalFormatting sqref="D9">
    <cfRule type="expression" priority="42" dxfId="1" stopIfTrue="1">
      <formula>AND(D9&lt;&gt;"", COUNTIF($O4:O6,D9)=0)</formula>
    </cfRule>
    <cfRule type="expression" priority="72" dxfId="2" stopIfTrue="1">
      <formula>AND(D8&lt;&gt;"", D9="")</formula>
    </cfRule>
  </conditionalFormatting>
  <conditionalFormatting sqref="E9">
    <cfRule type="expression" priority="43" dxfId="1" stopIfTrue="1">
      <formula>AND(E9&lt;&gt;"", COUNTIF($O4:O6,E9)=0)</formula>
    </cfRule>
    <cfRule type="expression" priority="73" dxfId="2" stopIfTrue="1">
      <formula>AND(E8&lt;&gt;"", E9="")</formula>
    </cfRule>
  </conditionalFormatting>
  <conditionalFormatting sqref="F9">
    <cfRule type="expression" priority="44" dxfId="1" stopIfTrue="1">
      <formula>AND(F9&lt;&gt;"", COUNTIF($O4:O6,F9)=0)</formula>
    </cfRule>
    <cfRule type="expression" priority="74" dxfId="2" stopIfTrue="1">
      <formula>AND(F8&lt;&gt;"", F9="")</formula>
    </cfRule>
  </conditionalFormatting>
  <conditionalFormatting sqref="G9">
    <cfRule type="expression" priority="45" dxfId="1" stopIfTrue="1">
      <formula>AND(G9&lt;&gt;"", COUNTIF($O4:O6,G9)=0)</formula>
    </cfRule>
    <cfRule type="expression" priority="75" dxfId="2" stopIfTrue="1">
      <formula>AND(G8&lt;&gt;"", G9="")</formula>
    </cfRule>
  </conditionalFormatting>
  <conditionalFormatting sqref="C11">
    <cfRule type="expression" priority="46" dxfId="1" stopIfTrue="1">
      <formula>AND(C11&lt;&gt;"", COUNTIF($O4:O6,C11)=0)</formula>
    </cfRule>
    <cfRule type="expression" priority="76" dxfId="2" stopIfTrue="1">
      <formula>AND(C10&lt;&gt;"", C11="")</formula>
    </cfRule>
  </conditionalFormatting>
  <conditionalFormatting sqref="D11">
    <cfRule type="expression" priority="47" dxfId="1" stopIfTrue="1">
      <formula>AND(D11&lt;&gt;"", COUNTIF($O4:O6,D11)=0)</formula>
    </cfRule>
    <cfRule type="expression" priority="77" dxfId="2" stopIfTrue="1">
      <formula>AND(D10&lt;&gt;"", D11="")</formula>
    </cfRule>
  </conditionalFormatting>
  <conditionalFormatting sqref="E11">
    <cfRule type="expression" priority="48" dxfId="1" stopIfTrue="1">
      <formula>AND(E11&lt;&gt;"", COUNTIF($O4:O6,E11)=0)</formula>
    </cfRule>
    <cfRule type="expression" priority="78" dxfId="2" stopIfTrue="1">
      <formula>AND(E10&lt;&gt;"", E11="")</formula>
    </cfRule>
  </conditionalFormatting>
  <conditionalFormatting sqref="F11">
    <cfRule type="expression" priority="49" dxfId="1" stopIfTrue="1">
      <formula>AND(F11&lt;&gt;"", COUNTIF($O4:O6,F11)=0)</formula>
    </cfRule>
    <cfRule type="expression" priority="79" dxfId="2" stopIfTrue="1">
      <formula>AND(F10&lt;&gt;"", F11="")</formula>
    </cfRule>
  </conditionalFormatting>
  <conditionalFormatting sqref="G11">
    <cfRule type="expression" priority="50" dxfId="1" stopIfTrue="1">
      <formula>AND(G11&lt;&gt;"", COUNTIF($O4:O6,G11)=0)</formula>
    </cfRule>
    <cfRule type="expression" priority="80" dxfId="2" stopIfTrue="1">
      <formula>AND(G10&lt;&gt;"", G11="")</formula>
    </cfRule>
  </conditionalFormatting>
  <conditionalFormatting sqref="C13">
    <cfRule type="expression" priority="51" dxfId="1" stopIfTrue="1">
      <formula>AND(C13&lt;&gt;"", COUNTIF($O4:O6,C13)=0)</formula>
    </cfRule>
    <cfRule type="expression" priority="81" dxfId="2" stopIfTrue="1">
      <formula>AND(C12&lt;&gt;"", C13="")</formula>
    </cfRule>
  </conditionalFormatting>
  <conditionalFormatting sqref="D13">
    <cfRule type="expression" priority="52" dxfId="1" stopIfTrue="1">
      <formula>AND(D13&lt;&gt;"", COUNTIF($O4:O6,D13)=0)</formula>
    </cfRule>
    <cfRule type="expression" priority="82" dxfId="2" stopIfTrue="1">
      <formula>AND(D12&lt;&gt;"", D13="")</formula>
    </cfRule>
  </conditionalFormatting>
  <conditionalFormatting sqref="E13">
    <cfRule type="expression" priority="53" dxfId="1" stopIfTrue="1">
      <formula>AND(E13&lt;&gt;"", COUNTIF($O4:O6,E13)=0)</formula>
    </cfRule>
    <cfRule type="expression" priority="83" dxfId="2" stopIfTrue="1">
      <formula>AND(E12&lt;&gt;"", E13="")</formula>
    </cfRule>
  </conditionalFormatting>
  <conditionalFormatting sqref="F13">
    <cfRule type="expression" priority="54" dxfId="1" stopIfTrue="1">
      <formula>AND(F13&lt;&gt;"", COUNTIF($O4:O6,F13)=0)</formula>
    </cfRule>
    <cfRule type="expression" priority="84" dxfId="2" stopIfTrue="1">
      <formula>AND(F12&lt;&gt;"", F13="")</formula>
    </cfRule>
  </conditionalFormatting>
  <conditionalFormatting sqref="G13">
    <cfRule type="expression" priority="55" dxfId="1" stopIfTrue="1">
      <formula>AND(G13&lt;&gt;"", COUNTIF($O4:O6,G13)=0)</formula>
    </cfRule>
    <cfRule type="expression" priority="85" dxfId="2" stopIfTrue="1">
      <formula>AND(G12&lt;&gt;"", G13="")</formula>
    </cfRule>
  </conditionalFormatting>
  <conditionalFormatting sqref="C15">
    <cfRule type="expression" priority="56" dxfId="1" stopIfTrue="1">
      <formula>AND(C15&lt;&gt;"", COUNTIF($O4:O6,C15)=0)</formula>
    </cfRule>
    <cfRule type="expression" priority="86" dxfId="2" stopIfTrue="1">
      <formula>AND(C14&lt;&gt;"", C15="")</formula>
    </cfRule>
  </conditionalFormatting>
  <conditionalFormatting sqref="D15">
    <cfRule type="expression" priority="57" dxfId="1" stopIfTrue="1">
      <formula>AND(D15&lt;&gt;"", COUNTIF($O4:O6,D15)=0)</formula>
    </cfRule>
    <cfRule type="expression" priority="87" dxfId="2" stopIfTrue="1">
      <formula>AND(D14&lt;&gt;"", D15="")</formula>
    </cfRule>
  </conditionalFormatting>
  <conditionalFormatting sqref="E15">
    <cfRule type="expression" priority="58" dxfId="1" stopIfTrue="1">
      <formula>AND(E15&lt;&gt;"", COUNTIF($O4:O6,E15)=0)</formula>
    </cfRule>
    <cfRule type="expression" priority="88" dxfId="2" stopIfTrue="1">
      <formula>AND(E14&lt;&gt;"", E15="")</formula>
    </cfRule>
  </conditionalFormatting>
  <conditionalFormatting sqref="F15">
    <cfRule type="expression" priority="59" dxfId="1" stopIfTrue="1">
      <formula>AND(F15&lt;&gt;"", COUNTIF($O4:O6,F15)=0)</formula>
    </cfRule>
    <cfRule type="expression" priority="89" dxfId="2" stopIfTrue="1">
      <formula>AND(F14&lt;&gt;"", F15="")</formula>
    </cfRule>
  </conditionalFormatting>
  <conditionalFormatting sqref="G15">
    <cfRule type="expression" priority="60" dxfId="1" stopIfTrue="1">
      <formula>AND(G15&lt;&gt;"", COUNTIF($O4:O6,G15)=0)</formula>
    </cfRule>
    <cfRule type="expression" priority="90" dxfId="2" stopIfTrue="1">
      <formula>AND(G14&lt;&gt;"", G15="")</formula>
    </cfRule>
  </conditionalFormatting>
  <conditionalFormatting sqref="J4">
    <cfRule type="expression" priority="91" dxfId="3" stopIfTrue="1">
      <formula>AND(J4&lt;&gt;"", M4&gt;0, L4=0)</formula>
    </cfRule>
    <cfRule type="expression" priority="97" dxfId="4" stopIfTrue="1">
      <formula>AND(J4&lt;&gt;"", M4&gt;0, L4&lt;0)</formula>
    </cfRule>
    <cfRule type="expression" priority="103" dxfId="5" stopIfTrue="1">
      <formula>AND(J4&lt;&gt;"", M4&gt;0, L4&gt;0, L4&lt;K4)</formula>
    </cfRule>
  </conditionalFormatting>
  <conditionalFormatting sqref="J5">
    <cfRule type="expression" priority="92" dxfId="3" stopIfTrue="1">
      <formula>AND(J5&lt;&gt;"", M5&gt;0, L5=0)</formula>
    </cfRule>
    <cfRule type="expression" priority="98" dxfId="4" stopIfTrue="1">
      <formula>AND(J5&lt;&gt;"", M5&gt;0, L5&lt;0)</formula>
    </cfRule>
    <cfRule type="expression" priority="104" dxfId="5" stopIfTrue="1">
      <formula>AND(J5&lt;&gt;"", M5&gt;0, L5&gt;0, L5&lt;K5)</formula>
    </cfRule>
  </conditionalFormatting>
  <conditionalFormatting sqref="J6">
    <cfRule type="expression" priority="93" dxfId="3" stopIfTrue="1">
      <formula>AND(J6&lt;&gt;"", M6&gt;0, L6=0)</formula>
    </cfRule>
    <cfRule type="expression" priority="99" dxfId="4" stopIfTrue="1">
      <formula>AND(J6&lt;&gt;"", M6&gt;0, L6&lt;0)</formula>
    </cfRule>
    <cfRule type="expression" priority="105" dxfId="5" stopIfTrue="1">
      <formula>AND(J6&lt;&gt;"", M6&gt;0, L6&gt;0, L6&lt;K6)</formula>
    </cfRule>
  </conditionalFormatting>
  <conditionalFormatting sqref="J7">
    <cfRule type="expression" priority="94" dxfId="3" stopIfTrue="1">
      <formula>AND(J7&lt;&gt;"", M7&gt;0, L7=0)</formula>
    </cfRule>
    <cfRule type="expression" priority="100" dxfId="4" stopIfTrue="1">
      <formula>AND(J7&lt;&gt;"", M7&gt;0, L7&lt;0)</formula>
    </cfRule>
    <cfRule type="expression" priority="106" dxfId="5" stopIfTrue="1">
      <formula>AND(J7&lt;&gt;"", M7&gt;0, L7&gt;0, L7&lt;K7)</formula>
    </cfRule>
  </conditionalFormatting>
  <conditionalFormatting sqref="J8">
    <cfRule type="expression" priority="95" dxfId="3" stopIfTrue="1">
      <formula>AND(J8&lt;&gt;"", M8&gt;0, L8=0)</formula>
    </cfRule>
    <cfRule type="expression" priority="101" dxfId="4" stopIfTrue="1">
      <formula>AND(J8&lt;&gt;"", M8&gt;0, L8&lt;0)</formula>
    </cfRule>
    <cfRule type="expression" priority="107" dxfId="5" stopIfTrue="1">
      <formula>AND(J8&lt;&gt;"", M8&gt;0, L8&gt;0, L8&lt;K8)</formula>
    </cfRule>
  </conditionalFormatting>
  <conditionalFormatting sqref="J9">
    <cfRule type="expression" priority="96" dxfId="3" stopIfTrue="1">
      <formula>AND(J9&lt;&gt;"", M9&gt;0, L9=0)</formula>
    </cfRule>
    <cfRule type="expression" priority="102" dxfId="4" stopIfTrue="1">
      <formula>AND(J9&lt;&gt;"", M9&gt;0, L9&lt;0)</formula>
    </cfRule>
    <cfRule type="expression" priority="108" dxfId="5" stopIfTrue="1">
      <formula>AND(J9&lt;&gt;"", M9&gt;0, L9&gt;0, L9&lt;K9)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 xml:space="preserve">Grupo </t>
        </is>
      </c>
      <c r="B1" t="inlineStr">
        <is>
          <t>C121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s="1" t="inlineStr"/>
      <c r="C3" s="1" t="inlineStr">
        <is>
          <t>Lunes</t>
        </is>
      </c>
      <c r="D3" s="1" t="inlineStr">
        <is>
          <t>Martes</t>
        </is>
      </c>
      <c r="E3" s="1" t="inlineStr">
        <is>
          <t>Miércoles</t>
        </is>
      </c>
      <c r="F3" s="1" t="inlineStr">
        <is>
          <t>Jueves</t>
        </is>
      </c>
      <c r="G3" s="1" t="inlineStr">
        <is>
          <t>Viernes</t>
        </is>
      </c>
      <c r="H3" t="inlineStr"/>
      <c r="I3" s="2" t="inlineStr">
        <is>
          <t>Abrev</t>
        </is>
      </c>
      <c r="J3" s="1" t="inlineStr">
        <is>
          <t>Asignaturas</t>
        </is>
      </c>
      <c r="K3" s="1" t="inlineStr">
        <is>
          <t>Frec</t>
        </is>
      </c>
      <c r="L3" s="1" t="inlineStr">
        <is>
          <t>Faltan</t>
        </is>
      </c>
      <c r="M3" s="1" t="inlineStr">
        <is>
          <t>Asignadas</t>
        </is>
      </c>
      <c r="N3" t="inlineStr"/>
      <c r="O3" t="inlineStr">
        <is>
          <t>Aulas</t>
        </is>
      </c>
    </row>
    <row r="4">
      <c r="A4" t="inlineStr"/>
      <c r="B4" s="3" t="inlineStr">
        <is>
          <t>Turno 1</t>
        </is>
      </c>
      <c r="C4" s="4" t="inlineStr">
        <is>
          <t>P</t>
        </is>
      </c>
      <c r="D4" s="4" t="inlineStr">
        <is>
          <t>A I</t>
        </is>
      </c>
      <c r="E4" s="4" t="inlineStr">
        <is>
          <t>AM I</t>
        </is>
      </c>
      <c r="F4" s="4" t="inlineStr">
        <is>
          <t>P</t>
        </is>
      </c>
      <c r="G4" s="4" t="inlineStr">
        <is>
          <t>A I</t>
        </is>
      </c>
      <c r="H4" t="inlineStr"/>
      <c r="I4" s="2" t="inlineStr">
        <is>
          <t>A I</t>
        </is>
      </c>
      <c r="J4" s="1" t="inlineStr">
        <is>
          <t>Álgebra I</t>
        </is>
      </c>
      <c r="K4" s="1" t="n">
        <v>3</v>
      </c>
      <c r="L4" s="1">
        <f>K4-M4</f>
        <v/>
      </c>
      <c r="M4" s="1">
        <f>COUNTIF($C$4:$G$15,I4)</f>
        <v/>
      </c>
      <c r="N4" t="inlineStr"/>
      <c r="O4" s="1" t="inlineStr">
        <is>
          <t>Aula 5</t>
        </is>
      </c>
    </row>
    <row r="5">
      <c r="A5" t="inlineStr"/>
      <c r="B5" s="5" t="n"/>
      <c r="C5" s="6" t="inlineStr">
        <is>
          <t>Aula 5</t>
        </is>
      </c>
      <c r="D5" s="6" t="inlineStr">
        <is>
          <t>Aula 5</t>
        </is>
      </c>
      <c r="E5" s="6" t="inlineStr">
        <is>
          <t>Aula 5</t>
        </is>
      </c>
      <c r="F5" s="6" t="inlineStr">
        <is>
          <t>Aula 5</t>
        </is>
      </c>
      <c r="G5" s="6" t="inlineStr">
        <is>
          <t>Aula 5</t>
        </is>
      </c>
      <c r="H5" t="inlineStr"/>
      <c r="I5" s="2" t="inlineStr">
        <is>
          <t>L</t>
        </is>
      </c>
      <c r="J5" s="1" t="inlineStr">
        <is>
          <t>Lógica</t>
        </is>
      </c>
      <c r="K5" s="1" t="n">
        <v>2</v>
      </c>
      <c r="L5" s="1">
        <f>K5-M5</f>
        <v/>
      </c>
      <c r="M5" s="1">
        <f>COUNTIF($C$4:$G$15,I5)</f>
        <v/>
      </c>
      <c r="N5" t="inlineStr"/>
      <c r="O5" s="1" t="inlineStr">
        <is>
          <t>Lab</t>
        </is>
      </c>
    </row>
    <row r="6">
      <c r="A6" t="inlineStr"/>
      <c r="B6" s="3" t="inlineStr">
        <is>
          <t>Turno 2</t>
        </is>
      </c>
      <c r="C6" s="4" t="inlineStr">
        <is>
          <t>F</t>
        </is>
      </c>
      <c r="D6" s="4" t="inlineStr">
        <is>
          <t>AM I</t>
        </is>
      </c>
      <c r="E6" s="4" t="inlineStr">
        <is>
          <t>EF</t>
        </is>
      </c>
      <c r="F6" s="4" t="inlineStr">
        <is>
          <t>L</t>
        </is>
      </c>
      <c r="G6" s="4" t="inlineStr">
        <is>
          <t>P</t>
        </is>
      </c>
      <c r="H6" t="inlineStr"/>
      <c r="I6" s="2" t="inlineStr">
        <is>
          <t>P</t>
        </is>
      </c>
      <c r="J6" s="1" t="inlineStr">
        <is>
          <t>Programación</t>
        </is>
      </c>
      <c r="K6" s="1" t="n">
        <v>3</v>
      </c>
      <c r="L6" s="1">
        <f>K6-M6</f>
        <v/>
      </c>
      <c r="M6" s="1">
        <f>COUNTIF($C$4:$G$15,I6)</f>
        <v/>
      </c>
      <c r="N6" t="inlineStr">
        <is>
          <t>Total:</t>
        </is>
      </c>
      <c r="O6">
        <f>COUNTA(O4:O5)</f>
        <v/>
      </c>
    </row>
    <row r="7">
      <c r="A7" t="inlineStr"/>
      <c r="B7" s="5" t="n"/>
      <c r="C7" s="6" t="inlineStr">
        <is>
          <t>Aula 5</t>
        </is>
      </c>
      <c r="D7" s="6" t="inlineStr">
        <is>
          <t>Aula 5</t>
        </is>
      </c>
      <c r="E7" s="6" t="inlineStr">
        <is>
          <t>SEDER</t>
        </is>
      </c>
      <c r="F7" s="6" t="inlineStr">
        <is>
          <t>Aula 5</t>
        </is>
      </c>
      <c r="G7" s="6" t="inlineStr">
        <is>
          <t>Lab</t>
        </is>
      </c>
      <c r="H7" t="inlineStr"/>
      <c r="I7" s="2" t="inlineStr">
        <is>
          <t>AM I</t>
        </is>
      </c>
      <c r="J7" s="1" t="inlineStr">
        <is>
          <t>Análisis Matemático I</t>
        </is>
      </c>
      <c r="K7" s="1" t="n">
        <v>2</v>
      </c>
      <c r="L7" s="1">
        <f>K7-M7</f>
        <v/>
      </c>
      <c r="M7" s="1">
        <f>COUNTIF($C$4:$G$15,I7)</f>
        <v/>
      </c>
      <c r="N7" t="inlineStr"/>
      <c r="O7" t="inlineStr"/>
    </row>
    <row r="8">
      <c r="A8" t="inlineStr"/>
      <c r="B8" s="3" t="inlineStr">
        <is>
          <t>Turno 3</t>
        </is>
      </c>
      <c r="C8" s="4" t="inlineStr">
        <is>
          <t>L</t>
        </is>
      </c>
      <c r="D8" s="4" t="inlineStr">
        <is>
          <t>A I</t>
        </is>
      </c>
      <c r="E8" s="4" t="inlineStr">
        <is>
          <t>AM I</t>
        </is>
      </c>
      <c r="F8" s="4" t="inlineStr">
        <is>
          <t>F</t>
        </is>
      </c>
      <c r="G8" s="4" t="inlineStr"/>
      <c r="H8" t="inlineStr"/>
      <c r="I8" s="2" t="inlineStr">
        <is>
          <t>F</t>
        </is>
      </c>
      <c r="J8" s="1" t="inlineStr">
        <is>
          <t>Filosofía</t>
        </is>
      </c>
      <c r="K8" s="1" t="n">
        <v>2</v>
      </c>
      <c r="L8" s="1">
        <f>K8-M8</f>
        <v/>
      </c>
      <c r="M8" s="1">
        <f>COUNTIF($C$4:$G$15,I8)</f>
        <v/>
      </c>
      <c r="N8" t="inlineStr"/>
      <c r="O8" t="inlineStr"/>
    </row>
    <row r="9">
      <c r="A9" t="inlineStr"/>
      <c r="B9" s="5" t="n"/>
      <c r="C9" s="6" t="inlineStr">
        <is>
          <t>Aula 5</t>
        </is>
      </c>
      <c r="D9" s="6" t="inlineStr">
        <is>
          <t>Aula 5</t>
        </is>
      </c>
      <c r="E9" s="6" t="inlineStr">
        <is>
          <t>Aula 5</t>
        </is>
      </c>
      <c r="F9" s="6" t="inlineStr">
        <is>
          <t>Aula 5</t>
        </is>
      </c>
      <c r="G9" s="6" t="inlineStr"/>
      <c r="H9" t="inlineStr"/>
      <c r="I9" s="2" t="inlineStr">
        <is>
          <t>EF</t>
        </is>
      </c>
      <c r="J9" s="1" t="inlineStr">
        <is>
          <t>Educación Física I</t>
        </is>
      </c>
      <c r="K9" s="1" t="n">
        <v>2</v>
      </c>
      <c r="L9" s="1">
        <f>K9-M9</f>
        <v/>
      </c>
      <c r="M9" s="1">
        <f>COUNTIF($C$4:$G$15,I9)</f>
        <v/>
      </c>
      <c r="N9" t="inlineStr"/>
      <c r="O9" t="inlineStr"/>
    </row>
    <row r="10">
      <c r="A10" t="inlineStr"/>
      <c r="B10" s="3" t="inlineStr">
        <is>
          <t>Turno 4</t>
        </is>
      </c>
      <c r="C10" s="4" t="inlineStr"/>
      <c r="D10" s="4" t="inlineStr"/>
      <c r="E10" s="4" t="inlineStr"/>
      <c r="F10" s="4" t="inlineStr"/>
      <c r="G10" s="4" t="inlineStr"/>
      <c r="H10" t="inlineStr"/>
      <c r="I10" t="inlineStr"/>
      <c r="J10" t="inlineStr"/>
      <c r="K10" t="inlineStr"/>
      <c r="L10" t="inlineStr">
        <is>
          <t>Total:</t>
        </is>
      </c>
      <c r="M10">
        <f>COUNTA(I4:I9)</f>
        <v/>
      </c>
      <c r="N10" t="inlineStr"/>
      <c r="O10" t="inlineStr"/>
    </row>
    <row r="11">
      <c r="A11" t="inlineStr"/>
      <c r="B11" s="5" t="n"/>
      <c r="C11" s="6" t="inlineStr"/>
      <c r="D11" s="6" t="inlineStr"/>
      <c r="E11" s="6" t="inlineStr"/>
      <c r="F11" s="6" t="inlineStr"/>
      <c r="G11" s="6" t="inlineStr"/>
      <c r="H11" t="inlineStr"/>
      <c r="I11" t="inlineStr"/>
      <c r="J11" t="inlineStr"/>
      <c r="K11" t="inlineStr"/>
      <c r="L11" t="inlineStr">
        <is>
          <t>Σ Frec:</t>
        </is>
      </c>
      <c r="M11">
        <f>SUM(K4:K9)</f>
        <v/>
      </c>
      <c r="N11" t="inlineStr"/>
      <c r="O11" t="inlineStr"/>
    </row>
    <row r="12">
      <c r="A12" t="inlineStr"/>
      <c r="B12" s="3" t="inlineStr">
        <is>
          <t>Turno 5</t>
        </is>
      </c>
      <c r="C12" s="4" t="inlineStr"/>
      <c r="D12" s="4" t="inlineStr"/>
      <c r="E12" s="4" t="inlineStr"/>
      <c r="F12" s="4" t="inlineStr"/>
      <c r="G12" s="4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/>
      <c r="B13" s="5" t="n"/>
      <c r="C13" s="6" t="inlineStr"/>
      <c r="D13" s="6" t="inlineStr"/>
      <c r="E13" s="6" t="inlineStr"/>
      <c r="F13" s="6" t="inlineStr"/>
      <c r="G13" s="6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/>
      <c r="B14" s="3" t="inlineStr">
        <is>
          <t>Turno 6</t>
        </is>
      </c>
      <c r="C14" s="4" t="inlineStr"/>
      <c r="D14" s="4" t="inlineStr"/>
      <c r="E14" s="4" t="inlineStr"/>
      <c r="F14" s="4" t="inlineStr"/>
      <c r="G14" s="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/>
      <c r="B15" s="5" t="n"/>
      <c r="C15" s="6" t="inlineStr"/>
      <c r="D15" s="6" t="inlineStr"/>
      <c r="E15" s="6" t="inlineStr"/>
      <c r="F15" s="6" t="inlineStr"/>
      <c r="G15" s="6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F16" t="inlineStr">
        <is>
          <t>Ocupados:</t>
        </is>
      </c>
      <c r="G16">
        <f>COUNTA(C4:G15)/2</f>
        <v/>
      </c>
    </row>
  </sheetData>
  <mergeCells count="6">
    <mergeCell ref="B4:B5"/>
    <mergeCell ref="B12:B13"/>
    <mergeCell ref="B8:B9"/>
    <mergeCell ref="B10:B11"/>
    <mergeCell ref="B6:B7"/>
    <mergeCell ref="B14:B15"/>
  </mergeCells>
  <conditionalFormatting sqref="C4">
    <cfRule type="expression" priority="1" dxfId="0" stopIfTrue="1">
      <formula>AND(C4&lt;&gt;"", COUNTIF($I4:I9,C4)=0)</formula>
    </cfRule>
  </conditionalFormatting>
  <conditionalFormatting sqref="D4">
    <cfRule type="expression" priority="2" dxfId="0" stopIfTrue="1">
      <formula>AND(D4&lt;&gt;"", COUNTIF($I4:I9,D4)=0)</formula>
    </cfRule>
  </conditionalFormatting>
  <conditionalFormatting sqref="E4">
    <cfRule type="expression" priority="3" dxfId="0" stopIfTrue="1">
      <formula>AND(E4&lt;&gt;"", COUNTIF($I4:I9,E4)=0)</formula>
    </cfRule>
  </conditionalFormatting>
  <conditionalFormatting sqref="F4">
    <cfRule type="expression" priority="4" dxfId="0" stopIfTrue="1">
      <formula>AND(F4&lt;&gt;"", COUNTIF($I4:I9,F4)=0)</formula>
    </cfRule>
  </conditionalFormatting>
  <conditionalFormatting sqref="G4">
    <cfRule type="expression" priority="5" dxfId="0" stopIfTrue="1">
      <formula>AND(G4&lt;&gt;"", COUNTIF($I4:I9,G4)=0)</formula>
    </cfRule>
  </conditionalFormatting>
  <conditionalFormatting sqref="C6">
    <cfRule type="expression" priority="6" dxfId="0" stopIfTrue="1">
      <formula>AND(C6&lt;&gt;"", COUNTIF($I4:I9,C6)=0)</formula>
    </cfRule>
  </conditionalFormatting>
  <conditionalFormatting sqref="D6">
    <cfRule type="expression" priority="7" dxfId="0" stopIfTrue="1">
      <formula>AND(D6&lt;&gt;"", COUNTIF($I4:I9,D6)=0)</formula>
    </cfRule>
  </conditionalFormatting>
  <conditionalFormatting sqref="E6">
    <cfRule type="expression" priority="8" dxfId="0" stopIfTrue="1">
      <formula>AND(E6&lt;&gt;"", COUNTIF($I4:I9,E6)=0)</formula>
    </cfRule>
  </conditionalFormatting>
  <conditionalFormatting sqref="F6">
    <cfRule type="expression" priority="9" dxfId="0" stopIfTrue="1">
      <formula>AND(F6&lt;&gt;"", COUNTIF($I4:I9,F6)=0)</formula>
    </cfRule>
  </conditionalFormatting>
  <conditionalFormatting sqref="G6">
    <cfRule type="expression" priority="10" dxfId="0" stopIfTrue="1">
      <formula>AND(G6&lt;&gt;"", COUNTIF($I4:I9,G6)=0)</formula>
    </cfRule>
  </conditionalFormatting>
  <conditionalFormatting sqref="C8">
    <cfRule type="expression" priority="11" dxfId="0" stopIfTrue="1">
      <formula>AND(C8&lt;&gt;"", COUNTIF($I4:I9,C8)=0)</formula>
    </cfRule>
  </conditionalFormatting>
  <conditionalFormatting sqref="D8">
    <cfRule type="expression" priority="12" dxfId="0" stopIfTrue="1">
      <formula>AND(D8&lt;&gt;"", COUNTIF($I4:I9,D8)=0)</formula>
    </cfRule>
  </conditionalFormatting>
  <conditionalFormatting sqref="E8">
    <cfRule type="expression" priority="13" dxfId="0" stopIfTrue="1">
      <formula>AND(E8&lt;&gt;"", COUNTIF($I4:I9,E8)=0)</formula>
    </cfRule>
  </conditionalFormatting>
  <conditionalFormatting sqref="F8">
    <cfRule type="expression" priority="14" dxfId="0" stopIfTrue="1">
      <formula>AND(F8&lt;&gt;"", COUNTIF($I4:I9,F8)=0)</formula>
    </cfRule>
  </conditionalFormatting>
  <conditionalFormatting sqref="G8">
    <cfRule type="expression" priority="15" dxfId="0" stopIfTrue="1">
      <formula>AND(G8&lt;&gt;"", COUNTIF($I4:I9,G8)=0)</formula>
    </cfRule>
  </conditionalFormatting>
  <conditionalFormatting sqref="C10">
    <cfRule type="expression" priority="16" dxfId="0" stopIfTrue="1">
      <formula>AND(C10&lt;&gt;"", COUNTIF($I4:I9,C10)=0)</formula>
    </cfRule>
  </conditionalFormatting>
  <conditionalFormatting sqref="D10">
    <cfRule type="expression" priority="17" dxfId="0" stopIfTrue="1">
      <formula>AND(D10&lt;&gt;"", COUNTIF($I4:I9,D10)=0)</formula>
    </cfRule>
  </conditionalFormatting>
  <conditionalFormatting sqref="E10">
    <cfRule type="expression" priority="18" dxfId="0" stopIfTrue="1">
      <formula>AND(E10&lt;&gt;"", COUNTIF($I4:I9,E10)=0)</formula>
    </cfRule>
  </conditionalFormatting>
  <conditionalFormatting sqref="F10">
    <cfRule type="expression" priority="19" dxfId="0" stopIfTrue="1">
      <formula>AND(F10&lt;&gt;"", COUNTIF($I4:I9,F10)=0)</formula>
    </cfRule>
  </conditionalFormatting>
  <conditionalFormatting sqref="G10">
    <cfRule type="expression" priority="20" dxfId="0" stopIfTrue="1">
      <formula>AND(G10&lt;&gt;"", COUNTIF($I4:I9,G10)=0)</formula>
    </cfRule>
  </conditionalFormatting>
  <conditionalFormatting sqref="C12">
    <cfRule type="expression" priority="21" dxfId="0" stopIfTrue="1">
      <formula>AND(C12&lt;&gt;"", COUNTIF($I4:I9,C12)=0)</formula>
    </cfRule>
  </conditionalFormatting>
  <conditionalFormatting sqref="D12">
    <cfRule type="expression" priority="22" dxfId="0" stopIfTrue="1">
      <formula>AND(D12&lt;&gt;"", COUNTIF($I4:I9,D12)=0)</formula>
    </cfRule>
  </conditionalFormatting>
  <conditionalFormatting sqref="E12">
    <cfRule type="expression" priority="23" dxfId="0" stopIfTrue="1">
      <formula>AND(E12&lt;&gt;"", COUNTIF($I4:I9,E12)=0)</formula>
    </cfRule>
  </conditionalFormatting>
  <conditionalFormatting sqref="F12">
    <cfRule type="expression" priority="24" dxfId="0" stopIfTrue="1">
      <formula>AND(F12&lt;&gt;"", COUNTIF($I4:I9,F12)=0)</formula>
    </cfRule>
  </conditionalFormatting>
  <conditionalFormatting sqref="G12">
    <cfRule type="expression" priority="25" dxfId="0" stopIfTrue="1">
      <formula>AND(G12&lt;&gt;"", COUNTIF($I4:I9,G12)=0)</formula>
    </cfRule>
  </conditionalFormatting>
  <conditionalFormatting sqref="C14">
    <cfRule type="expression" priority="26" dxfId="0" stopIfTrue="1">
      <formula>AND(C14&lt;&gt;"", COUNTIF($I4:I9,C14)=0)</formula>
    </cfRule>
  </conditionalFormatting>
  <conditionalFormatting sqref="D14">
    <cfRule type="expression" priority="27" dxfId="0" stopIfTrue="1">
      <formula>AND(D14&lt;&gt;"", COUNTIF($I4:I9,D14)=0)</formula>
    </cfRule>
  </conditionalFormatting>
  <conditionalFormatting sqref="E14">
    <cfRule type="expression" priority="28" dxfId="0" stopIfTrue="1">
      <formula>AND(E14&lt;&gt;"", COUNTIF($I4:I9,E14)=0)</formula>
    </cfRule>
  </conditionalFormatting>
  <conditionalFormatting sqref="F14">
    <cfRule type="expression" priority="29" dxfId="0" stopIfTrue="1">
      <formula>AND(F14&lt;&gt;"", COUNTIF($I4:I9,F14)=0)</formula>
    </cfRule>
  </conditionalFormatting>
  <conditionalFormatting sqref="G14">
    <cfRule type="expression" priority="30" dxfId="0" stopIfTrue="1">
      <formula>AND(G14&lt;&gt;"", COUNTIF($I4:I9,G14)=0)</formula>
    </cfRule>
  </conditionalFormatting>
  <conditionalFormatting sqref="C5">
    <cfRule type="expression" priority="31" dxfId="1" stopIfTrue="1">
      <formula>AND(C5&lt;&gt;"", COUNTIF($O4:O5,C5)=0)</formula>
    </cfRule>
    <cfRule type="expression" priority="61" dxfId="2" stopIfTrue="1">
      <formula>AND(C4&lt;&gt;"", C5="")</formula>
    </cfRule>
  </conditionalFormatting>
  <conditionalFormatting sqref="D5">
    <cfRule type="expression" priority="32" dxfId="1" stopIfTrue="1">
      <formula>AND(D5&lt;&gt;"", COUNTIF($O4:O5,D5)=0)</formula>
    </cfRule>
    <cfRule type="expression" priority="62" dxfId="2" stopIfTrue="1">
      <formula>AND(D4&lt;&gt;"", D5="")</formula>
    </cfRule>
  </conditionalFormatting>
  <conditionalFormatting sqref="E5">
    <cfRule type="expression" priority="33" dxfId="1" stopIfTrue="1">
      <formula>AND(E5&lt;&gt;"", COUNTIF($O4:O5,E5)=0)</formula>
    </cfRule>
    <cfRule type="expression" priority="63" dxfId="2" stopIfTrue="1">
      <formula>AND(E4&lt;&gt;"", E5="")</formula>
    </cfRule>
  </conditionalFormatting>
  <conditionalFormatting sqref="F5">
    <cfRule type="expression" priority="34" dxfId="1" stopIfTrue="1">
      <formula>AND(F5&lt;&gt;"", COUNTIF($O4:O5,F5)=0)</formula>
    </cfRule>
    <cfRule type="expression" priority="64" dxfId="2" stopIfTrue="1">
      <formula>AND(F4&lt;&gt;"", F5="")</formula>
    </cfRule>
  </conditionalFormatting>
  <conditionalFormatting sqref="G5">
    <cfRule type="expression" priority="35" dxfId="1" stopIfTrue="1">
      <formula>AND(G5&lt;&gt;"", COUNTIF($O4:O5,G5)=0)</formula>
    </cfRule>
    <cfRule type="expression" priority="65" dxfId="2" stopIfTrue="1">
      <formula>AND(G4&lt;&gt;"", G5="")</formula>
    </cfRule>
  </conditionalFormatting>
  <conditionalFormatting sqref="C7">
    <cfRule type="expression" priority="36" dxfId="1" stopIfTrue="1">
      <formula>AND(C7&lt;&gt;"", COUNTIF($O4:O5,C7)=0)</formula>
    </cfRule>
    <cfRule type="expression" priority="66" dxfId="2" stopIfTrue="1">
      <formula>AND(C6&lt;&gt;"", C7="")</formula>
    </cfRule>
  </conditionalFormatting>
  <conditionalFormatting sqref="D7">
    <cfRule type="expression" priority="37" dxfId="1" stopIfTrue="1">
      <formula>AND(D7&lt;&gt;"", COUNTIF($O4:O5,D7)=0)</formula>
    </cfRule>
    <cfRule type="expression" priority="67" dxfId="2" stopIfTrue="1">
      <formula>AND(D6&lt;&gt;"", D7="")</formula>
    </cfRule>
  </conditionalFormatting>
  <conditionalFormatting sqref="E7">
    <cfRule type="expression" priority="38" dxfId="1" stopIfTrue="1">
      <formula>AND(E7&lt;&gt;"", COUNTIF($O4:O5,E7)=0)</formula>
    </cfRule>
    <cfRule type="expression" priority="68" dxfId="2" stopIfTrue="1">
      <formula>AND(E6&lt;&gt;"", E7="")</formula>
    </cfRule>
  </conditionalFormatting>
  <conditionalFormatting sqref="F7">
    <cfRule type="expression" priority="39" dxfId="1" stopIfTrue="1">
      <formula>AND(F7&lt;&gt;"", COUNTIF($O4:O5,F7)=0)</formula>
    </cfRule>
    <cfRule type="expression" priority="69" dxfId="2" stopIfTrue="1">
      <formula>AND(F6&lt;&gt;"", F7="")</formula>
    </cfRule>
  </conditionalFormatting>
  <conditionalFormatting sqref="G7">
    <cfRule type="expression" priority="40" dxfId="1" stopIfTrue="1">
      <formula>AND(G7&lt;&gt;"", COUNTIF($O4:O5,G7)=0)</formula>
    </cfRule>
    <cfRule type="expression" priority="70" dxfId="2" stopIfTrue="1">
      <formula>AND(G6&lt;&gt;"", G7="")</formula>
    </cfRule>
  </conditionalFormatting>
  <conditionalFormatting sqref="C9">
    <cfRule type="expression" priority="41" dxfId="1" stopIfTrue="1">
      <formula>AND(C9&lt;&gt;"", COUNTIF($O4:O5,C9)=0)</formula>
    </cfRule>
    <cfRule type="expression" priority="71" dxfId="2" stopIfTrue="1">
      <formula>AND(C8&lt;&gt;"", C9="")</formula>
    </cfRule>
  </conditionalFormatting>
  <conditionalFormatting sqref="D9">
    <cfRule type="expression" priority="42" dxfId="1" stopIfTrue="1">
      <formula>AND(D9&lt;&gt;"", COUNTIF($O4:O5,D9)=0)</formula>
    </cfRule>
    <cfRule type="expression" priority="72" dxfId="2" stopIfTrue="1">
      <formula>AND(D8&lt;&gt;"", D9="")</formula>
    </cfRule>
  </conditionalFormatting>
  <conditionalFormatting sqref="E9">
    <cfRule type="expression" priority="43" dxfId="1" stopIfTrue="1">
      <formula>AND(E9&lt;&gt;"", COUNTIF($O4:O5,E9)=0)</formula>
    </cfRule>
    <cfRule type="expression" priority="73" dxfId="2" stopIfTrue="1">
      <formula>AND(E8&lt;&gt;"", E9="")</formula>
    </cfRule>
  </conditionalFormatting>
  <conditionalFormatting sqref="F9">
    <cfRule type="expression" priority="44" dxfId="1" stopIfTrue="1">
      <formula>AND(F9&lt;&gt;"", COUNTIF($O4:O5,F9)=0)</formula>
    </cfRule>
    <cfRule type="expression" priority="74" dxfId="2" stopIfTrue="1">
      <formula>AND(F8&lt;&gt;"", F9="")</formula>
    </cfRule>
  </conditionalFormatting>
  <conditionalFormatting sqref="G9">
    <cfRule type="expression" priority="45" dxfId="1" stopIfTrue="1">
      <formula>AND(G9&lt;&gt;"", COUNTIF($O4:O5,G9)=0)</formula>
    </cfRule>
    <cfRule type="expression" priority="75" dxfId="2" stopIfTrue="1">
      <formula>AND(G8&lt;&gt;"", G9="")</formula>
    </cfRule>
  </conditionalFormatting>
  <conditionalFormatting sqref="C11">
    <cfRule type="expression" priority="46" dxfId="1" stopIfTrue="1">
      <formula>AND(C11&lt;&gt;"", COUNTIF($O4:O5,C11)=0)</formula>
    </cfRule>
    <cfRule type="expression" priority="76" dxfId="2" stopIfTrue="1">
      <formula>AND(C10&lt;&gt;"", C11="")</formula>
    </cfRule>
  </conditionalFormatting>
  <conditionalFormatting sqref="D11">
    <cfRule type="expression" priority="47" dxfId="1" stopIfTrue="1">
      <formula>AND(D11&lt;&gt;"", COUNTIF($O4:O5,D11)=0)</formula>
    </cfRule>
    <cfRule type="expression" priority="77" dxfId="2" stopIfTrue="1">
      <formula>AND(D10&lt;&gt;"", D11="")</formula>
    </cfRule>
  </conditionalFormatting>
  <conditionalFormatting sqref="E11">
    <cfRule type="expression" priority="48" dxfId="1" stopIfTrue="1">
      <formula>AND(E11&lt;&gt;"", COUNTIF($O4:O5,E11)=0)</formula>
    </cfRule>
    <cfRule type="expression" priority="78" dxfId="2" stopIfTrue="1">
      <formula>AND(E10&lt;&gt;"", E11="")</formula>
    </cfRule>
  </conditionalFormatting>
  <conditionalFormatting sqref="F11">
    <cfRule type="expression" priority="49" dxfId="1" stopIfTrue="1">
      <formula>AND(F11&lt;&gt;"", COUNTIF($O4:O5,F11)=0)</formula>
    </cfRule>
    <cfRule type="expression" priority="79" dxfId="2" stopIfTrue="1">
      <formula>AND(F10&lt;&gt;"", F11="")</formula>
    </cfRule>
  </conditionalFormatting>
  <conditionalFormatting sqref="G11">
    <cfRule type="expression" priority="50" dxfId="1" stopIfTrue="1">
      <formula>AND(G11&lt;&gt;"", COUNTIF($O4:O5,G11)=0)</formula>
    </cfRule>
    <cfRule type="expression" priority="80" dxfId="2" stopIfTrue="1">
      <formula>AND(G10&lt;&gt;"", G11="")</formula>
    </cfRule>
  </conditionalFormatting>
  <conditionalFormatting sqref="C13">
    <cfRule type="expression" priority="51" dxfId="1" stopIfTrue="1">
      <formula>AND(C13&lt;&gt;"", COUNTIF($O4:O5,C13)=0)</formula>
    </cfRule>
    <cfRule type="expression" priority="81" dxfId="2" stopIfTrue="1">
      <formula>AND(C12&lt;&gt;"", C13="")</formula>
    </cfRule>
  </conditionalFormatting>
  <conditionalFormatting sqref="D13">
    <cfRule type="expression" priority="52" dxfId="1" stopIfTrue="1">
      <formula>AND(D13&lt;&gt;"", COUNTIF($O4:O5,D13)=0)</formula>
    </cfRule>
    <cfRule type="expression" priority="82" dxfId="2" stopIfTrue="1">
      <formula>AND(D12&lt;&gt;"", D13="")</formula>
    </cfRule>
  </conditionalFormatting>
  <conditionalFormatting sqref="E13">
    <cfRule type="expression" priority="53" dxfId="1" stopIfTrue="1">
      <formula>AND(E13&lt;&gt;"", COUNTIF($O4:O5,E13)=0)</formula>
    </cfRule>
    <cfRule type="expression" priority="83" dxfId="2" stopIfTrue="1">
      <formula>AND(E12&lt;&gt;"", E13="")</formula>
    </cfRule>
  </conditionalFormatting>
  <conditionalFormatting sqref="F13">
    <cfRule type="expression" priority="54" dxfId="1" stopIfTrue="1">
      <formula>AND(F13&lt;&gt;"", COUNTIF($O4:O5,F13)=0)</formula>
    </cfRule>
    <cfRule type="expression" priority="84" dxfId="2" stopIfTrue="1">
      <formula>AND(F12&lt;&gt;"", F13="")</formula>
    </cfRule>
  </conditionalFormatting>
  <conditionalFormatting sqref="G13">
    <cfRule type="expression" priority="55" dxfId="1" stopIfTrue="1">
      <formula>AND(G13&lt;&gt;"", COUNTIF($O4:O5,G13)=0)</formula>
    </cfRule>
    <cfRule type="expression" priority="85" dxfId="2" stopIfTrue="1">
      <formula>AND(G12&lt;&gt;"", G13="")</formula>
    </cfRule>
  </conditionalFormatting>
  <conditionalFormatting sqref="C15">
    <cfRule type="expression" priority="56" dxfId="1" stopIfTrue="1">
      <formula>AND(C15&lt;&gt;"", COUNTIF($O4:O5,C15)=0)</formula>
    </cfRule>
    <cfRule type="expression" priority="86" dxfId="2" stopIfTrue="1">
      <formula>AND(C14&lt;&gt;"", C15="")</formula>
    </cfRule>
  </conditionalFormatting>
  <conditionalFormatting sqref="D15">
    <cfRule type="expression" priority="57" dxfId="1" stopIfTrue="1">
      <formula>AND(D15&lt;&gt;"", COUNTIF($O4:O5,D15)=0)</formula>
    </cfRule>
    <cfRule type="expression" priority="87" dxfId="2" stopIfTrue="1">
      <formula>AND(D14&lt;&gt;"", D15="")</formula>
    </cfRule>
  </conditionalFormatting>
  <conditionalFormatting sqref="E15">
    <cfRule type="expression" priority="58" dxfId="1" stopIfTrue="1">
      <formula>AND(E15&lt;&gt;"", COUNTIF($O4:O5,E15)=0)</formula>
    </cfRule>
    <cfRule type="expression" priority="88" dxfId="2" stopIfTrue="1">
      <formula>AND(E14&lt;&gt;"", E15="")</formula>
    </cfRule>
  </conditionalFormatting>
  <conditionalFormatting sqref="F15">
    <cfRule type="expression" priority="59" dxfId="1" stopIfTrue="1">
      <formula>AND(F15&lt;&gt;"", COUNTIF($O4:O5,F15)=0)</formula>
    </cfRule>
    <cfRule type="expression" priority="89" dxfId="2" stopIfTrue="1">
      <formula>AND(F14&lt;&gt;"", F15="")</formula>
    </cfRule>
  </conditionalFormatting>
  <conditionalFormatting sqref="G15">
    <cfRule type="expression" priority="60" dxfId="1" stopIfTrue="1">
      <formula>AND(G15&lt;&gt;"", COUNTIF($O4:O5,G15)=0)</formula>
    </cfRule>
    <cfRule type="expression" priority="90" dxfId="2" stopIfTrue="1">
      <formula>AND(G14&lt;&gt;"", G15="")</formula>
    </cfRule>
  </conditionalFormatting>
  <conditionalFormatting sqref="J4">
    <cfRule type="expression" priority="91" dxfId="3" stopIfTrue="1">
      <formula>AND(J4&lt;&gt;"", M4&gt;0, L4=0)</formula>
    </cfRule>
    <cfRule type="expression" priority="97" dxfId="4" stopIfTrue="1">
      <formula>AND(J4&lt;&gt;"", M4&gt;0, L4&lt;0)</formula>
    </cfRule>
    <cfRule type="expression" priority="103" dxfId="5" stopIfTrue="1">
      <formula>AND(J4&lt;&gt;"", M4&gt;0, L4&gt;0, L4&lt;K4)</formula>
    </cfRule>
  </conditionalFormatting>
  <conditionalFormatting sqref="J5">
    <cfRule type="expression" priority="92" dxfId="3" stopIfTrue="1">
      <formula>AND(J5&lt;&gt;"", M5&gt;0, L5=0)</formula>
    </cfRule>
    <cfRule type="expression" priority="98" dxfId="4" stopIfTrue="1">
      <formula>AND(J5&lt;&gt;"", M5&gt;0, L5&lt;0)</formula>
    </cfRule>
    <cfRule type="expression" priority="104" dxfId="5" stopIfTrue="1">
      <formula>AND(J5&lt;&gt;"", M5&gt;0, L5&gt;0, L5&lt;K5)</formula>
    </cfRule>
  </conditionalFormatting>
  <conditionalFormatting sqref="J6">
    <cfRule type="expression" priority="93" dxfId="3" stopIfTrue="1">
      <formula>AND(J6&lt;&gt;"", M6&gt;0, L6=0)</formula>
    </cfRule>
    <cfRule type="expression" priority="99" dxfId="4" stopIfTrue="1">
      <formula>AND(J6&lt;&gt;"", M6&gt;0, L6&lt;0)</formula>
    </cfRule>
    <cfRule type="expression" priority="105" dxfId="5" stopIfTrue="1">
      <formula>AND(J6&lt;&gt;"", M6&gt;0, L6&gt;0, L6&lt;K6)</formula>
    </cfRule>
  </conditionalFormatting>
  <conditionalFormatting sqref="J7">
    <cfRule type="expression" priority="94" dxfId="3" stopIfTrue="1">
      <formula>AND(J7&lt;&gt;"", M7&gt;0, L7=0)</formula>
    </cfRule>
    <cfRule type="expression" priority="100" dxfId="4" stopIfTrue="1">
      <formula>AND(J7&lt;&gt;"", M7&gt;0, L7&lt;0)</formula>
    </cfRule>
    <cfRule type="expression" priority="106" dxfId="5" stopIfTrue="1">
      <formula>AND(J7&lt;&gt;"", M7&gt;0, L7&gt;0, L7&lt;K7)</formula>
    </cfRule>
  </conditionalFormatting>
  <conditionalFormatting sqref="J8">
    <cfRule type="expression" priority="95" dxfId="3" stopIfTrue="1">
      <formula>AND(J8&lt;&gt;"", M8&gt;0, L8=0)</formula>
    </cfRule>
    <cfRule type="expression" priority="101" dxfId="4" stopIfTrue="1">
      <formula>AND(J8&lt;&gt;"", M8&gt;0, L8&lt;0)</formula>
    </cfRule>
    <cfRule type="expression" priority="107" dxfId="5" stopIfTrue="1">
      <formula>AND(J8&lt;&gt;"", M8&gt;0, L8&gt;0, L8&lt;K8)</formula>
    </cfRule>
  </conditionalFormatting>
  <conditionalFormatting sqref="J9">
    <cfRule type="expression" priority="96" dxfId="3" stopIfTrue="1">
      <formula>AND(J9&lt;&gt;"", M9&gt;0, L9=0)</formula>
    </cfRule>
    <cfRule type="expression" priority="102" dxfId="4" stopIfTrue="1">
      <formula>AND(J9&lt;&gt;"", M9&gt;0, L9&lt;0)</formula>
    </cfRule>
    <cfRule type="expression" priority="108" dxfId="5" stopIfTrue="1">
      <formula>AND(J9&lt;&gt;"", M9&gt;0, L9&gt;0, L9&lt;K9)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 xml:space="preserve">Grupo </t>
        </is>
      </c>
      <c r="B1" t="inlineStr">
        <is>
          <t>C122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s="1" t="inlineStr"/>
      <c r="C3" s="1" t="inlineStr">
        <is>
          <t>Lunes</t>
        </is>
      </c>
      <c r="D3" s="1" t="inlineStr">
        <is>
          <t>Martes</t>
        </is>
      </c>
      <c r="E3" s="1" t="inlineStr">
        <is>
          <t>Miércoles</t>
        </is>
      </c>
      <c r="F3" s="1" t="inlineStr">
        <is>
          <t>Jueves</t>
        </is>
      </c>
      <c r="G3" s="1" t="inlineStr">
        <is>
          <t>Viernes</t>
        </is>
      </c>
      <c r="H3" t="inlineStr"/>
      <c r="I3" s="2" t="inlineStr">
        <is>
          <t>Abrev</t>
        </is>
      </c>
      <c r="J3" s="1" t="inlineStr">
        <is>
          <t>Asignaturas</t>
        </is>
      </c>
      <c r="K3" s="1" t="inlineStr">
        <is>
          <t>Frec</t>
        </is>
      </c>
      <c r="L3" s="1" t="inlineStr">
        <is>
          <t>Faltan</t>
        </is>
      </c>
      <c r="M3" s="1" t="inlineStr">
        <is>
          <t>Asignadas</t>
        </is>
      </c>
      <c r="N3" t="inlineStr"/>
      <c r="O3" t="inlineStr">
        <is>
          <t>Aulas</t>
        </is>
      </c>
    </row>
    <row r="4">
      <c r="A4" t="inlineStr"/>
      <c r="B4" s="3" t="inlineStr">
        <is>
          <t>Turno 1</t>
        </is>
      </c>
      <c r="C4" s="4" t="inlineStr">
        <is>
          <t>P</t>
        </is>
      </c>
      <c r="D4" s="4" t="inlineStr">
        <is>
          <t>A I</t>
        </is>
      </c>
      <c r="E4" s="4" t="inlineStr">
        <is>
          <t>AM I</t>
        </is>
      </c>
      <c r="F4" s="4" t="inlineStr">
        <is>
          <t>L</t>
        </is>
      </c>
      <c r="G4" s="4" t="inlineStr">
        <is>
          <t>P</t>
        </is>
      </c>
      <c r="H4" t="inlineStr"/>
      <c r="I4" s="2" t="inlineStr">
        <is>
          <t>A I</t>
        </is>
      </c>
      <c r="J4" s="1" t="inlineStr">
        <is>
          <t>Álgebra I</t>
        </is>
      </c>
      <c r="K4" s="1" t="n">
        <v>3</v>
      </c>
      <c r="L4" s="1">
        <f>K4-M4</f>
        <v/>
      </c>
      <c r="M4" s="1">
        <f>COUNTIF($C$4:$G$15,I4)</f>
        <v/>
      </c>
      <c r="N4" t="inlineStr"/>
      <c r="O4" s="1" t="inlineStr">
        <is>
          <t>Aula 1</t>
        </is>
      </c>
    </row>
    <row r="5">
      <c r="A5" t="inlineStr"/>
      <c r="B5" s="5" t="n"/>
      <c r="C5" s="6" t="inlineStr">
        <is>
          <t>Aula 5</t>
        </is>
      </c>
      <c r="D5" s="6" t="inlineStr">
        <is>
          <t>Aula 5</t>
        </is>
      </c>
      <c r="E5" s="6" t="inlineStr">
        <is>
          <t>Aula 1</t>
        </is>
      </c>
      <c r="F5" s="6" t="inlineStr">
        <is>
          <t>Aula 1</t>
        </is>
      </c>
      <c r="G5" s="6" t="inlineStr">
        <is>
          <t>Lab</t>
        </is>
      </c>
      <c r="H5" t="inlineStr"/>
      <c r="I5" s="2" t="inlineStr">
        <is>
          <t>L</t>
        </is>
      </c>
      <c r="J5" s="1" t="inlineStr">
        <is>
          <t>Lógica</t>
        </is>
      </c>
      <c r="K5" s="1" t="n">
        <v>2</v>
      </c>
      <c r="L5" s="1">
        <f>K5-M5</f>
        <v/>
      </c>
      <c r="M5" s="1">
        <f>COUNTIF($C$4:$G$15,I5)</f>
        <v/>
      </c>
      <c r="N5" t="inlineStr"/>
      <c r="O5" s="1" t="inlineStr">
        <is>
          <t>Aula 5</t>
        </is>
      </c>
    </row>
    <row r="6">
      <c r="A6" t="inlineStr"/>
      <c r="B6" s="3" t="inlineStr">
        <is>
          <t>Turno 2</t>
        </is>
      </c>
      <c r="C6" s="4" t="inlineStr">
        <is>
          <t>F</t>
        </is>
      </c>
      <c r="D6" s="4" t="inlineStr">
        <is>
          <t>AM I</t>
        </is>
      </c>
      <c r="E6" s="4" t="inlineStr">
        <is>
          <t>EF</t>
        </is>
      </c>
      <c r="F6" s="4" t="inlineStr">
        <is>
          <t>AM I</t>
        </is>
      </c>
      <c r="G6" s="4" t="inlineStr">
        <is>
          <t>A I</t>
        </is>
      </c>
      <c r="H6" t="inlineStr"/>
      <c r="I6" s="2" t="inlineStr">
        <is>
          <t>P</t>
        </is>
      </c>
      <c r="J6" s="1" t="inlineStr">
        <is>
          <t>Programación</t>
        </is>
      </c>
      <c r="K6" s="1" t="n">
        <v>3</v>
      </c>
      <c r="L6" s="1">
        <f>K6-M6</f>
        <v/>
      </c>
      <c r="M6" s="1">
        <f>COUNTIF($C$4:$G$15,I6)</f>
        <v/>
      </c>
      <c r="N6" t="inlineStr"/>
      <c r="O6" s="1" t="inlineStr">
        <is>
          <t>Lab</t>
        </is>
      </c>
    </row>
    <row r="7">
      <c r="A7" t="inlineStr"/>
      <c r="B7" s="5" t="n"/>
      <c r="C7" s="6" t="inlineStr">
        <is>
          <t>Aula 5</t>
        </is>
      </c>
      <c r="D7" s="6" t="inlineStr">
        <is>
          <t>Aula 5</t>
        </is>
      </c>
      <c r="E7" s="6" t="inlineStr">
        <is>
          <t>SEDER</t>
        </is>
      </c>
      <c r="F7" s="6" t="inlineStr">
        <is>
          <t>Aula 1</t>
        </is>
      </c>
      <c r="G7" s="6" t="inlineStr">
        <is>
          <t>Aula 1</t>
        </is>
      </c>
      <c r="H7" t="inlineStr"/>
      <c r="I7" s="2" t="inlineStr">
        <is>
          <t>AM I</t>
        </is>
      </c>
      <c r="J7" s="1" t="inlineStr">
        <is>
          <t>Análisis Matemático I</t>
        </is>
      </c>
      <c r="K7" s="1" t="n">
        <v>2</v>
      </c>
      <c r="L7" s="1">
        <f>K7-M7</f>
        <v/>
      </c>
      <c r="M7" s="1">
        <f>COUNTIF($C$4:$G$15,I7)</f>
        <v/>
      </c>
      <c r="N7" t="inlineStr">
        <is>
          <t>Total:</t>
        </is>
      </c>
      <c r="O7">
        <f>COUNTA(O4:O6)</f>
        <v/>
      </c>
    </row>
    <row r="8">
      <c r="A8" t="inlineStr"/>
      <c r="B8" s="3" t="inlineStr">
        <is>
          <t>Turno 3</t>
        </is>
      </c>
      <c r="C8" s="4" t="inlineStr">
        <is>
          <t>L</t>
        </is>
      </c>
      <c r="D8" s="4" t="inlineStr">
        <is>
          <t>A I</t>
        </is>
      </c>
      <c r="E8" s="4" t="inlineStr">
        <is>
          <t>P</t>
        </is>
      </c>
      <c r="F8" s="4" t="inlineStr">
        <is>
          <t>F</t>
        </is>
      </c>
      <c r="G8" s="4" t="inlineStr"/>
      <c r="H8" t="inlineStr"/>
      <c r="I8" s="2" t="inlineStr">
        <is>
          <t>F</t>
        </is>
      </c>
      <c r="J8" s="1" t="inlineStr">
        <is>
          <t>Filosofía</t>
        </is>
      </c>
      <c r="K8" s="1" t="n">
        <v>2</v>
      </c>
      <c r="L8" s="1">
        <f>K8-M8</f>
        <v/>
      </c>
      <c r="M8" s="1">
        <f>COUNTIF($C$4:$G$15,I8)</f>
        <v/>
      </c>
      <c r="N8" t="inlineStr"/>
      <c r="O8" t="inlineStr"/>
    </row>
    <row r="9">
      <c r="A9" t="inlineStr"/>
      <c r="B9" s="5" t="n"/>
      <c r="C9" s="6" t="inlineStr">
        <is>
          <t>Aula 5</t>
        </is>
      </c>
      <c r="D9" s="6" t="inlineStr">
        <is>
          <t>Aula 1</t>
        </is>
      </c>
      <c r="E9" s="6" t="inlineStr">
        <is>
          <t>Aula 1</t>
        </is>
      </c>
      <c r="F9" s="6" t="inlineStr">
        <is>
          <t>Aula 5</t>
        </is>
      </c>
      <c r="G9" s="6" t="inlineStr"/>
      <c r="H9" t="inlineStr"/>
      <c r="I9" s="2" t="inlineStr">
        <is>
          <t>EF</t>
        </is>
      </c>
      <c r="J9" s="1" t="inlineStr">
        <is>
          <t>Educación Física I</t>
        </is>
      </c>
      <c r="K9" s="1" t="n">
        <v>2</v>
      </c>
      <c r="L9" s="1">
        <f>K9-M9</f>
        <v/>
      </c>
      <c r="M9" s="1">
        <f>COUNTIF($C$4:$G$15,I9)</f>
        <v/>
      </c>
      <c r="N9" t="inlineStr"/>
      <c r="O9" t="inlineStr"/>
    </row>
    <row r="10">
      <c r="A10" t="inlineStr"/>
      <c r="B10" s="3" t="inlineStr">
        <is>
          <t>Turno 4</t>
        </is>
      </c>
      <c r="C10" s="4" t="inlineStr"/>
      <c r="D10" s="4" t="inlineStr"/>
      <c r="E10" s="4" t="inlineStr"/>
      <c r="F10" s="4" t="inlineStr"/>
      <c r="G10" s="4" t="inlineStr"/>
      <c r="H10" t="inlineStr"/>
      <c r="I10" t="inlineStr"/>
      <c r="J10" t="inlineStr"/>
      <c r="K10" t="inlineStr"/>
      <c r="L10" t="inlineStr">
        <is>
          <t>Total:</t>
        </is>
      </c>
      <c r="M10">
        <f>COUNTA(I4:I9)</f>
        <v/>
      </c>
      <c r="N10" t="inlineStr"/>
      <c r="O10" t="inlineStr"/>
    </row>
    <row r="11">
      <c r="A11" t="inlineStr"/>
      <c r="B11" s="5" t="n"/>
      <c r="C11" s="6" t="inlineStr"/>
      <c r="D11" s="6" t="inlineStr"/>
      <c r="E11" s="6" t="inlineStr"/>
      <c r="F11" s="6" t="inlineStr"/>
      <c r="G11" s="6" t="inlineStr"/>
      <c r="H11" t="inlineStr"/>
      <c r="I11" t="inlineStr"/>
      <c r="J11" t="inlineStr"/>
      <c r="K11" t="inlineStr"/>
      <c r="L11" t="inlineStr">
        <is>
          <t>Σ Frec:</t>
        </is>
      </c>
      <c r="M11">
        <f>SUM(K4:K9)</f>
        <v/>
      </c>
      <c r="N11" t="inlineStr"/>
      <c r="O11" t="inlineStr"/>
    </row>
    <row r="12">
      <c r="A12" t="inlineStr"/>
      <c r="B12" s="3" t="inlineStr">
        <is>
          <t>Turno 5</t>
        </is>
      </c>
      <c r="C12" s="4" t="inlineStr"/>
      <c r="D12" s="4" t="inlineStr"/>
      <c r="E12" s="4" t="inlineStr"/>
      <c r="F12" s="4" t="inlineStr"/>
      <c r="G12" s="4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/>
      <c r="B13" s="5" t="n"/>
      <c r="C13" s="6" t="inlineStr"/>
      <c r="D13" s="6" t="inlineStr"/>
      <c r="E13" s="6" t="inlineStr"/>
      <c r="F13" s="6" t="inlineStr"/>
      <c r="G13" s="6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/>
      <c r="B14" s="3" t="inlineStr">
        <is>
          <t>Turno 6</t>
        </is>
      </c>
      <c r="C14" s="4" t="inlineStr"/>
      <c r="D14" s="4" t="inlineStr"/>
      <c r="E14" s="4" t="inlineStr"/>
      <c r="F14" s="4" t="inlineStr"/>
      <c r="G14" s="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/>
      <c r="B15" s="5" t="n"/>
      <c r="C15" s="6" t="inlineStr"/>
      <c r="D15" s="6" t="inlineStr"/>
      <c r="E15" s="6" t="inlineStr"/>
      <c r="F15" s="6" t="inlineStr"/>
      <c r="G15" s="6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F16" t="inlineStr">
        <is>
          <t>Ocupados:</t>
        </is>
      </c>
      <c r="G16">
        <f>COUNTA(C4:G15)/2</f>
        <v/>
      </c>
    </row>
  </sheetData>
  <mergeCells count="6">
    <mergeCell ref="B4:B5"/>
    <mergeCell ref="B12:B13"/>
    <mergeCell ref="B8:B9"/>
    <mergeCell ref="B10:B11"/>
    <mergeCell ref="B6:B7"/>
    <mergeCell ref="B14:B15"/>
  </mergeCells>
  <conditionalFormatting sqref="C4">
    <cfRule type="expression" priority="1" dxfId="0" stopIfTrue="1">
      <formula>AND(C4&lt;&gt;"", COUNTIF($I4:I9,C4)=0)</formula>
    </cfRule>
  </conditionalFormatting>
  <conditionalFormatting sqref="D4">
    <cfRule type="expression" priority="2" dxfId="0" stopIfTrue="1">
      <formula>AND(D4&lt;&gt;"", COUNTIF($I4:I9,D4)=0)</formula>
    </cfRule>
  </conditionalFormatting>
  <conditionalFormatting sqref="E4">
    <cfRule type="expression" priority="3" dxfId="0" stopIfTrue="1">
      <formula>AND(E4&lt;&gt;"", COUNTIF($I4:I9,E4)=0)</formula>
    </cfRule>
  </conditionalFormatting>
  <conditionalFormatting sqref="F4">
    <cfRule type="expression" priority="4" dxfId="0" stopIfTrue="1">
      <formula>AND(F4&lt;&gt;"", COUNTIF($I4:I9,F4)=0)</formula>
    </cfRule>
  </conditionalFormatting>
  <conditionalFormatting sqref="G4">
    <cfRule type="expression" priority="5" dxfId="0" stopIfTrue="1">
      <formula>AND(G4&lt;&gt;"", COUNTIF($I4:I9,G4)=0)</formula>
    </cfRule>
  </conditionalFormatting>
  <conditionalFormatting sqref="C6">
    <cfRule type="expression" priority="6" dxfId="0" stopIfTrue="1">
      <formula>AND(C6&lt;&gt;"", COUNTIF($I4:I9,C6)=0)</formula>
    </cfRule>
  </conditionalFormatting>
  <conditionalFormatting sqref="D6">
    <cfRule type="expression" priority="7" dxfId="0" stopIfTrue="1">
      <formula>AND(D6&lt;&gt;"", COUNTIF($I4:I9,D6)=0)</formula>
    </cfRule>
  </conditionalFormatting>
  <conditionalFormatting sqref="E6">
    <cfRule type="expression" priority="8" dxfId="0" stopIfTrue="1">
      <formula>AND(E6&lt;&gt;"", COUNTIF($I4:I9,E6)=0)</formula>
    </cfRule>
  </conditionalFormatting>
  <conditionalFormatting sqref="F6">
    <cfRule type="expression" priority="9" dxfId="0" stopIfTrue="1">
      <formula>AND(F6&lt;&gt;"", COUNTIF($I4:I9,F6)=0)</formula>
    </cfRule>
  </conditionalFormatting>
  <conditionalFormatting sqref="G6">
    <cfRule type="expression" priority="10" dxfId="0" stopIfTrue="1">
      <formula>AND(G6&lt;&gt;"", COUNTIF($I4:I9,G6)=0)</formula>
    </cfRule>
  </conditionalFormatting>
  <conditionalFormatting sqref="C8">
    <cfRule type="expression" priority="11" dxfId="0" stopIfTrue="1">
      <formula>AND(C8&lt;&gt;"", COUNTIF($I4:I9,C8)=0)</formula>
    </cfRule>
  </conditionalFormatting>
  <conditionalFormatting sqref="D8">
    <cfRule type="expression" priority="12" dxfId="0" stopIfTrue="1">
      <formula>AND(D8&lt;&gt;"", COUNTIF($I4:I9,D8)=0)</formula>
    </cfRule>
  </conditionalFormatting>
  <conditionalFormatting sqref="E8">
    <cfRule type="expression" priority="13" dxfId="0" stopIfTrue="1">
      <formula>AND(E8&lt;&gt;"", COUNTIF($I4:I9,E8)=0)</formula>
    </cfRule>
  </conditionalFormatting>
  <conditionalFormatting sqref="F8">
    <cfRule type="expression" priority="14" dxfId="0" stopIfTrue="1">
      <formula>AND(F8&lt;&gt;"", COUNTIF($I4:I9,F8)=0)</formula>
    </cfRule>
  </conditionalFormatting>
  <conditionalFormatting sqref="G8">
    <cfRule type="expression" priority="15" dxfId="0" stopIfTrue="1">
      <formula>AND(G8&lt;&gt;"", COUNTIF($I4:I9,G8)=0)</formula>
    </cfRule>
  </conditionalFormatting>
  <conditionalFormatting sqref="C10">
    <cfRule type="expression" priority="16" dxfId="0" stopIfTrue="1">
      <formula>AND(C10&lt;&gt;"", COUNTIF($I4:I9,C10)=0)</formula>
    </cfRule>
  </conditionalFormatting>
  <conditionalFormatting sqref="D10">
    <cfRule type="expression" priority="17" dxfId="0" stopIfTrue="1">
      <formula>AND(D10&lt;&gt;"", COUNTIF($I4:I9,D10)=0)</formula>
    </cfRule>
  </conditionalFormatting>
  <conditionalFormatting sqref="E10">
    <cfRule type="expression" priority="18" dxfId="0" stopIfTrue="1">
      <formula>AND(E10&lt;&gt;"", COUNTIF($I4:I9,E10)=0)</formula>
    </cfRule>
  </conditionalFormatting>
  <conditionalFormatting sqref="F10">
    <cfRule type="expression" priority="19" dxfId="0" stopIfTrue="1">
      <formula>AND(F10&lt;&gt;"", COUNTIF($I4:I9,F10)=0)</formula>
    </cfRule>
  </conditionalFormatting>
  <conditionalFormatting sqref="G10">
    <cfRule type="expression" priority="20" dxfId="0" stopIfTrue="1">
      <formula>AND(G10&lt;&gt;"", COUNTIF($I4:I9,G10)=0)</formula>
    </cfRule>
  </conditionalFormatting>
  <conditionalFormatting sqref="C12">
    <cfRule type="expression" priority="21" dxfId="0" stopIfTrue="1">
      <formula>AND(C12&lt;&gt;"", COUNTIF($I4:I9,C12)=0)</formula>
    </cfRule>
  </conditionalFormatting>
  <conditionalFormatting sqref="D12">
    <cfRule type="expression" priority="22" dxfId="0" stopIfTrue="1">
      <formula>AND(D12&lt;&gt;"", COUNTIF($I4:I9,D12)=0)</formula>
    </cfRule>
  </conditionalFormatting>
  <conditionalFormatting sqref="E12">
    <cfRule type="expression" priority="23" dxfId="0" stopIfTrue="1">
      <formula>AND(E12&lt;&gt;"", COUNTIF($I4:I9,E12)=0)</formula>
    </cfRule>
  </conditionalFormatting>
  <conditionalFormatting sqref="F12">
    <cfRule type="expression" priority="24" dxfId="0" stopIfTrue="1">
      <formula>AND(F12&lt;&gt;"", COUNTIF($I4:I9,F12)=0)</formula>
    </cfRule>
  </conditionalFormatting>
  <conditionalFormatting sqref="G12">
    <cfRule type="expression" priority="25" dxfId="0" stopIfTrue="1">
      <formula>AND(G12&lt;&gt;"", COUNTIF($I4:I9,G12)=0)</formula>
    </cfRule>
  </conditionalFormatting>
  <conditionalFormatting sqref="C14">
    <cfRule type="expression" priority="26" dxfId="0" stopIfTrue="1">
      <formula>AND(C14&lt;&gt;"", COUNTIF($I4:I9,C14)=0)</formula>
    </cfRule>
  </conditionalFormatting>
  <conditionalFormatting sqref="D14">
    <cfRule type="expression" priority="27" dxfId="0" stopIfTrue="1">
      <formula>AND(D14&lt;&gt;"", COUNTIF($I4:I9,D14)=0)</formula>
    </cfRule>
  </conditionalFormatting>
  <conditionalFormatting sqref="E14">
    <cfRule type="expression" priority="28" dxfId="0" stopIfTrue="1">
      <formula>AND(E14&lt;&gt;"", COUNTIF($I4:I9,E14)=0)</formula>
    </cfRule>
  </conditionalFormatting>
  <conditionalFormatting sqref="F14">
    <cfRule type="expression" priority="29" dxfId="0" stopIfTrue="1">
      <formula>AND(F14&lt;&gt;"", COUNTIF($I4:I9,F14)=0)</formula>
    </cfRule>
  </conditionalFormatting>
  <conditionalFormatting sqref="G14">
    <cfRule type="expression" priority="30" dxfId="0" stopIfTrue="1">
      <formula>AND(G14&lt;&gt;"", COUNTIF($I4:I9,G14)=0)</formula>
    </cfRule>
  </conditionalFormatting>
  <conditionalFormatting sqref="C5">
    <cfRule type="expression" priority="31" dxfId="1" stopIfTrue="1">
      <formula>AND(C5&lt;&gt;"", COUNTIF($O4:O6,C5)=0)</formula>
    </cfRule>
    <cfRule type="expression" priority="61" dxfId="2" stopIfTrue="1">
      <formula>AND(C4&lt;&gt;"", C5="")</formula>
    </cfRule>
  </conditionalFormatting>
  <conditionalFormatting sqref="D5">
    <cfRule type="expression" priority="32" dxfId="1" stopIfTrue="1">
      <formula>AND(D5&lt;&gt;"", COUNTIF($O4:O6,D5)=0)</formula>
    </cfRule>
    <cfRule type="expression" priority="62" dxfId="2" stopIfTrue="1">
      <formula>AND(D4&lt;&gt;"", D5="")</formula>
    </cfRule>
  </conditionalFormatting>
  <conditionalFormatting sqref="E5">
    <cfRule type="expression" priority="33" dxfId="1" stopIfTrue="1">
      <formula>AND(E5&lt;&gt;"", COUNTIF($O4:O6,E5)=0)</formula>
    </cfRule>
    <cfRule type="expression" priority="63" dxfId="2" stopIfTrue="1">
      <formula>AND(E4&lt;&gt;"", E5="")</formula>
    </cfRule>
  </conditionalFormatting>
  <conditionalFormatting sqref="F5">
    <cfRule type="expression" priority="34" dxfId="1" stopIfTrue="1">
      <formula>AND(F5&lt;&gt;"", COUNTIF($O4:O6,F5)=0)</formula>
    </cfRule>
    <cfRule type="expression" priority="64" dxfId="2" stopIfTrue="1">
      <formula>AND(F4&lt;&gt;"", F5="")</formula>
    </cfRule>
  </conditionalFormatting>
  <conditionalFormatting sqref="G5">
    <cfRule type="expression" priority="35" dxfId="1" stopIfTrue="1">
      <formula>AND(G5&lt;&gt;"", COUNTIF($O4:O6,G5)=0)</formula>
    </cfRule>
    <cfRule type="expression" priority="65" dxfId="2" stopIfTrue="1">
      <formula>AND(G4&lt;&gt;"", G5="")</formula>
    </cfRule>
  </conditionalFormatting>
  <conditionalFormatting sqref="C7">
    <cfRule type="expression" priority="36" dxfId="1" stopIfTrue="1">
      <formula>AND(C7&lt;&gt;"", COUNTIF($O4:O6,C7)=0)</formula>
    </cfRule>
    <cfRule type="expression" priority="66" dxfId="2" stopIfTrue="1">
      <formula>AND(C6&lt;&gt;"", C7="")</formula>
    </cfRule>
  </conditionalFormatting>
  <conditionalFormatting sqref="D7">
    <cfRule type="expression" priority="37" dxfId="1" stopIfTrue="1">
      <formula>AND(D7&lt;&gt;"", COUNTIF($O4:O6,D7)=0)</formula>
    </cfRule>
    <cfRule type="expression" priority="67" dxfId="2" stopIfTrue="1">
      <formula>AND(D6&lt;&gt;"", D7="")</formula>
    </cfRule>
  </conditionalFormatting>
  <conditionalFormatting sqref="E7">
    <cfRule type="expression" priority="38" dxfId="1" stopIfTrue="1">
      <formula>AND(E7&lt;&gt;"", COUNTIF($O4:O6,E7)=0)</formula>
    </cfRule>
    <cfRule type="expression" priority="68" dxfId="2" stopIfTrue="1">
      <formula>AND(E6&lt;&gt;"", E7="")</formula>
    </cfRule>
  </conditionalFormatting>
  <conditionalFormatting sqref="F7">
    <cfRule type="expression" priority="39" dxfId="1" stopIfTrue="1">
      <formula>AND(F7&lt;&gt;"", COUNTIF($O4:O6,F7)=0)</formula>
    </cfRule>
    <cfRule type="expression" priority="69" dxfId="2" stopIfTrue="1">
      <formula>AND(F6&lt;&gt;"", F7="")</formula>
    </cfRule>
  </conditionalFormatting>
  <conditionalFormatting sqref="G7">
    <cfRule type="expression" priority="40" dxfId="1" stopIfTrue="1">
      <formula>AND(G7&lt;&gt;"", COUNTIF($O4:O6,G7)=0)</formula>
    </cfRule>
    <cfRule type="expression" priority="70" dxfId="2" stopIfTrue="1">
      <formula>AND(G6&lt;&gt;"", G7="")</formula>
    </cfRule>
  </conditionalFormatting>
  <conditionalFormatting sqref="C9">
    <cfRule type="expression" priority="41" dxfId="1" stopIfTrue="1">
      <formula>AND(C9&lt;&gt;"", COUNTIF($O4:O6,C9)=0)</formula>
    </cfRule>
    <cfRule type="expression" priority="71" dxfId="2" stopIfTrue="1">
      <formula>AND(C8&lt;&gt;"", C9="")</formula>
    </cfRule>
  </conditionalFormatting>
  <conditionalFormatting sqref="D9">
    <cfRule type="expression" priority="42" dxfId="1" stopIfTrue="1">
      <formula>AND(D9&lt;&gt;"", COUNTIF($O4:O6,D9)=0)</formula>
    </cfRule>
    <cfRule type="expression" priority="72" dxfId="2" stopIfTrue="1">
      <formula>AND(D8&lt;&gt;"", D9="")</formula>
    </cfRule>
  </conditionalFormatting>
  <conditionalFormatting sqref="E9">
    <cfRule type="expression" priority="43" dxfId="1" stopIfTrue="1">
      <formula>AND(E9&lt;&gt;"", COUNTIF($O4:O6,E9)=0)</formula>
    </cfRule>
    <cfRule type="expression" priority="73" dxfId="2" stopIfTrue="1">
      <formula>AND(E8&lt;&gt;"", E9="")</formula>
    </cfRule>
  </conditionalFormatting>
  <conditionalFormatting sqref="F9">
    <cfRule type="expression" priority="44" dxfId="1" stopIfTrue="1">
      <formula>AND(F9&lt;&gt;"", COUNTIF($O4:O6,F9)=0)</formula>
    </cfRule>
    <cfRule type="expression" priority="74" dxfId="2" stopIfTrue="1">
      <formula>AND(F8&lt;&gt;"", F9="")</formula>
    </cfRule>
  </conditionalFormatting>
  <conditionalFormatting sqref="G9">
    <cfRule type="expression" priority="45" dxfId="1" stopIfTrue="1">
      <formula>AND(G9&lt;&gt;"", COUNTIF($O4:O6,G9)=0)</formula>
    </cfRule>
    <cfRule type="expression" priority="75" dxfId="2" stopIfTrue="1">
      <formula>AND(G8&lt;&gt;"", G9="")</formula>
    </cfRule>
  </conditionalFormatting>
  <conditionalFormatting sqref="C11">
    <cfRule type="expression" priority="46" dxfId="1" stopIfTrue="1">
      <formula>AND(C11&lt;&gt;"", COUNTIF($O4:O6,C11)=0)</formula>
    </cfRule>
    <cfRule type="expression" priority="76" dxfId="2" stopIfTrue="1">
      <formula>AND(C10&lt;&gt;"", C11="")</formula>
    </cfRule>
  </conditionalFormatting>
  <conditionalFormatting sqref="D11">
    <cfRule type="expression" priority="47" dxfId="1" stopIfTrue="1">
      <formula>AND(D11&lt;&gt;"", COUNTIF($O4:O6,D11)=0)</formula>
    </cfRule>
    <cfRule type="expression" priority="77" dxfId="2" stopIfTrue="1">
      <formula>AND(D10&lt;&gt;"", D11="")</formula>
    </cfRule>
  </conditionalFormatting>
  <conditionalFormatting sqref="E11">
    <cfRule type="expression" priority="48" dxfId="1" stopIfTrue="1">
      <formula>AND(E11&lt;&gt;"", COUNTIF($O4:O6,E11)=0)</formula>
    </cfRule>
    <cfRule type="expression" priority="78" dxfId="2" stopIfTrue="1">
      <formula>AND(E10&lt;&gt;"", E11="")</formula>
    </cfRule>
  </conditionalFormatting>
  <conditionalFormatting sqref="F11">
    <cfRule type="expression" priority="49" dxfId="1" stopIfTrue="1">
      <formula>AND(F11&lt;&gt;"", COUNTIF($O4:O6,F11)=0)</formula>
    </cfRule>
    <cfRule type="expression" priority="79" dxfId="2" stopIfTrue="1">
      <formula>AND(F10&lt;&gt;"", F11="")</formula>
    </cfRule>
  </conditionalFormatting>
  <conditionalFormatting sqref="G11">
    <cfRule type="expression" priority="50" dxfId="1" stopIfTrue="1">
      <formula>AND(G11&lt;&gt;"", COUNTIF($O4:O6,G11)=0)</formula>
    </cfRule>
    <cfRule type="expression" priority="80" dxfId="2" stopIfTrue="1">
      <formula>AND(G10&lt;&gt;"", G11="")</formula>
    </cfRule>
  </conditionalFormatting>
  <conditionalFormatting sqref="C13">
    <cfRule type="expression" priority="51" dxfId="1" stopIfTrue="1">
      <formula>AND(C13&lt;&gt;"", COUNTIF($O4:O6,C13)=0)</formula>
    </cfRule>
    <cfRule type="expression" priority="81" dxfId="2" stopIfTrue="1">
      <formula>AND(C12&lt;&gt;"", C13="")</formula>
    </cfRule>
  </conditionalFormatting>
  <conditionalFormatting sqref="D13">
    <cfRule type="expression" priority="52" dxfId="1" stopIfTrue="1">
      <formula>AND(D13&lt;&gt;"", COUNTIF($O4:O6,D13)=0)</formula>
    </cfRule>
    <cfRule type="expression" priority="82" dxfId="2" stopIfTrue="1">
      <formula>AND(D12&lt;&gt;"", D13="")</formula>
    </cfRule>
  </conditionalFormatting>
  <conditionalFormatting sqref="E13">
    <cfRule type="expression" priority="53" dxfId="1" stopIfTrue="1">
      <formula>AND(E13&lt;&gt;"", COUNTIF($O4:O6,E13)=0)</formula>
    </cfRule>
    <cfRule type="expression" priority="83" dxfId="2" stopIfTrue="1">
      <formula>AND(E12&lt;&gt;"", E13="")</formula>
    </cfRule>
  </conditionalFormatting>
  <conditionalFormatting sqref="F13">
    <cfRule type="expression" priority="54" dxfId="1" stopIfTrue="1">
      <formula>AND(F13&lt;&gt;"", COUNTIF($O4:O6,F13)=0)</formula>
    </cfRule>
    <cfRule type="expression" priority="84" dxfId="2" stopIfTrue="1">
      <formula>AND(F12&lt;&gt;"", F13="")</formula>
    </cfRule>
  </conditionalFormatting>
  <conditionalFormatting sqref="G13">
    <cfRule type="expression" priority="55" dxfId="1" stopIfTrue="1">
      <formula>AND(G13&lt;&gt;"", COUNTIF($O4:O6,G13)=0)</formula>
    </cfRule>
    <cfRule type="expression" priority="85" dxfId="2" stopIfTrue="1">
      <formula>AND(G12&lt;&gt;"", G13="")</formula>
    </cfRule>
  </conditionalFormatting>
  <conditionalFormatting sqref="C15">
    <cfRule type="expression" priority="56" dxfId="1" stopIfTrue="1">
      <formula>AND(C15&lt;&gt;"", COUNTIF($O4:O6,C15)=0)</formula>
    </cfRule>
    <cfRule type="expression" priority="86" dxfId="2" stopIfTrue="1">
      <formula>AND(C14&lt;&gt;"", C15="")</formula>
    </cfRule>
  </conditionalFormatting>
  <conditionalFormatting sqref="D15">
    <cfRule type="expression" priority="57" dxfId="1" stopIfTrue="1">
      <formula>AND(D15&lt;&gt;"", COUNTIF($O4:O6,D15)=0)</formula>
    </cfRule>
    <cfRule type="expression" priority="87" dxfId="2" stopIfTrue="1">
      <formula>AND(D14&lt;&gt;"", D15="")</formula>
    </cfRule>
  </conditionalFormatting>
  <conditionalFormatting sqref="E15">
    <cfRule type="expression" priority="58" dxfId="1" stopIfTrue="1">
      <formula>AND(E15&lt;&gt;"", COUNTIF($O4:O6,E15)=0)</formula>
    </cfRule>
    <cfRule type="expression" priority="88" dxfId="2" stopIfTrue="1">
      <formula>AND(E14&lt;&gt;"", E15="")</formula>
    </cfRule>
  </conditionalFormatting>
  <conditionalFormatting sqref="F15">
    <cfRule type="expression" priority="59" dxfId="1" stopIfTrue="1">
      <formula>AND(F15&lt;&gt;"", COUNTIF($O4:O6,F15)=0)</formula>
    </cfRule>
    <cfRule type="expression" priority="89" dxfId="2" stopIfTrue="1">
      <formula>AND(F14&lt;&gt;"", F15="")</formula>
    </cfRule>
  </conditionalFormatting>
  <conditionalFormatting sqref="G15">
    <cfRule type="expression" priority="60" dxfId="1" stopIfTrue="1">
      <formula>AND(G15&lt;&gt;"", COUNTIF($O4:O6,G15)=0)</formula>
    </cfRule>
    <cfRule type="expression" priority="90" dxfId="2" stopIfTrue="1">
      <formula>AND(G14&lt;&gt;"", G15="")</formula>
    </cfRule>
  </conditionalFormatting>
  <conditionalFormatting sqref="J4">
    <cfRule type="expression" priority="91" dxfId="3" stopIfTrue="1">
      <formula>AND(J4&lt;&gt;"", M4&gt;0, L4=0)</formula>
    </cfRule>
    <cfRule type="expression" priority="97" dxfId="4" stopIfTrue="1">
      <formula>AND(J4&lt;&gt;"", M4&gt;0, L4&lt;0)</formula>
    </cfRule>
    <cfRule type="expression" priority="103" dxfId="5" stopIfTrue="1">
      <formula>AND(J4&lt;&gt;"", M4&gt;0, L4&gt;0, L4&lt;K4)</formula>
    </cfRule>
  </conditionalFormatting>
  <conditionalFormatting sqref="J5">
    <cfRule type="expression" priority="92" dxfId="3" stopIfTrue="1">
      <formula>AND(J5&lt;&gt;"", M5&gt;0, L5=0)</formula>
    </cfRule>
    <cfRule type="expression" priority="98" dxfId="4" stopIfTrue="1">
      <formula>AND(J5&lt;&gt;"", M5&gt;0, L5&lt;0)</formula>
    </cfRule>
    <cfRule type="expression" priority="104" dxfId="5" stopIfTrue="1">
      <formula>AND(J5&lt;&gt;"", M5&gt;0, L5&gt;0, L5&lt;K5)</formula>
    </cfRule>
  </conditionalFormatting>
  <conditionalFormatting sqref="J6">
    <cfRule type="expression" priority="93" dxfId="3" stopIfTrue="1">
      <formula>AND(J6&lt;&gt;"", M6&gt;0, L6=0)</formula>
    </cfRule>
    <cfRule type="expression" priority="99" dxfId="4" stopIfTrue="1">
      <formula>AND(J6&lt;&gt;"", M6&gt;0, L6&lt;0)</formula>
    </cfRule>
    <cfRule type="expression" priority="105" dxfId="5" stopIfTrue="1">
      <formula>AND(J6&lt;&gt;"", M6&gt;0, L6&gt;0, L6&lt;K6)</formula>
    </cfRule>
  </conditionalFormatting>
  <conditionalFormatting sqref="J7">
    <cfRule type="expression" priority="94" dxfId="3" stopIfTrue="1">
      <formula>AND(J7&lt;&gt;"", M7&gt;0, L7=0)</formula>
    </cfRule>
    <cfRule type="expression" priority="100" dxfId="4" stopIfTrue="1">
      <formula>AND(J7&lt;&gt;"", M7&gt;0, L7&lt;0)</formula>
    </cfRule>
    <cfRule type="expression" priority="106" dxfId="5" stopIfTrue="1">
      <formula>AND(J7&lt;&gt;"", M7&gt;0, L7&gt;0, L7&lt;K7)</formula>
    </cfRule>
  </conditionalFormatting>
  <conditionalFormatting sqref="J8">
    <cfRule type="expression" priority="95" dxfId="3" stopIfTrue="1">
      <formula>AND(J8&lt;&gt;"", M8&gt;0, L8=0)</formula>
    </cfRule>
    <cfRule type="expression" priority="101" dxfId="4" stopIfTrue="1">
      <formula>AND(J8&lt;&gt;"", M8&gt;0, L8&lt;0)</formula>
    </cfRule>
    <cfRule type="expression" priority="107" dxfId="5" stopIfTrue="1">
      <formula>AND(J8&lt;&gt;"", M8&gt;0, L8&gt;0, L8&lt;K8)</formula>
    </cfRule>
  </conditionalFormatting>
  <conditionalFormatting sqref="J9">
    <cfRule type="expression" priority="96" dxfId="3" stopIfTrue="1">
      <formula>AND(J9&lt;&gt;"", M9&gt;0, L9=0)</formula>
    </cfRule>
    <cfRule type="expression" priority="102" dxfId="4" stopIfTrue="1">
      <formula>AND(J9&lt;&gt;"", M9&gt;0, L9&lt;0)</formula>
    </cfRule>
    <cfRule type="expression" priority="108" dxfId="5" stopIfTrue="1">
      <formula>AND(J9&lt;&gt;"", M9&gt;0, L9&gt;0, L9&lt;K9)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 xml:space="preserve">Grupo </t>
        </is>
      </c>
      <c r="B1" t="inlineStr">
        <is>
          <t>C211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s="1" t="inlineStr"/>
      <c r="C3" s="1" t="inlineStr">
        <is>
          <t>Lunes</t>
        </is>
      </c>
      <c r="D3" s="1" t="inlineStr">
        <is>
          <t>Martes</t>
        </is>
      </c>
      <c r="E3" s="1" t="inlineStr">
        <is>
          <t>Miércoles</t>
        </is>
      </c>
      <c r="F3" s="1" t="inlineStr">
        <is>
          <t>Jueves</t>
        </is>
      </c>
      <c r="G3" s="1" t="inlineStr">
        <is>
          <t>Viernes</t>
        </is>
      </c>
      <c r="H3" t="inlineStr"/>
      <c r="I3" s="2" t="inlineStr">
        <is>
          <t>Abrev</t>
        </is>
      </c>
      <c r="J3" s="1" t="inlineStr">
        <is>
          <t>Asignaturas</t>
        </is>
      </c>
      <c r="K3" s="1" t="inlineStr">
        <is>
          <t>Frec</t>
        </is>
      </c>
      <c r="L3" s="1" t="inlineStr">
        <is>
          <t>Faltan</t>
        </is>
      </c>
      <c r="M3" s="1" t="inlineStr">
        <is>
          <t>Asignadas</t>
        </is>
      </c>
      <c r="N3" t="inlineStr"/>
      <c r="O3" t="inlineStr">
        <is>
          <t>Aulas</t>
        </is>
      </c>
    </row>
    <row r="4">
      <c r="A4" t="inlineStr"/>
      <c r="B4" s="3" t="inlineStr">
        <is>
          <t>Turno 1</t>
        </is>
      </c>
      <c r="C4" s="4" t="inlineStr"/>
      <c r="D4" s="4" t="inlineStr"/>
      <c r="E4" s="4" t="inlineStr"/>
      <c r="F4" s="4" t="inlineStr"/>
      <c r="G4" s="4" t="inlineStr"/>
      <c r="H4" t="inlineStr"/>
      <c r="I4" s="2" t="inlineStr">
        <is>
          <t>EDA</t>
        </is>
      </c>
      <c r="J4" s="1" t="inlineStr">
        <is>
          <t>Estructuras de Datos y Algoritmos I</t>
        </is>
      </c>
      <c r="K4" s="1" t="n">
        <v>2</v>
      </c>
      <c r="L4" s="1">
        <f>K4-M4</f>
        <v/>
      </c>
      <c r="M4" s="1">
        <f>COUNTIF($C$4:$G$15,I4)</f>
        <v/>
      </c>
      <c r="N4" t="inlineStr"/>
      <c r="O4" s="1" t="inlineStr">
        <is>
          <t>c 6</t>
        </is>
      </c>
    </row>
    <row r="5">
      <c r="A5" t="inlineStr"/>
      <c r="B5" s="5" t="n"/>
      <c r="C5" s="6" t="inlineStr"/>
      <c r="D5" s="6" t="inlineStr"/>
      <c r="E5" s="6" t="inlineStr"/>
      <c r="F5" s="6" t="inlineStr"/>
      <c r="G5" s="6" t="inlineStr"/>
      <c r="H5" t="inlineStr"/>
      <c r="I5" s="2" t="inlineStr">
        <is>
          <t>MD</t>
        </is>
      </c>
      <c r="J5" s="1" t="inlineStr">
        <is>
          <t>Matemática Discreta I</t>
        </is>
      </c>
      <c r="K5" s="1" t="n">
        <v>2</v>
      </c>
      <c r="L5" s="1">
        <f>K5-M5</f>
        <v/>
      </c>
      <c r="M5" s="1">
        <f>COUNTIF($C$4:$G$15,I5)</f>
        <v/>
      </c>
      <c r="N5" t="inlineStr">
        <is>
          <t>Total:</t>
        </is>
      </c>
      <c r="O5">
        <f>COUNTA(O4:O4)</f>
        <v/>
      </c>
    </row>
    <row r="6">
      <c r="A6" t="inlineStr"/>
      <c r="B6" s="3" t="inlineStr">
        <is>
          <t>Turno 2</t>
        </is>
      </c>
      <c r="C6" s="4" t="inlineStr"/>
      <c r="D6" s="4" t="inlineStr"/>
      <c r="E6" s="4" t="inlineStr"/>
      <c r="F6" s="4" t="inlineStr"/>
      <c r="G6" s="4" t="inlineStr"/>
      <c r="H6" t="inlineStr"/>
      <c r="I6" s="2" t="inlineStr">
        <is>
          <t>AC</t>
        </is>
      </c>
      <c r="J6" s="1" t="inlineStr">
        <is>
          <t>Arquitectura de computadoras</t>
        </is>
      </c>
      <c r="K6" s="1" t="n">
        <v>2</v>
      </c>
      <c r="L6" s="1">
        <f>K6-M6</f>
        <v/>
      </c>
      <c r="M6" s="1">
        <f>COUNTIF($C$4:$G$15,I6)</f>
        <v/>
      </c>
      <c r="N6" t="inlineStr"/>
      <c r="O6" t="inlineStr"/>
    </row>
    <row r="7">
      <c r="A7" t="inlineStr"/>
      <c r="B7" s="5" t="n"/>
      <c r="C7" s="6" t="inlineStr"/>
      <c r="D7" s="6" t="inlineStr"/>
      <c r="E7" s="6" t="inlineStr"/>
      <c r="F7" s="6" t="inlineStr"/>
      <c r="G7" s="6" t="inlineStr"/>
      <c r="H7" t="inlineStr"/>
      <c r="I7" s="2" t="inlineStr">
        <is>
          <t>EDO</t>
        </is>
      </c>
      <c r="J7" s="1" t="inlineStr">
        <is>
          <t>Ecuaciones Diferenciales Ordinarias</t>
        </is>
      </c>
      <c r="K7" s="1" t="n">
        <v>2</v>
      </c>
      <c r="L7" s="1">
        <f>K7-M7</f>
        <v/>
      </c>
      <c r="M7" s="1">
        <f>COUNTIF($C$4:$G$15,I7)</f>
        <v/>
      </c>
      <c r="N7" t="inlineStr"/>
      <c r="O7" t="inlineStr"/>
    </row>
    <row r="8">
      <c r="A8" t="inlineStr"/>
      <c r="B8" s="3" t="inlineStr">
        <is>
          <t>Turno 3</t>
        </is>
      </c>
      <c r="C8" s="4" t="inlineStr"/>
      <c r="D8" s="4" t="inlineStr"/>
      <c r="E8" s="4" t="inlineStr"/>
      <c r="F8" s="4" t="inlineStr"/>
      <c r="G8" s="4" t="inlineStr"/>
      <c r="H8" t="inlineStr"/>
      <c r="I8" s="2" t="inlineStr">
        <is>
          <t>MN</t>
        </is>
      </c>
      <c r="J8" s="1" t="inlineStr">
        <is>
          <t>Matemática Numérica</t>
        </is>
      </c>
      <c r="K8" s="1" t="n">
        <v>2</v>
      </c>
      <c r="L8" s="1">
        <f>K8-M8</f>
        <v/>
      </c>
      <c r="M8" s="1">
        <f>COUNTIF($C$4:$G$15,I8)</f>
        <v/>
      </c>
      <c r="N8" t="inlineStr"/>
      <c r="O8" t="inlineStr"/>
    </row>
    <row r="9">
      <c r="A9" t="inlineStr"/>
      <c r="B9" s="5" t="n"/>
      <c r="C9" s="6" t="inlineStr"/>
      <c r="D9" s="6" t="inlineStr"/>
      <c r="E9" s="6" t="inlineStr"/>
      <c r="F9" s="6" t="inlineStr"/>
      <c r="G9" s="6" t="inlineStr"/>
      <c r="H9" t="inlineStr"/>
      <c r="I9" s="2" t="inlineStr">
        <is>
          <t>TP</t>
        </is>
      </c>
      <c r="J9" s="1" t="inlineStr">
        <is>
          <t>Teoría Política</t>
        </is>
      </c>
      <c r="K9" s="1" t="n">
        <v>2</v>
      </c>
      <c r="L9" s="1">
        <f>K9-M9</f>
        <v/>
      </c>
      <c r="M9" s="1">
        <f>COUNTIF($C$4:$G$15,I9)</f>
        <v/>
      </c>
      <c r="N9" t="inlineStr"/>
      <c r="O9" t="inlineStr"/>
    </row>
    <row r="10">
      <c r="A10" t="inlineStr"/>
      <c r="B10" s="3" t="inlineStr">
        <is>
          <t>Turno 4</t>
        </is>
      </c>
      <c r="C10" s="4" t="inlineStr">
        <is>
          <t>EDA I</t>
        </is>
      </c>
      <c r="D10" s="4" t="inlineStr">
        <is>
          <t>MD</t>
        </is>
      </c>
      <c r="E10" s="4" t="inlineStr">
        <is>
          <t>EDO</t>
        </is>
      </c>
      <c r="F10" s="4" t="inlineStr">
        <is>
          <t>MN</t>
        </is>
      </c>
      <c r="G10" s="4" t="inlineStr">
        <is>
          <t>AC</t>
        </is>
      </c>
      <c r="H10" t="inlineStr"/>
      <c r="I10" s="2" t="inlineStr">
        <is>
          <t>EF3</t>
        </is>
      </c>
      <c r="J10" s="1" t="inlineStr">
        <is>
          <t>Educación Física III</t>
        </is>
      </c>
      <c r="K10" s="1" t="n">
        <v>2</v>
      </c>
      <c r="L10" s="1">
        <f>K10-M10</f>
        <v/>
      </c>
      <c r="M10" s="1">
        <f>COUNTIF($C$4:$G$15,I10)</f>
        <v/>
      </c>
      <c r="N10" t="inlineStr"/>
      <c r="O10" t="inlineStr"/>
    </row>
    <row r="11">
      <c r="A11" t="inlineStr"/>
      <c r="B11" s="5" t="n"/>
      <c r="C11" s="6" t="inlineStr">
        <is>
          <t>c 6</t>
        </is>
      </c>
      <c r="D11" s="6" t="inlineStr">
        <is>
          <t>c6</t>
        </is>
      </c>
      <c r="E11" s="6" t="inlineStr">
        <is>
          <t>cp 6</t>
        </is>
      </c>
      <c r="F11" s="6" t="inlineStr">
        <is>
          <t>cp 6</t>
        </is>
      </c>
      <c r="G11" s="6" t="inlineStr">
        <is>
          <t>lab</t>
        </is>
      </c>
      <c r="H11" t="inlineStr"/>
      <c r="I11" t="inlineStr"/>
      <c r="J11" t="inlineStr"/>
      <c r="K11" t="inlineStr"/>
      <c r="L11" t="inlineStr">
        <is>
          <t>Total:</t>
        </is>
      </c>
      <c r="M11">
        <f>COUNTA(I4:I10)</f>
        <v/>
      </c>
      <c r="N11" t="inlineStr"/>
      <c r="O11" t="inlineStr"/>
    </row>
    <row r="12">
      <c r="A12" t="inlineStr"/>
      <c r="B12" s="3" t="inlineStr">
        <is>
          <t>Turno 5</t>
        </is>
      </c>
      <c r="C12" s="4" t="inlineStr">
        <is>
          <t>TP</t>
        </is>
      </c>
      <c r="D12" s="4" t="inlineStr">
        <is>
          <t>MN</t>
        </is>
      </c>
      <c r="E12" s="4" t="inlineStr">
        <is>
          <t>EDA I</t>
        </is>
      </c>
      <c r="F12" s="4" t="inlineStr">
        <is>
          <t>TP</t>
        </is>
      </c>
      <c r="G12" s="4" t="inlineStr">
        <is>
          <t>MD</t>
        </is>
      </c>
      <c r="H12" t="inlineStr"/>
      <c r="I12" t="inlineStr"/>
      <c r="J12" t="inlineStr"/>
      <c r="K12" t="inlineStr"/>
      <c r="L12" t="inlineStr">
        <is>
          <t>Σ Frec:</t>
        </is>
      </c>
      <c r="M12">
        <f>SUM(K4:K10)</f>
        <v/>
      </c>
      <c r="N12" t="inlineStr"/>
      <c r="O12" t="inlineStr"/>
    </row>
    <row r="13">
      <c r="A13" t="inlineStr"/>
      <c r="B13" s="5" t="n"/>
      <c r="C13" s="6" t="inlineStr">
        <is>
          <t>c 6</t>
        </is>
      </c>
      <c r="D13" s="6" t="inlineStr">
        <is>
          <t>c 6</t>
        </is>
      </c>
      <c r="E13" s="6" t="inlineStr">
        <is>
          <t>cp 6</t>
        </is>
      </c>
      <c r="F13" s="6" t="inlineStr">
        <is>
          <t>c 6</t>
        </is>
      </c>
      <c r="G13" s="6" t="inlineStr">
        <is>
          <t>cp 6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/>
      <c r="B14" s="3" t="inlineStr">
        <is>
          <t>Turno 6</t>
        </is>
      </c>
      <c r="C14" s="4" t="inlineStr">
        <is>
          <t>EDO</t>
        </is>
      </c>
      <c r="D14" s="4" t="inlineStr">
        <is>
          <t>AC</t>
        </is>
      </c>
      <c r="E14" s="4" t="inlineStr">
        <is>
          <t>EF 4:45pm a 5:35pm</t>
        </is>
      </c>
      <c r="F14" s="4" t="inlineStr"/>
      <c r="G14" s="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/>
      <c r="B15" s="5" t="n"/>
      <c r="C15" s="6" t="inlineStr">
        <is>
          <t>c 6</t>
        </is>
      </c>
      <c r="D15" s="6" t="inlineStr">
        <is>
          <t>c 6</t>
        </is>
      </c>
      <c r="E15" s="6" t="inlineStr"/>
      <c r="F15" s="6" t="inlineStr"/>
      <c r="G15" s="6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F16" t="inlineStr">
        <is>
          <t>Ocupados:</t>
        </is>
      </c>
      <c r="G16">
        <f>COUNTA(C4:G15)/2</f>
        <v/>
      </c>
    </row>
  </sheetData>
  <mergeCells count="6">
    <mergeCell ref="B4:B5"/>
    <mergeCell ref="B12:B13"/>
    <mergeCell ref="B8:B9"/>
    <mergeCell ref="B10:B11"/>
    <mergeCell ref="B6:B7"/>
    <mergeCell ref="B14:B15"/>
  </mergeCells>
  <conditionalFormatting sqref="C4">
    <cfRule type="expression" priority="1" dxfId="0" stopIfTrue="1">
      <formula>AND(C4&lt;&gt;"", COUNTIF($I4:I10,C4)=0)</formula>
    </cfRule>
  </conditionalFormatting>
  <conditionalFormatting sqref="D4">
    <cfRule type="expression" priority="2" dxfId="0" stopIfTrue="1">
      <formula>AND(D4&lt;&gt;"", COUNTIF($I4:I10,D4)=0)</formula>
    </cfRule>
  </conditionalFormatting>
  <conditionalFormatting sqref="E4">
    <cfRule type="expression" priority="3" dxfId="0" stopIfTrue="1">
      <formula>AND(E4&lt;&gt;"", COUNTIF($I4:I10,E4)=0)</formula>
    </cfRule>
  </conditionalFormatting>
  <conditionalFormatting sqref="F4">
    <cfRule type="expression" priority="4" dxfId="0" stopIfTrue="1">
      <formula>AND(F4&lt;&gt;"", COUNTIF($I4:I10,F4)=0)</formula>
    </cfRule>
  </conditionalFormatting>
  <conditionalFormatting sqref="G4">
    <cfRule type="expression" priority="5" dxfId="0" stopIfTrue="1">
      <formula>AND(G4&lt;&gt;"", COUNTIF($I4:I10,G4)=0)</formula>
    </cfRule>
  </conditionalFormatting>
  <conditionalFormatting sqref="C6">
    <cfRule type="expression" priority="6" dxfId="0" stopIfTrue="1">
      <formula>AND(C6&lt;&gt;"", COUNTIF($I4:I10,C6)=0)</formula>
    </cfRule>
  </conditionalFormatting>
  <conditionalFormatting sqref="D6">
    <cfRule type="expression" priority="7" dxfId="0" stopIfTrue="1">
      <formula>AND(D6&lt;&gt;"", COUNTIF($I4:I10,D6)=0)</formula>
    </cfRule>
  </conditionalFormatting>
  <conditionalFormatting sqref="E6">
    <cfRule type="expression" priority="8" dxfId="0" stopIfTrue="1">
      <formula>AND(E6&lt;&gt;"", COUNTIF($I4:I10,E6)=0)</formula>
    </cfRule>
  </conditionalFormatting>
  <conditionalFormatting sqref="F6">
    <cfRule type="expression" priority="9" dxfId="0" stopIfTrue="1">
      <formula>AND(F6&lt;&gt;"", COUNTIF($I4:I10,F6)=0)</formula>
    </cfRule>
  </conditionalFormatting>
  <conditionalFormatting sqref="G6">
    <cfRule type="expression" priority="10" dxfId="0" stopIfTrue="1">
      <formula>AND(G6&lt;&gt;"", COUNTIF($I4:I10,G6)=0)</formula>
    </cfRule>
  </conditionalFormatting>
  <conditionalFormatting sqref="C8">
    <cfRule type="expression" priority="11" dxfId="0" stopIfTrue="1">
      <formula>AND(C8&lt;&gt;"", COUNTIF($I4:I10,C8)=0)</formula>
    </cfRule>
  </conditionalFormatting>
  <conditionalFormatting sqref="D8">
    <cfRule type="expression" priority="12" dxfId="0" stopIfTrue="1">
      <formula>AND(D8&lt;&gt;"", COUNTIF($I4:I10,D8)=0)</formula>
    </cfRule>
  </conditionalFormatting>
  <conditionalFormatting sqref="E8">
    <cfRule type="expression" priority="13" dxfId="0" stopIfTrue="1">
      <formula>AND(E8&lt;&gt;"", COUNTIF($I4:I10,E8)=0)</formula>
    </cfRule>
  </conditionalFormatting>
  <conditionalFormatting sqref="F8">
    <cfRule type="expression" priority="14" dxfId="0" stopIfTrue="1">
      <formula>AND(F8&lt;&gt;"", COUNTIF($I4:I10,F8)=0)</formula>
    </cfRule>
  </conditionalFormatting>
  <conditionalFormatting sqref="G8">
    <cfRule type="expression" priority="15" dxfId="0" stopIfTrue="1">
      <formula>AND(G8&lt;&gt;"", COUNTIF($I4:I10,G8)=0)</formula>
    </cfRule>
  </conditionalFormatting>
  <conditionalFormatting sqref="C10">
    <cfRule type="expression" priority="16" dxfId="0" stopIfTrue="1">
      <formula>AND(C10&lt;&gt;"", COUNTIF($I4:I10,C10)=0)</formula>
    </cfRule>
  </conditionalFormatting>
  <conditionalFormatting sqref="D10">
    <cfRule type="expression" priority="17" dxfId="0" stopIfTrue="1">
      <formula>AND(D10&lt;&gt;"", COUNTIF($I4:I10,D10)=0)</formula>
    </cfRule>
  </conditionalFormatting>
  <conditionalFormatting sqref="E10">
    <cfRule type="expression" priority="18" dxfId="0" stopIfTrue="1">
      <formula>AND(E10&lt;&gt;"", COUNTIF($I4:I10,E10)=0)</formula>
    </cfRule>
  </conditionalFormatting>
  <conditionalFormatting sqref="F10">
    <cfRule type="expression" priority="19" dxfId="0" stopIfTrue="1">
      <formula>AND(F10&lt;&gt;"", COUNTIF($I4:I10,F10)=0)</formula>
    </cfRule>
  </conditionalFormatting>
  <conditionalFormatting sqref="G10">
    <cfRule type="expression" priority="20" dxfId="0" stopIfTrue="1">
      <formula>AND(G10&lt;&gt;"", COUNTIF($I4:I10,G10)=0)</formula>
    </cfRule>
  </conditionalFormatting>
  <conditionalFormatting sqref="C12">
    <cfRule type="expression" priority="21" dxfId="0" stopIfTrue="1">
      <formula>AND(C12&lt;&gt;"", COUNTIF($I4:I10,C12)=0)</formula>
    </cfRule>
  </conditionalFormatting>
  <conditionalFormatting sqref="D12">
    <cfRule type="expression" priority="22" dxfId="0" stopIfTrue="1">
      <formula>AND(D12&lt;&gt;"", COUNTIF($I4:I10,D12)=0)</formula>
    </cfRule>
  </conditionalFormatting>
  <conditionalFormatting sqref="E12">
    <cfRule type="expression" priority="23" dxfId="0" stopIfTrue="1">
      <formula>AND(E12&lt;&gt;"", COUNTIF($I4:I10,E12)=0)</formula>
    </cfRule>
  </conditionalFormatting>
  <conditionalFormatting sqref="F12">
    <cfRule type="expression" priority="24" dxfId="0" stopIfTrue="1">
      <formula>AND(F12&lt;&gt;"", COUNTIF($I4:I10,F12)=0)</formula>
    </cfRule>
  </conditionalFormatting>
  <conditionalFormatting sqref="G12">
    <cfRule type="expression" priority="25" dxfId="0" stopIfTrue="1">
      <formula>AND(G12&lt;&gt;"", COUNTIF($I4:I10,G12)=0)</formula>
    </cfRule>
  </conditionalFormatting>
  <conditionalFormatting sqref="C14">
    <cfRule type="expression" priority="26" dxfId="0" stopIfTrue="1">
      <formula>AND(C14&lt;&gt;"", COUNTIF($I4:I10,C14)=0)</formula>
    </cfRule>
  </conditionalFormatting>
  <conditionalFormatting sqref="D14">
    <cfRule type="expression" priority="27" dxfId="0" stopIfTrue="1">
      <formula>AND(D14&lt;&gt;"", COUNTIF($I4:I10,D14)=0)</formula>
    </cfRule>
  </conditionalFormatting>
  <conditionalFormatting sqref="E14">
    <cfRule type="expression" priority="28" dxfId="0" stopIfTrue="1">
      <formula>AND(E14&lt;&gt;"", COUNTIF($I4:I10,E14)=0)</formula>
    </cfRule>
  </conditionalFormatting>
  <conditionalFormatting sqref="F14">
    <cfRule type="expression" priority="29" dxfId="0" stopIfTrue="1">
      <formula>AND(F14&lt;&gt;"", COUNTIF($I4:I10,F14)=0)</formula>
    </cfRule>
  </conditionalFormatting>
  <conditionalFormatting sqref="G14">
    <cfRule type="expression" priority="30" dxfId="0" stopIfTrue="1">
      <formula>AND(G14&lt;&gt;"", COUNTIF($I4:I10,G14)=0)</formula>
    </cfRule>
  </conditionalFormatting>
  <conditionalFormatting sqref="C5">
    <cfRule type="expression" priority="31" dxfId="1" stopIfTrue="1">
      <formula>AND(C5&lt;&gt;"", COUNTIF($O4:O4,C5)=0)</formula>
    </cfRule>
    <cfRule type="expression" priority="61" dxfId="2" stopIfTrue="1">
      <formula>AND(C4&lt;&gt;"", C5="")</formula>
    </cfRule>
  </conditionalFormatting>
  <conditionalFormatting sqref="D5">
    <cfRule type="expression" priority="32" dxfId="1" stopIfTrue="1">
      <formula>AND(D5&lt;&gt;"", COUNTIF($O4:O4,D5)=0)</formula>
    </cfRule>
    <cfRule type="expression" priority="62" dxfId="2" stopIfTrue="1">
      <formula>AND(D4&lt;&gt;"", D5="")</formula>
    </cfRule>
  </conditionalFormatting>
  <conditionalFormatting sqref="E5">
    <cfRule type="expression" priority="33" dxfId="1" stopIfTrue="1">
      <formula>AND(E5&lt;&gt;"", COUNTIF($O4:O4,E5)=0)</formula>
    </cfRule>
    <cfRule type="expression" priority="63" dxfId="2" stopIfTrue="1">
      <formula>AND(E4&lt;&gt;"", E5="")</formula>
    </cfRule>
  </conditionalFormatting>
  <conditionalFormatting sqref="F5">
    <cfRule type="expression" priority="34" dxfId="1" stopIfTrue="1">
      <formula>AND(F5&lt;&gt;"", COUNTIF($O4:O4,F5)=0)</formula>
    </cfRule>
    <cfRule type="expression" priority="64" dxfId="2" stopIfTrue="1">
      <formula>AND(F4&lt;&gt;"", F5="")</formula>
    </cfRule>
  </conditionalFormatting>
  <conditionalFormatting sqref="G5">
    <cfRule type="expression" priority="35" dxfId="1" stopIfTrue="1">
      <formula>AND(G5&lt;&gt;"", COUNTIF($O4:O4,G5)=0)</formula>
    </cfRule>
    <cfRule type="expression" priority="65" dxfId="2" stopIfTrue="1">
      <formula>AND(G4&lt;&gt;"", G5="")</formula>
    </cfRule>
  </conditionalFormatting>
  <conditionalFormatting sqref="C7">
    <cfRule type="expression" priority="36" dxfId="1" stopIfTrue="1">
      <formula>AND(C7&lt;&gt;"", COUNTIF($O4:O4,C7)=0)</formula>
    </cfRule>
    <cfRule type="expression" priority="66" dxfId="2" stopIfTrue="1">
      <formula>AND(C6&lt;&gt;"", C7="")</formula>
    </cfRule>
  </conditionalFormatting>
  <conditionalFormatting sqref="D7">
    <cfRule type="expression" priority="37" dxfId="1" stopIfTrue="1">
      <formula>AND(D7&lt;&gt;"", COUNTIF($O4:O4,D7)=0)</formula>
    </cfRule>
    <cfRule type="expression" priority="67" dxfId="2" stopIfTrue="1">
      <formula>AND(D6&lt;&gt;"", D7="")</formula>
    </cfRule>
  </conditionalFormatting>
  <conditionalFormatting sqref="E7">
    <cfRule type="expression" priority="38" dxfId="1" stopIfTrue="1">
      <formula>AND(E7&lt;&gt;"", COUNTIF($O4:O4,E7)=0)</formula>
    </cfRule>
    <cfRule type="expression" priority="68" dxfId="2" stopIfTrue="1">
      <formula>AND(E6&lt;&gt;"", E7="")</formula>
    </cfRule>
  </conditionalFormatting>
  <conditionalFormatting sqref="F7">
    <cfRule type="expression" priority="39" dxfId="1" stopIfTrue="1">
      <formula>AND(F7&lt;&gt;"", COUNTIF($O4:O4,F7)=0)</formula>
    </cfRule>
    <cfRule type="expression" priority="69" dxfId="2" stopIfTrue="1">
      <formula>AND(F6&lt;&gt;"", F7="")</formula>
    </cfRule>
  </conditionalFormatting>
  <conditionalFormatting sqref="G7">
    <cfRule type="expression" priority="40" dxfId="1" stopIfTrue="1">
      <formula>AND(G7&lt;&gt;"", COUNTIF($O4:O4,G7)=0)</formula>
    </cfRule>
    <cfRule type="expression" priority="70" dxfId="2" stopIfTrue="1">
      <formula>AND(G6&lt;&gt;"", G7="")</formula>
    </cfRule>
  </conditionalFormatting>
  <conditionalFormatting sqref="C9">
    <cfRule type="expression" priority="41" dxfId="1" stopIfTrue="1">
      <formula>AND(C9&lt;&gt;"", COUNTIF($O4:O4,C9)=0)</formula>
    </cfRule>
    <cfRule type="expression" priority="71" dxfId="2" stopIfTrue="1">
      <formula>AND(C8&lt;&gt;"", C9="")</formula>
    </cfRule>
  </conditionalFormatting>
  <conditionalFormatting sqref="D9">
    <cfRule type="expression" priority="42" dxfId="1" stopIfTrue="1">
      <formula>AND(D9&lt;&gt;"", COUNTIF($O4:O4,D9)=0)</formula>
    </cfRule>
    <cfRule type="expression" priority="72" dxfId="2" stopIfTrue="1">
      <formula>AND(D8&lt;&gt;"", D9="")</formula>
    </cfRule>
  </conditionalFormatting>
  <conditionalFormatting sqref="E9">
    <cfRule type="expression" priority="43" dxfId="1" stopIfTrue="1">
      <formula>AND(E9&lt;&gt;"", COUNTIF($O4:O4,E9)=0)</formula>
    </cfRule>
    <cfRule type="expression" priority="73" dxfId="2" stopIfTrue="1">
      <formula>AND(E8&lt;&gt;"", E9="")</formula>
    </cfRule>
  </conditionalFormatting>
  <conditionalFormatting sqref="F9">
    <cfRule type="expression" priority="44" dxfId="1" stopIfTrue="1">
      <formula>AND(F9&lt;&gt;"", COUNTIF($O4:O4,F9)=0)</formula>
    </cfRule>
    <cfRule type="expression" priority="74" dxfId="2" stopIfTrue="1">
      <formula>AND(F8&lt;&gt;"", F9="")</formula>
    </cfRule>
  </conditionalFormatting>
  <conditionalFormatting sqref="G9">
    <cfRule type="expression" priority="45" dxfId="1" stopIfTrue="1">
      <formula>AND(G9&lt;&gt;"", COUNTIF($O4:O4,G9)=0)</formula>
    </cfRule>
    <cfRule type="expression" priority="75" dxfId="2" stopIfTrue="1">
      <formula>AND(G8&lt;&gt;"", G9="")</formula>
    </cfRule>
  </conditionalFormatting>
  <conditionalFormatting sqref="C11">
    <cfRule type="expression" priority="46" dxfId="1" stopIfTrue="1">
      <formula>AND(C11&lt;&gt;"", COUNTIF($O4:O4,C11)=0)</formula>
    </cfRule>
    <cfRule type="expression" priority="76" dxfId="2" stopIfTrue="1">
      <formula>AND(C10&lt;&gt;"", C11="")</formula>
    </cfRule>
  </conditionalFormatting>
  <conditionalFormatting sqref="D11">
    <cfRule type="expression" priority="47" dxfId="1" stopIfTrue="1">
      <formula>AND(D11&lt;&gt;"", COUNTIF($O4:O4,D11)=0)</formula>
    </cfRule>
    <cfRule type="expression" priority="77" dxfId="2" stopIfTrue="1">
      <formula>AND(D10&lt;&gt;"", D11="")</formula>
    </cfRule>
  </conditionalFormatting>
  <conditionalFormatting sqref="E11">
    <cfRule type="expression" priority="48" dxfId="1" stopIfTrue="1">
      <formula>AND(E11&lt;&gt;"", COUNTIF($O4:O4,E11)=0)</formula>
    </cfRule>
    <cfRule type="expression" priority="78" dxfId="2" stopIfTrue="1">
      <formula>AND(E10&lt;&gt;"", E11="")</formula>
    </cfRule>
  </conditionalFormatting>
  <conditionalFormatting sqref="F11">
    <cfRule type="expression" priority="49" dxfId="1" stopIfTrue="1">
      <formula>AND(F11&lt;&gt;"", COUNTIF($O4:O4,F11)=0)</formula>
    </cfRule>
    <cfRule type="expression" priority="79" dxfId="2" stopIfTrue="1">
      <formula>AND(F10&lt;&gt;"", F11="")</formula>
    </cfRule>
  </conditionalFormatting>
  <conditionalFormatting sqref="G11">
    <cfRule type="expression" priority="50" dxfId="1" stopIfTrue="1">
      <formula>AND(G11&lt;&gt;"", COUNTIF($O4:O4,G11)=0)</formula>
    </cfRule>
    <cfRule type="expression" priority="80" dxfId="2" stopIfTrue="1">
      <formula>AND(G10&lt;&gt;"", G11="")</formula>
    </cfRule>
  </conditionalFormatting>
  <conditionalFormatting sqref="C13">
    <cfRule type="expression" priority="51" dxfId="1" stopIfTrue="1">
      <formula>AND(C13&lt;&gt;"", COUNTIF($O4:O4,C13)=0)</formula>
    </cfRule>
    <cfRule type="expression" priority="81" dxfId="2" stopIfTrue="1">
      <formula>AND(C12&lt;&gt;"", C13="")</formula>
    </cfRule>
  </conditionalFormatting>
  <conditionalFormatting sqref="D13">
    <cfRule type="expression" priority="52" dxfId="1" stopIfTrue="1">
      <formula>AND(D13&lt;&gt;"", COUNTIF($O4:O4,D13)=0)</formula>
    </cfRule>
    <cfRule type="expression" priority="82" dxfId="2" stopIfTrue="1">
      <formula>AND(D12&lt;&gt;"", D13="")</formula>
    </cfRule>
  </conditionalFormatting>
  <conditionalFormatting sqref="E13">
    <cfRule type="expression" priority="53" dxfId="1" stopIfTrue="1">
      <formula>AND(E13&lt;&gt;"", COUNTIF($O4:O4,E13)=0)</formula>
    </cfRule>
    <cfRule type="expression" priority="83" dxfId="2" stopIfTrue="1">
      <formula>AND(E12&lt;&gt;"", E13="")</formula>
    </cfRule>
  </conditionalFormatting>
  <conditionalFormatting sqref="F13">
    <cfRule type="expression" priority="54" dxfId="1" stopIfTrue="1">
      <formula>AND(F13&lt;&gt;"", COUNTIF($O4:O4,F13)=0)</formula>
    </cfRule>
    <cfRule type="expression" priority="84" dxfId="2" stopIfTrue="1">
      <formula>AND(F12&lt;&gt;"", F13="")</formula>
    </cfRule>
  </conditionalFormatting>
  <conditionalFormatting sqref="G13">
    <cfRule type="expression" priority="55" dxfId="1" stopIfTrue="1">
      <formula>AND(G13&lt;&gt;"", COUNTIF($O4:O4,G13)=0)</formula>
    </cfRule>
    <cfRule type="expression" priority="85" dxfId="2" stopIfTrue="1">
      <formula>AND(G12&lt;&gt;"", G13="")</formula>
    </cfRule>
  </conditionalFormatting>
  <conditionalFormatting sqref="C15">
    <cfRule type="expression" priority="56" dxfId="1" stopIfTrue="1">
      <formula>AND(C15&lt;&gt;"", COUNTIF($O4:O4,C15)=0)</formula>
    </cfRule>
    <cfRule type="expression" priority="86" dxfId="2" stopIfTrue="1">
      <formula>AND(C14&lt;&gt;"", C15="")</formula>
    </cfRule>
  </conditionalFormatting>
  <conditionalFormatting sqref="D15">
    <cfRule type="expression" priority="57" dxfId="1" stopIfTrue="1">
      <formula>AND(D15&lt;&gt;"", COUNTIF($O4:O4,D15)=0)</formula>
    </cfRule>
    <cfRule type="expression" priority="87" dxfId="2" stopIfTrue="1">
      <formula>AND(D14&lt;&gt;"", D15="")</formula>
    </cfRule>
  </conditionalFormatting>
  <conditionalFormatting sqref="E15">
    <cfRule type="expression" priority="58" dxfId="1" stopIfTrue="1">
      <formula>AND(E15&lt;&gt;"", COUNTIF($O4:O4,E15)=0)</formula>
    </cfRule>
    <cfRule type="expression" priority="88" dxfId="2" stopIfTrue="1">
      <formula>AND(E14&lt;&gt;"", E15="")</formula>
    </cfRule>
  </conditionalFormatting>
  <conditionalFormatting sqref="F15">
    <cfRule type="expression" priority="59" dxfId="1" stopIfTrue="1">
      <formula>AND(F15&lt;&gt;"", COUNTIF($O4:O4,F15)=0)</formula>
    </cfRule>
    <cfRule type="expression" priority="89" dxfId="2" stopIfTrue="1">
      <formula>AND(F14&lt;&gt;"", F15="")</formula>
    </cfRule>
  </conditionalFormatting>
  <conditionalFormatting sqref="G15">
    <cfRule type="expression" priority="60" dxfId="1" stopIfTrue="1">
      <formula>AND(G15&lt;&gt;"", COUNTIF($O4:O4,G15)=0)</formula>
    </cfRule>
    <cfRule type="expression" priority="90" dxfId="2" stopIfTrue="1">
      <formula>AND(G14&lt;&gt;"", G15="")</formula>
    </cfRule>
  </conditionalFormatting>
  <conditionalFormatting sqref="J4">
    <cfRule type="expression" priority="91" dxfId="3" stopIfTrue="1">
      <formula>AND(J4&lt;&gt;"", M4&gt;0, L4=0)</formula>
    </cfRule>
    <cfRule type="expression" priority="98" dxfId="4" stopIfTrue="1">
      <formula>AND(J4&lt;&gt;"", M4&gt;0, L4&lt;0)</formula>
    </cfRule>
    <cfRule type="expression" priority="105" dxfId="5" stopIfTrue="1">
      <formula>AND(J4&lt;&gt;"", M4&gt;0, L4&gt;0, L4&lt;K4)</formula>
    </cfRule>
  </conditionalFormatting>
  <conditionalFormatting sqref="J5">
    <cfRule type="expression" priority="92" dxfId="3" stopIfTrue="1">
      <formula>AND(J5&lt;&gt;"", M5&gt;0, L5=0)</formula>
    </cfRule>
    <cfRule type="expression" priority="99" dxfId="4" stopIfTrue="1">
      <formula>AND(J5&lt;&gt;"", M5&gt;0, L5&lt;0)</formula>
    </cfRule>
    <cfRule type="expression" priority="106" dxfId="5" stopIfTrue="1">
      <formula>AND(J5&lt;&gt;"", M5&gt;0, L5&gt;0, L5&lt;K5)</formula>
    </cfRule>
  </conditionalFormatting>
  <conditionalFormatting sqref="J6">
    <cfRule type="expression" priority="93" dxfId="3" stopIfTrue="1">
      <formula>AND(J6&lt;&gt;"", M6&gt;0, L6=0)</formula>
    </cfRule>
    <cfRule type="expression" priority="100" dxfId="4" stopIfTrue="1">
      <formula>AND(J6&lt;&gt;"", M6&gt;0, L6&lt;0)</formula>
    </cfRule>
    <cfRule type="expression" priority="107" dxfId="5" stopIfTrue="1">
      <formula>AND(J6&lt;&gt;"", M6&gt;0, L6&gt;0, L6&lt;K6)</formula>
    </cfRule>
  </conditionalFormatting>
  <conditionalFormatting sqref="J7">
    <cfRule type="expression" priority="94" dxfId="3" stopIfTrue="1">
      <formula>AND(J7&lt;&gt;"", M7&gt;0, L7=0)</formula>
    </cfRule>
    <cfRule type="expression" priority="101" dxfId="4" stopIfTrue="1">
      <formula>AND(J7&lt;&gt;"", M7&gt;0, L7&lt;0)</formula>
    </cfRule>
    <cfRule type="expression" priority="108" dxfId="5" stopIfTrue="1">
      <formula>AND(J7&lt;&gt;"", M7&gt;0, L7&gt;0, L7&lt;K7)</formula>
    </cfRule>
  </conditionalFormatting>
  <conditionalFormatting sqref="J8">
    <cfRule type="expression" priority="95" dxfId="3" stopIfTrue="1">
      <formula>AND(J8&lt;&gt;"", M8&gt;0, L8=0)</formula>
    </cfRule>
    <cfRule type="expression" priority="102" dxfId="4" stopIfTrue="1">
      <formula>AND(J8&lt;&gt;"", M8&gt;0, L8&lt;0)</formula>
    </cfRule>
    <cfRule type="expression" priority="109" dxfId="5" stopIfTrue="1">
      <formula>AND(J8&lt;&gt;"", M8&gt;0, L8&gt;0, L8&lt;K8)</formula>
    </cfRule>
  </conditionalFormatting>
  <conditionalFormatting sqref="J9">
    <cfRule type="expression" priority="96" dxfId="3" stopIfTrue="1">
      <formula>AND(J9&lt;&gt;"", M9&gt;0, L9=0)</formula>
    </cfRule>
    <cfRule type="expression" priority="103" dxfId="4" stopIfTrue="1">
      <formula>AND(J9&lt;&gt;"", M9&gt;0, L9&lt;0)</formula>
    </cfRule>
    <cfRule type="expression" priority="110" dxfId="5" stopIfTrue="1">
      <formula>AND(J9&lt;&gt;"", M9&gt;0, L9&gt;0, L9&lt;K9)</formula>
    </cfRule>
  </conditionalFormatting>
  <conditionalFormatting sqref="J10">
    <cfRule type="expression" priority="97" dxfId="3" stopIfTrue="1">
      <formula>AND(J10&lt;&gt;"", M10&gt;0, L10=0)</formula>
    </cfRule>
    <cfRule type="expression" priority="104" dxfId="4" stopIfTrue="1">
      <formula>AND(J10&lt;&gt;"", M10&gt;0, L10&lt;0)</formula>
    </cfRule>
    <cfRule type="expression" priority="111" dxfId="5" stopIfTrue="1">
      <formula>AND(J10&lt;&gt;"", M10&gt;0, L10&gt;0, L10&lt;K10)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 xml:space="preserve">Grupo </t>
        </is>
      </c>
      <c r="B1" t="inlineStr">
        <is>
          <t>C212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s="1" t="inlineStr"/>
      <c r="C3" s="1" t="inlineStr">
        <is>
          <t>Lunes</t>
        </is>
      </c>
      <c r="D3" s="1" t="inlineStr">
        <is>
          <t>Martes</t>
        </is>
      </c>
      <c r="E3" s="1" t="inlineStr">
        <is>
          <t>Miércoles</t>
        </is>
      </c>
      <c r="F3" s="1" t="inlineStr">
        <is>
          <t>Jueves</t>
        </is>
      </c>
      <c r="G3" s="1" t="inlineStr">
        <is>
          <t>Viernes</t>
        </is>
      </c>
      <c r="H3" t="inlineStr"/>
      <c r="I3" s="2" t="inlineStr">
        <is>
          <t>Abrev</t>
        </is>
      </c>
      <c r="J3" s="1" t="inlineStr">
        <is>
          <t>Asignaturas</t>
        </is>
      </c>
      <c r="K3" s="1" t="inlineStr">
        <is>
          <t>Frec</t>
        </is>
      </c>
      <c r="L3" s="1" t="inlineStr">
        <is>
          <t>Faltan</t>
        </is>
      </c>
      <c r="M3" s="1" t="inlineStr">
        <is>
          <t>Asignadas</t>
        </is>
      </c>
      <c r="N3" t="inlineStr"/>
      <c r="O3" t="inlineStr">
        <is>
          <t>Aulas</t>
        </is>
      </c>
    </row>
    <row r="4">
      <c r="A4" t="inlineStr"/>
      <c r="B4" s="3" t="inlineStr">
        <is>
          <t>Turno 1</t>
        </is>
      </c>
      <c r="C4" s="4" t="inlineStr"/>
      <c r="D4" s="4" t="inlineStr"/>
      <c r="E4" s="4" t="inlineStr"/>
      <c r="F4" s="4" t="inlineStr"/>
      <c r="G4" s="4" t="inlineStr"/>
      <c r="H4" t="inlineStr"/>
      <c r="I4" s="2" t="inlineStr">
        <is>
          <t>EDA</t>
        </is>
      </c>
      <c r="J4" s="1" t="inlineStr">
        <is>
          <t>Estructuras de Datos y Algoritmos I</t>
        </is>
      </c>
      <c r="K4" s="1" t="n">
        <v>2</v>
      </c>
      <c r="L4" s="1">
        <f>K4-M4</f>
        <v/>
      </c>
      <c r="M4" s="1">
        <f>COUNTIF($C$4:$G$15,I4)</f>
        <v/>
      </c>
      <c r="N4" t="inlineStr"/>
      <c r="O4" s="1" t="inlineStr">
        <is>
          <t>c 6</t>
        </is>
      </c>
    </row>
    <row r="5">
      <c r="A5" t="inlineStr"/>
      <c r="B5" s="5" t="n"/>
      <c r="C5" s="6" t="inlineStr"/>
      <c r="D5" s="6" t="inlineStr"/>
      <c r="E5" s="6" t="inlineStr"/>
      <c r="F5" s="6" t="inlineStr"/>
      <c r="G5" s="6" t="inlineStr"/>
      <c r="H5" t="inlineStr"/>
      <c r="I5" s="2" t="inlineStr">
        <is>
          <t>MD</t>
        </is>
      </c>
      <c r="J5" s="1" t="inlineStr">
        <is>
          <t>Matemática Discreta I</t>
        </is>
      </c>
      <c r="K5" s="1" t="n">
        <v>2</v>
      </c>
      <c r="L5" s="1">
        <f>K5-M5</f>
        <v/>
      </c>
      <c r="M5" s="1">
        <f>COUNTIF($C$4:$G$15,I5)</f>
        <v/>
      </c>
      <c r="N5" t="inlineStr">
        <is>
          <t>Total:</t>
        </is>
      </c>
      <c r="O5">
        <f>COUNTA(O4:O4)</f>
        <v/>
      </c>
    </row>
    <row r="6">
      <c r="A6" t="inlineStr"/>
      <c r="B6" s="3" t="inlineStr">
        <is>
          <t>Turno 2</t>
        </is>
      </c>
      <c r="C6" s="4" t="inlineStr"/>
      <c r="D6" s="4" t="inlineStr"/>
      <c r="E6" s="4" t="inlineStr"/>
      <c r="F6" s="4" t="inlineStr"/>
      <c r="G6" s="4" t="inlineStr"/>
      <c r="H6" t="inlineStr"/>
      <c r="I6" s="2" t="inlineStr">
        <is>
          <t>AC</t>
        </is>
      </c>
      <c r="J6" s="1" t="inlineStr">
        <is>
          <t>Arquitectura de computadoras</t>
        </is>
      </c>
      <c r="K6" s="1" t="n">
        <v>2</v>
      </c>
      <c r="L6" s="1">
        <f>K6-M6</f>
        <v/>
      </c>
      <c r="M6" s="1">
        <f>COUNTIF($C$4:$G$15,I6)</f>
        <v/>
      </c>
      <c r="N6" t="inlineStr"/>
      <c r="O6" t="inlineStr"/>
    </row>
    <row r="7">
      <c r="A7" t="inlineStr"/>
      <c r="B7" s="5" t="n"/>
      <c r="C7" s="6" t="inlineStr"/>
      <c r="D7" s="6" t="inlineStr"/>
      <c r="E7" s="6" t="inlineStr"/>
      <c r="F7" s="6" t="inlineStr"/>
      <c r="G7" s="6" t="inlineStr"/>
      <c r="H7" t="inlineStr"/>
      <c r="I7" s="2" t="inlineStr">
        <is>
          <t>EDO</t>
        </is>
      </c>
      <c r="J7" s="1" t="inlineStr">
        <is>
          <t>Ecuaciones Diferenciales Ordinarias</t>
        </is>
      </c>
      <c r="K7" s="1" t="n">
        <v>2</v>
      </c>
      <c r="L7" s="1">
        <f>K7-M7</f>
        <v/>
      </c>
      <c r="M7" s="1">
        <f>COUNTIF($C$4:$G$15,I7)</f>
        <v/>
      </c>
      <c r="N7" t="inlineStr"/>
      <c r="O7" t="inlineStr"/>
    </row>
    <row r="8">
      <c r="A8" t="inlineStr"/>
      <c r="B8" s="3" t="inlineStr">
        <is>
          <t>Turno 3</t>
        </is>
      </c>
      <c r="C8" s="4" t="inlineStr"/>
      <c r="D8" s="4" t="inlineStr"/>
      <c r="E8" s="4" t="inlineStr"/>
      <c r="F8" s="4" t="inlineStr"/>
      <c r="G8" s="4" t="inlineStr"/>
      <c r="H8" t="inlineStr"/>
      <c r="I8" s="2" t="inlineStr">
        <is>
          <t>MN</t>
        </is>
      </c>
      <c r="J8" s="1" t="inlineStr">
        <is>
          <t>Matemática Numérica</t>
        </is>
      </c>
      <c r="K8" s="1" t="n">
        <v>2</v>
      </c>
      <c r="L8" s="1">
        <f>K8-M8</f>
        <v/>
      </c>
      <c r="M8" s="1">
        <f>COUNTIF($C$4:$G$15,I8)</f>
        <v/>
      </c>
      <c r="N8" t="inlineStr"/>
      <c r="O8" t="inlineStr"/>
    </row>
    <row r="9">
      <c r="A9" t="inlineStr"/>
      <c r="B9" s="5" t="n"/>
      <c r="C9" s="6" t="inlineStr"/>
      <c r="D9" s="6" t="inlineStr"/>
      <c r="E9" s="6" t="inlineStr"/>
      <c r="F9" s="6" t="inlineStr"/>
      <c r="G9" s="6" t="inlineStr"/>
      <c r="H9" t="inlineStr"/>
      <c r="I9" s="2" t="inlineStr">
        <is>
          <t>TP</t>
        </is>
      </c>
      <c r="J9" s="1" t="inlineStr">
        <is>
          <t>Teoría Política</t>
        </is>
      </c>
      <c r="K9" s="1" t="n">
        <v>2</v>
      </c>
      <c r="L9" s="1">
        <f>K9-M9</f>
        <v/>
      </c>
      <c r="M9" s="1">
        <f>COUNTIF($C$4:$G$15,I9)</f>
        <v/>
      </c>
      <c r="N9" t="inlineStr"/>
      <c r="O9" t="inlineStr"/>
    </row>
    <row r="10">
      <c r="A10" t="inlineStr"/>
      <c r="B10" s="3" t="inlineStr">
        <is>
          <t>Turno 4</t>
        </is>
      </c>
      <c r="C10" s="4" t="inlineStr">
        <is>
          <t>EDA I</t>
        </is>
      </c>
      <c r="D10" s="4" t="inlineStr">
        <is>
          <t>MD</t>
        </is>
      </c>
      <c r="E10" s="4" t="inlineStr">
        <is>
          <t>EDO I</t>
        </is>
      </c>
      <c r="F10" s="4" t="inlineStr">
        <is>
          <t>MN</t>
        </is>
      </c>
      <c r="G10" s="4" t="inlineStr">
        <is>
          <t>AC</t>
        </is>
      </c>
      <c r="H10" t="inlineStr"/>
      <c r="I10" s="2" t="inlineStr">
        <is>
          <t>EF3</t>
        </is>
      </c>
      <c r="J10" s="1" t="inlineStr">
        <is>
          <t>Educación Física III</t>
        </is>
      </c>
      <c r="K10" s="1" t="n">
        <v>2</v>
      </c>
      <c r="L10" s="1">
        <f>K10-M10</f>
        <v/>
      </c>
      <c r="M10" s="1">
        <f>COUNTIF($C$4:$G$15,I10)</f>
        <v/>
      </c>
      <c r="N10" t="inlineStr"/>
      <c r="O10" t="inlineStr"/>
    </row>
    <row r="11">
      <c r="A11" t="inlineStr"/>
      <c r="B11" s="5" t="n"/>
      <c r="C11" s="6" t="inlineStr">
        <is>
          <t>c 6</t>
        </is>
      </c>
      <c r="D11" s="6" t="inlineStr">
        <is>
          <t>c6</t>
        </is>
      </c>
      <c r="E11" s="6" t="inlineStr">
        <is>
          <t>cp 5</t>
        </is>
      </c>
      <c r="F11" s="6" t="inlineStr">
        <is>
          <t>cp 5</t>
        </is>
      </c>
      <c r="G11" s="6" t="inlineStr">
        <is>
          <t>lab</t>
        </is>
      </c>
      <c r="H11" t="inlineStr"/>
      <c r="I11" t="inlineStr"/>
      <c r="J11" t="inlineStr"/>
      <c r="K11" t="inlineStr"/>
      <c r="L11" t="inlineStr">
        <is>
          <t>Total:</t>
        </is>
      </c>
      <c r="M11">
        <f>COUNTA(I4:I10)</f>
        <v/>
      </c>
      <c r="N11" t="inlineStr"/>
      <c r="O11" t="inlineStr"/>
    </row>
    <row r="12">
      <c r="A12" t="inlineStr"/>
      <c r="B12" s="3" t="inlineStr">
        <is>
          <t>Turno 5</t>
        </is>
      </c>
      <c r="C12" s="4" t="inlineStr">
        <is>
          <t>TP</t>
        </is>
      </c>
      <c r="D12" s="4" t="inlineStr">
        <is>
          <t>MN</t>
        </is>
      </c>
      <c r="E12" s="4" t="inlineStr">
        <is>
          <t>EDA I</t>
        </is>
      </c>
      <c r="F12" s="4" t="inlineStr">
        <is>
          <t>TP</t>
        </is>
      </c>
      <c r="G12" s="4" t="inlineStr">
        <is>
          <t>MD</t>
        </is>
      </c>
      <c r="H12" t="inlineStr"/>
      <c r="I12" t="inlineStr"/>
      <c r="J12" t="inlineStr"/>
      <c r="K12" t="inlineStr"/>
      <c r="L12" t="inlineStr">
        <is>
          <t>Σ Frec:</t>
        </is>
      </c>
      <c r="M12">
        <f>SUM(K4:K10)</f>
        <v/>
      </c>
      <c r="N12" t="inlineStr"/>
      <c r="O12" t="inlineStr"/>
    </row>
    <row r="13">
      <c r="A13" t="inlineStr"/>
      <c r="B13" s="5" t="n"/>
      <c r="C13" s="6" t="inlineStr">
        <is>
          <t>c 6</t>
        </is>
      </c>
      <c r="D13" s="6" t="inlineStr">
        <is>
          <t>c 6</t>
        </is>
      </c>
      <c r="E13" s="6" t="inlineStr">
        <is>
          <t>cp 5</t>
        </is>
      </c>
      <c r="F13" s="6" t="inlineStr">
        <is>
          <t>c 6</t>
        </is>
      </c>
      <c r="G13" s="6" t="inlineStr">
        <is>
          <t>cp 5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/>
      <c r="B14" s="3" t="inlineStr">
        <is>
          <t>Turno 6</t>
        </is>
      </c>
      <c r="C14" s="4" t="inlineStr">
        <is>
          <t>EDO</t>
        </is>
      </c>
      <c r="D14" s="4" t="inlineStr">
        <is>
          <t>AC</t>
        </is>
      </c>
      <c r="E14" s="4" t="inlineStr">
        <is>
          <t>EF 4:45pm a 5:35pm</t>
        </is>
      </c>
      <c r="F14" s="4" t="inlineStr"/>
      <c r="G14" s="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/>
      <c r="B15" s="5" t="n"/>
      <c r="C15" s="6" t="inlineStr">
        <is>
          <t>c 6</t>
        </is>
      </c>
      <c r="D15" s="6" t="inlineStr">
        <is>
          <t>c 6</t>
        </is>
      </c>
      <c r="E15" s="6" t="inlineStr"/>
      <c r="F15" s="6" t="inlineStr"/>
      <c r="G15" s="6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F16" t="inlineStr">
        <is>
          <t>Ocupados:</t>
        </is>
      </c>
      <c r="G16">
        <f>COUNTA(C4:G15)/2</f>
        <v/>
      </c>
    </row>
  </sheetData>
  <mergeCells count="6">
    <mergeCell ref="B4:B5"/>
    <mergeCell ref="B12:B13"/>
    <mergeCell ref="B8:B9"/>
    <mergeCell ref="B10:B11"/>
    <mergeCell ref="B6:B7"/>
    <mergeCell ref="B14:B15"/>
  </mergeCells>
  <conditionalFormatting sqref="C4">
    <cfRule type="expression" priority="1" dxfId="0" stopIfTrue="1">
      <formula>AND(C4&lt;&gt;"", COUNTIF($I4:I10,C4)=0)</formula>
    </cfRule>
  </conditionalFormatting>
  <conditionalFormatting sqref="D4">
    <cfRule type="expression" priority="2" dxfId="0" stopIfTrue="1">
      <formula>AND(D4&lt;&gt;"", COUNTIF($I4:I10,D4)=0)</formula>
    </cfRule>
  </conditionalFormatting>
  <conditionalFormatting sqref="E4">
    <cfRule type="expression" priority="3" dxfId="0" stopIfTrue="1">
      <formula>AND(E4&lt;&gt;"", COUNTIF($I4:I10,E4)=0)</formula>
    </cfRule>
  </conditionalFormatting>
  <conditionalFormatting sqref="F4">
    <cfRule type="expression" priority="4" dxfId="0" stopIfTrue="1">
      <formula>AND(F4&lt;&gt;"", COUNTIF($I4:I10,F4)=0)</formula>
    </cfRule>
  </conditionalFormatting>
  <conditionalFormatting sqref="G4">
    <cfRule type="expression" priority="5" dxfId="0" stopIfTrue="1">
      <formula>AND(G4&lt;&gt;"", COUNTIF($I4:I10,G4)=0)</formula>
    </cfRule>
  </conditionalFormatting>
  <conditionalFormatting sqref="C6">
    <cfRule type="expression" priority="6" dxfId="0" stopIfTrue="1">
      <formula>AND(C6&lt;&gt;"", COUNTIF($I4:I10,C6)=0)</formula>
    </cfRule>
  </conditionalFormatting>
  <conditionalFormatting sqref="D6">
    <cfRule type="expression" priority="7" dxfId="0" stopIfTrue="1">
      <formula>AND(D6&lt;&gt;"", COUNTIF($I4:I10,D6)=0)</formula>
    </cfRule>
  </conditionalFormatting>
  <conditionalFormatting sqref="E6">
    <cfRule type="expression" priority="8" dxfId="0" stopIfTrue="1">
      <formula>AND(E6&lt;&gt;"", COUNTIF($I4:I10,E6)=0)</formula>
    </cfRule>
  </conditionalFormatting>
  <conditionalFormatting sqref="F6">
    <cfRule type="expression" priority="9" dxfId="0" stopIfTrue="1">
      <formula>AND(F6&lt;&gt;"", COUNTIF($I4:I10,F6)=0)</formula>
    </cfRule>
  </conditionalFormatting>
  <conditionalFormatting sqref="G6">
    <cfRule type="expression" priority="10" dxfId="0" stopIfTrue="1">
      <formula>AND(G6&lt;&gt;"", COUNTIF($I4:I10,G6)=0)</formula>
    </cfRule>
  </conditionalFormatting>
  <conditionalFormatting sqref="C8">
    <cfRule type="expression" priority="11" dxfId="0" stopIfTrue="1">
      <formula>AND(C8&lt;&gt;"", COUNTIF($I4:I10,C8)=0)</formula>
    </cfRule>
  </conditionalFormatting>
  <conditionalFormatting sqref="D8">
    <cfRule type="expression" priority="12" dxfId="0" stopIfTrue="1">
      <formula>AND(D8&lt;&gt;"", COUNTIF($I4:I10,D8)=0)</formula>
    </cfRule>
  </conditionalFormatting>
  <conditionalFormatting sqref="E8">
    <cfRule type="expression" priority="13" dxfId="0" stopIfTrue="1">
      <formula>AND(E8&lt;&gt;"", COUNTIF($I4:I10,E8)=0)</formula>
    </cfRule>
  </conditionalFormatting>
  <conditionalFormatting sqref="F8">
    <cfRule type="expression" priority="14" dxfId="0" stopIfTrue="1">
      <formula>AND(F8&lt;&gt;"", COUNTIF($I4:I10,F8)=0)</formula>
    </cfRule>
  </conditionalFormatting>
  <conditionalFormatting sqref="G8">
    <cfRule type="expression" priority="15" dxfId="0" stopIfTrue="1">
      <formula>AND(G8&lt;&gt;"", COUNTIF($I4:I10,G8)=0)</formula>
    </cfRule>
  </conditionalFormatting>
  <conditionalFormatting sqref="C10">
    <cfRule type="expression" priority="16" dxfId="0" stopIfTrue="1">
      <formula>AND(C10&lt;&gt;"", COUNTIF($I4:I10,C10)=0)</formula>
    </cfRule>
  </conditionalFormatting>
  <conditionalFormatting sqref="D10">
    <cfRule type="expression" priority="17" dxfId="0" stopIfTrue="1">
      <formula>AND(D10&lt;&gt;"", COUNTIF($I4:I10,D10)=0)</formula>
    </cfRule>
  </conditionalFormatting>
  <conditionalFormatting sqref="E10">
    <cfRule type="expression" priority="18" dxfId="0" stopIfTrue="1">
      <formula>AND(E10&lt;&gt;"", COUNTIF($I4:I10,E10)=0)</formula>
    </cfRule>
  </conditionalFormatting>
  <conditionalFormatting sqref="F10">
    <cfRule type="expression" priority="19" dxfId="0" stopIfTrue="1">
      <formula>AND(F10&lt;&gt;"", COUNTIF($I4:I10,F10)=0)</formula>
    </cfRule>
  </conditionalFormatting>
  <conditionalFormatting sqref="G10">
    <cfRule type="expression" priority="20" dxfId="0" stopIfTrue="1">
      <formula>AND(G10&lt;&gt;"", COUNTIF($I4:I10,G10)=0)</formula>
    </cfRule>
  </conditionalFormatting>
  <conditionalFormatting sqref="C12">
    <cfRule type="expression" priority="21" dxfId="0" stopIfTrue="1">
      <formula>AND(C12&lt;&gt;"", COUNTIF($I4:I10,C12)=0)</formula>
    </cfRule>
  </conditionalFormatting>
  <conditionalFormatting sqref="D12">
    <cfRule type="expression" priority="22" dxfId="0" stopIfTrue="1">
      <formula>AND(D12&lt;&gt;"", COUNTIF($I4:I10,D12)=0)</formula>
    </cfRule>
  </conditionalFormatting>
  <conditionalFormatting sqref="E12">
    <cfRule type="expression" priority="23" dxfId="0" stopIfTrue="1">
      <formula>AND(E12&lt;&gt;"", COUNTIF($I4:I10,E12)=0)</formula>
    </cfRule>
  </conditionalFormatting>
  <conditionalFormatting sqref="F12">
    <cfRule type="expression" priority="24" dxfId="0" stopIfTrue="1">
      <formula>AND(F12&lt;&gt;"", COUNTIF($I4:I10,F12)=0)</formula>
    </cfRule>
  </conditionalFormatting>
  <conditionalFormatting sqref="G12">
    <cfRule type="expression" priority="25" dxfId="0" stopIfTrue="1">
      <formula>AND(G12&lt;&gt;"", COUNTIF($I4:I10,G12)=0)</formula>
    </cfRule>
  </conditionalFormatting>
  <conditionalFormatting sqref="C14">
    <cfRule type="expression" priority="26" dxfId="0" stopIfTrue="1">
      <formula>AND(C14&lt;&gt;"", COUNTIF($I4:I10,C14)=0)</formula>
    </cfRule>
  </conditionalFormatting>
  <conditionalFormatting sqref="D14">
    <cfRule type="expression" priority="27" dxfId="0" stopIfTrue="1">
      <formula>AND(D14&lt;&gt;"", COUNTIF($I4:I10,D14)=0)</formula>
    </cfRule>
  </conditionalFormatting>
  <conditionalFormatting sqref="E14">
    <cfRule type="expression" priority="28" dxfId="0" stopIfTrue="1">
      <formula>AND(E14&lt;&gt;"", COUNTIF($I4:I10,E14)=0)</formula>
    </cfRule>
  </conditionalFormatting>
  <conditionalFormatting sqref="F14">
    <cfRule type="expression" priority="29" dxfId="0" stopIfTrue="1">
      <formula>AND(F14&lt;&gt;"", COUNTIF($I4:I10,F14)=0)</formula>
    </cfRule>
  </conditionalFormatting>
  <conditionalFormatting sqref="G14">
    <cfRule type="expression" priority="30" dxfId="0" stopIfTrue="1">
      <formula>AND(G14&lt;&gt;"", COUNTIF($I4:I10,G14)=0)</formula>
    </cfRule>
  </conditionalFormatting>
  <conditionalFormatting sqref="C5">
    <cfRule type="expression" priority="31" dxfId="1" stopIfTrue="1">
      <formula>AND(C5&lt;&gt;"", COUNTIF($O4:O4,C5)=0)</formula>
    </cfRule>
    <cfRule type="expression" priority="61" dxfId="2" stopIfTrue="1">
      <formula>AND(C4&lt;&gt;"", C5="")</formula>
    </cfRule>
  </conditionalFormatting>
  <conditionalFormatting sqref="D5">
    <cfRule type="expression" priority="32" dxfId="1" stopIfTrue="1">
      <formula>AND(D5&lt;&gt;"", COUNTIF($O4:O4,D5)=0)</formula>
    </cfRule>
    <cfRule type="expression" priority="62" dxfId="2" stopIfTrue="1">
      <formula>AND(D4&lt;&gt;"", D5="")</formula>
    </cfRule>
  </conditionalFormatting>
  <conditionalFormatting sqref="E5">
    <cfRule type="expression" priority="33" dxfId="1" stopIfTrue="1">
      <formula>AND(E5&lt;&gt;"", COUNTIF($O4:O4,E5)=0)</formula>
    </cfRule>
    <cfRule type="expression" priority="63" dxfId="2" stopIfTrue="1">
      <formula>AND(E4&lt;&gt;"", E5="")</formula>
    </cfRule>
  </conditionalFormatting>
  <conditionalFormatting sqref="F5">
    <cfRule type="expression" priority="34" dxfId="1" stopIfTrue="1">
      <formula>AND(F5&lt;&gt;"", COUNTIF($O4:O4,F5)=0)</formula>
    </cfRule>
    <cfRule type="expression" priority="64" dxfId="2" stopIfTrue="1">
      <formula>AND(F4&lt;&gt;"", F5="")</formula>
    </cfRule>
  </conditionalFormatting>
  <conditionalFormatting sqref="G5">
    <cfRule type="expression" priority="35" dxfId="1" stopIfTrue="1">
      <formula>AND(G5&lt;&gt;"", COUNTIF($O4:O4,G5)=0)</formula>
    </cfRule>
    <cfRule type="expression" priority="65" dxfId="2" stopIfTrue="1">
      <formula>AND(G4&lt;&gt;"", G5="")</formula>
    </cfRule>
  </conditionalFormatting>
  <conditionalFormatting sqref="C7">
    <cfRule type="expression" priority="36" dxfId="1" stopIfTrue="1">
      <formula>AND(C7&lt;&gt;"", COUNTIF($O4:O4,C7)=0)</formula>
    </cfRule>
    <cfRule type="expression" priority="66" dxfId="2" stopIfTrue="1">
      <formula>AND(C6&lt;&gt;"", C7="")</formula>
    </cfRule>
  </conditionalFormatting>
  <conditionalFormatting sqref="D7">
    <cfRule type="expression" priority="37" dxfId="1" stopIfTrue="1">
      <formula>AND(D7&lt;&gt;"", COUNTIF($O4:O4,D7)=0)</formula>
    </cfRule>
    <cfRule type="expression" priority="67" dxfId="2" stopIfTrue="1">
      <formula>AND(D6&lt;&gt;"", D7="")</formula>
    </cfRule>
  </conditionalFormatting>
  <conditionalFormatting sqref="E7">
    <cfRule type="expression" priority="38" dxfId="1" stopIfTrue="1">
      <formula>AND(E7&lt;&gt;"", COUNTIF($O4:O4,E7)=0)</formula>
    </cfRule>
    <cfRule type="expression" priority="68" dxfId="2" stopIfTrue="1">
      <formula>AND(E6&lt;&gt;"", E7="")</formula>
    </cfRule>
  </conditionalFormatting>
  <conditionalFormatting sqref="F7">
    <cfRule type="expression" priority="39" dxfId="1" stopIfTrue="1">
      <formula>AND(F7&lt;&gt;"", COUNTIF($O4:O4,F7)=0)</formula>
    </cfRule>
    <cfRule type="expression" priority="69" dxfId="2" stopIfTrue="1">
      <formula>AND(F6&lt;&gt;"", F7="")</formula>
    </cfRule>
  </conditionalFormatting>
  <conditionalFormatting sqref="G7">
    <cfRule type="expression" priority="40" dxfId="1" stopIfTrue="1">
      <formula>AND(G7&lt;&gt;"", COUNTIF($O4:O4,G7)=0)</formula>
    </cfRule>
    <cfRule type="expression" priority="70" dxfId="2" stopIfTrue="1">
      <formula>AND(G6&lt;&gt;"", G7="")</formula>
    </cfRule>
  </conditionalFormatting>
  <conditionalFormatting sqref="C9">
    <cfRule type="expression" priority="41" dxfId="1" stopIfTrue="1">
      <formula>AND(C9&lt;&gt;"", COUNTIF($O4:O4,C9)=0)</formula>
    </cfRule>
    <cfRule type="expression" priority="71" dxfId="2" stopIfTrue="1">
      <formula>AND(C8&lt;&gt;"", C9="")</formula>
    </cfRule>
  </conditionalFormatting>
  <conditionalFormatting sqref="D9">
    <cfRule type="expression" priority="42" dxfId="1" stopIfTrue="1">
      <formula>AND(D9&lt;&gt;"", COUNTIF($O4:O4,D9)=0)</formula>
    </cfRule>
    <cfRule type="expression" priority="72" dxfId="2" stopIfTrue="1">
      <formula>AND(D8&lt;&gt;"", D9="")</formula>
    </cfRule>
  </conditionalFormatting>
  <conditionalFormatting sqref="E9">
    <cfRule type="expression" priority="43" dxfId="1" stopIfTrue="1">
      <formula>AND(E9&lt;&gt;"", COUNTIF($O4:O4,E9)=0)</formula>
    </cfRule>
    <cfRule type="expression" priority="73" dxfId="2" stopIfTrue="1">
      <formula>AND(E8&lt;&gt;"", E9="")</formula>
    </cfRule>
  </conditionalFormatting>
  <conditionalFormatting sqref="F9">
    <cfRule type="expression" priority="44" dxfId="1" stopIfTrue="1">
      <formula>AND(F9&lt;&gt;"", COUNTIF($O4:O4,F9)=0)</formula>
    </cfRule>
    <cfRule type="expression" priority="74" dxfId="2" stopIfTrue="1">
      <formula>AND(F8&lt;&gt;"", F9="")</formula>
    </cfRule>
  </conditionalFormatting>
  <conditionalFormatting sqref="G9">
    <cfRule type="expression" priority="45" dxfId="1" stopIfTrue="1">
      <formula>AND(G9&lt;&gt;"", COUNTIF($O4:O4,G9)=0)</formula>
    </cfRule>
    <cfRule type="expression" priority="75" dxfId="2" stopIfTrue="1">
      <formula>AND(G8&lt;&gt;"", G9="")</formula>
    </cfRule>
  </conditionalFormatting>
  <conditionalFormatting sqref="C11">
    <cfRule type="expression" priority="46" dxfId="1" stopIfTrue="1">
      <formula>AND(C11&lt;&gt;"", COUNTIF($O4:O4,C11)=0)</formula>
    </cfRule>
    <cfRule type="expression" priority="76" dxfId="2" stopIfTrue="1">
      <formula>AND(C10&lt;&gt;"", C11="")</formula>
    </cfRule>
  </conditionalFormatting>
  <conditionalFormatting sqref="D11">
    <cfRule type="expression" priority="47" dxfId="1" stopIfTrue="1">
      <formula>AND(D11&lt;&gt;"", COUNTIF($O4:O4,D11)=0)</formula>
    </cfRule>
    <cfRule type="expression" priority="77" dxfId="2" stopIfTrue="1">
      <formula>AND(D10&lt;&gt;"", D11="")</formula>
    </cfRule>
  </conditionalFormatting>
  <conditionalFormatting sqref="E11">
    <cfRule type="expression" priority="48" dxfId="1" stopIfTrue="1">
      <formula>AND(E11&lt;&gt;"", COUNTIF($O4:O4,E11)=0)</formula>
    </cfRule>
    <cfRule type="expression" priority="78" dxfId="2" stopIfTrue="1">
      <formula>AND(E10&lt;&gt;"", E11="")</formula>
    </cfRule>
  </conditionalFormatting>
  <conditionalFormatting sqref="F11">
    <cfRule type="expression" priority="49" dxfId="1" stopIfTrue="1">
      <formula>AND(F11&lt;&gt;"", COUNTIF($O4:O4,F11)=0)</formula>
    </cfRule>
    <cfRule type="expression" priority="79" dxfId="2" stopIfTrue="1">
      <formula>AND(F10&lt;&gt;"", F11="")</formula>
    </cfRule>
  </conditionalFormatting>
  <conditionalFormatting sqref="G11">
    <cfRule type="expression" priority="50" dxfId="1" stopIfTrue="1">
      <formula>AND(G11&lt;&gt;"", COUNTIF($O4:O4,G11)=0)</formula>
    </cfRule>
    <cfRule type="expression" priority="80" dxfId="2" stopIfTrue="1">
      <formula>AND(G10&lt;&gt;"", G11="")</formula>
    </cfRule>
  </conditionalFormatting>
  <conditionalFormatting sqref="C13">
    <cfRule type="expression" priority="51" dxfId="1" stopIfTrue="1">
      <formula>AND(C13&lt;&gt;"", COUNTIF($O4:O4,C13)=0)</formula>
    </cfRule>
    <cfRule type="expression" priority="81" dxfId="2" stopIfTrue="1">
      <formula>AND(C12&lt;&gt;"", C13="")</formula>
    </cfRule>
  </conditionalFormatting>
  <conditionalFormatting sqref="D13">
    <cfRule type="expression" priority="52" dxfId="1" stopIfTrue="1">
      <formula>AND(D13&lt;&gt;"", COUNTIF($O4:O4,D13)=0)</formula>
    </cfRule>
    <cfRule type="expression" priority="82" dxfId="2" stopIfTrue="1">
      <formula>AND(D12&lt;&gt;"", D13="")</formula>
    </cfRule>
  </conditionalFormatting>
  <conditionalFormatting sqref="E13">
    <cfRule type="expression" priority="53" dxfId="1" stopIfTrue="1">
      <formula>AND(E13&lt;&gt;"", COUNTIF($O4:O4,E13)=0)</formula>
    </cfRule>
    <cfRule type="expression" priority="83" dxfId="2" stopIfTrue="1">
      <formula>AND(E12&lt;&gt;"", E13="")</formula>
    </cfRule>
  </conditionalFormatting>
  <conditionalFormatting sqref="F13">
    <cfRule type="expression" priority="54" dxfId="1" stopIfTrue="1">
      <formula>AND(F13&lt;&gt;"", COUNTIF($O4:O4,F13)=0)</formula>
    </cfRule>
    <cfRule type="expression" priority="84" dxfId="2" stopIfTrue="1">
      <formula>AND(F12&lt;&gt;"", F13="")</formula>
    </cfRule>
  </conditionalFormatting>
  <conditionalFormatting sqref="G13">
    <cfRule type="expression" priority="55" dxfId="1" stopIfTrue="1">
      <formula>AND(G13&lt;&gt;"", COUNTIF($O4:O4,G13)=0)</formula>
    </cfRule>
    <cfRule type="expression" priority="85" dxfId="2" stopIfTrue="1">
      <formula>AND(G12&lt;&gt;"", G13="")</formula>
    </cfRule>
  </conditionalFormatting>
  <conditionalFormatting sqref="C15">
    <cfRule type="expression" priority="56" dxfId="1" stopIfTrue="1">
      <formula>AND(C15&lt;&gt;"", COUNTIF($O4:O4,C15)=0)</formula>
    </cfRule>
    <cfRule type="expression" priority="86" dxfId="2" stopIfTrue="1">
      <formula>AND(C14&lt;&gt;"", C15="")</formula>
    </cfRule>
  </conditionalFormatting>
  <conditionalFormatting sqref="D15">
    <cfRule type="expression" priority="57" dxfId="1" stopIfTrue="1">
      <formula>AND(D15&lt;&gt;"", COUNTIF($O4:O4,D15)=0)</formula>
    </cfRule>
    <cfRule type="expression" priority="87" dxfId="2" stopIfTrue="1">
      <formula>AND(D14&lt;&gt;"", D15="")</formula>
    </cfRule>
  </conditionalFormatting>
  <conditionalFormatting sqref="E15">
    <cfRule type="expression" priority="58" dxfId="1" stopIfTrue="1">
      <formula>AND(E15&lt;&gt;"", COUNTIF($O4:O4,E15)=0)</formula>
    </cfRule>
    <cfRule type="expression" priority="88" dxfId="2" stopIfTrue="1">
      <formula>AND(E14&lt;&gt;"", E15="")</formula>
    </cfRule>
  </conditionalFormatting>
  <conditionalFormatting sqref="F15">
    <cfRule type="expression" priority="59" dxfId="1" stopIfTrue="1">
      <formula>AND(F15&lt;&gt;"", COUNTIF($O4:O4,F15)=0)</formula>
    </cfRule>
    <cfRule type="expression" priority="89" dxfId="2" stopIfTrue="1">
      <formula>AND(F14&lt;&gt;"", F15="")</formula>
    </cfRule>
  </conditionalFormatting>
  <conditionalFormatting sqref="G15">
    <cfRule type="expression" priority="60" dxfId="1" stopIfTrue="1">
      <formula>AND(G15&lt;&gt;"", COUNTIF($O4:O4,G15)=0)</formula>
    </cfRule>
    <cfRule type="expression" priority="90" dxfId="2" stopIfTrue="1">
      <formula>AND(G14&lt;&gt;"", G15="")</formula>
    </cfRule>
  </conditionalFormatting>
  <conditionalFormatting sqref="J4">
    <cfRule type="expression" priority="91" dxfId="3" stopIfTrue="1">
      <formula>AND(J4&lt;&gt;"", M4&gt;0, L4=0)</formula>
    </cfRule>
    <cfRule type="expression" priority="98" dxfId="4" stopIfTrue="1">
      <formula>AND(J4&lt;&gt;"", M4&gt;0, L4&lt;0)</formula>
    </cfRule>
    <cfRule type="expression" priority="105" dxfId="5" stopIfTrue="1">
      <formula>AND(J4&lt;&gt;"", M4&gt;0, L4&gt;0, L4&lt;K4)</formula>
    </cfRule>
  </conditionalFormatting>
  <conditionalFormatting sqref="J5">
    <cfRule type="expression" priority="92" dxfId="3" stopIfTrue="1">
      <formula>AND(J5&lt;&gt;"", M5&gt;0, L5=0)</formula>
    </cfRule>
    <cfRule type="expression" priority="99" dxfId="4" stopIfTrue="1">
      <formula>AND(J5&lt;&gt;"", M5&gt;0, L5&lt;0)</formula>
    </cfRule>
    <cfRule type="expression" priority="106" dxfId="5" stopIfTrue="1">
      <formula>AND(J5&lt;&gt;"", M5&gt;0, L5&gt;0, L5&lt;K5)</formula>
    </cfRule>
  </conditionalFormatting>
  <conditionalFormatting sqref="J6">
    <cfRule type="expression" priority="93" dxfId="3" stopIfTrue="1">
      <formula>AND(J6&lt;&gt;"", M6&gt;0, L6=0)</formula>
    </cfRule>
    <cfRule type="expression" priority="100" dxfId="4" stopIfTrue="1">
      <formula>AND(J6&lt;&gt;"", M6&gt;0, L6&lt;0)</formula>
    </cfRule>
    <cfRule type="expression" priority="107" dxfId="5" stopIfTrue="1">
      <formula>AND(J6&lt;&gt;"", M6&gt;0, L6&gt;0, L6&lt;K6)</formula>
    </cfRule>
  </conditionalFormatting>
  <conditionalFormatting sqref="J7">
    <cfRule type="expression" priority="94" dxfId="3" stopIfTrue="1">
      <formula>AND(J7&lt;&gt;"", M7&gt;0, L7=0)</formula>
    </cfRule>
    <cfRule type="expression" priority="101" dxfId="4" stopIfTrue="1">
      <formula>AND(J7&lt;&gt;"", M7&gt;0, L7&lt;0)</formula>
    </cfRule>
    <cfRule type="expression" priority="108" dxfId="5" stopIfTrue="1">
      <formula>AND(J7&lt;&gt;"", M7&gt;0, L7&gt;0, L7&lt;K7)</formula>
    </cfRule>
  </conditionalFormatting>
  <conditionalFormatting sqref="J8">
    <cfRule type="expression" priority="95" dxfId="3" stopIfTrue="1">
      <formula>AND(J8&lt;&gt;"", M8&gt;0, L8=0)</formula>
    </cfRule>
    <cfRule type="expression" priority="102" dxfId="4" stopIfTrue="1">
      <formula>AND(J8&lt;&gt;"", M8&gt;0, L8&lt;0)</formula>
    </cfRule>
    <cfRule type="expression" priority="109" dxfId="5" stopIfTrue="1">
      <formula>AND(J8&lt;&gt;"", M8&gt;0, L8&gt;0, L8&lt;K8)</formula>
    </cfRule>
  </conditionalFormatting>
  <conditionalFormatting sqref="J9">
    <cfRule type="expression" priority="96" dxfId="3" stopIfTrue="1">
      <formula>AND(J9&lt;&gt;"", M9&gt;0, L9=0)</formula>
    </cfRule>
    <cfRule type="expression" priority="103" dxfId="4" stopIfTrue="1">
      <formula>AND(J9&lt;&gt;"", M9&gt;0, L9&lt;0)</formula>
    </cfRule>
    <cfRule type="expression" priority="110" dxfId="5" stopIfTrue="1">
      <formula>AND(J9&lt;&gt;"", M9&gt;0, L9&gt;0, L9&lt;K9)</formula>
    </cfRule>
  </conditionalFormatting>
  <conditionalFormatting sqref="J10">
    <cfRule type="expression" priority="97" dxfId="3" stopIfTrue="1">
      <formula>AND(J10&lt;&gt;"", M10&gt;0, L10=0)</formula>
    </cfRule>
    <cfRule type="expression" priority="104" dxfId="4" stopIfTrue="1">
      <formula>AND(J10&lt;&gt;"", M10&gt;0, L10&lt;0)</formula>
    </cfRule>
    <cfRule type="expression" priority="111" dxfId="5" stopIfTrue="1">
      <formula>AND(J10&lt;&gt;"", M10&gt;0, L10&gt;0, L10&lt;K10)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 xml:space="preserve">Grupo </t>
        </is>
      </c>
      <c r="B1" t="inlineStr">
        <is>
          <t>C311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s="1" t="inlineStr"/>
      <c r="C3" s="1" t="inlineStr">
        <is>
          <t>Lunes</t>
        </is>
      </c>
      <c r="D3" s="1" t="inlineStr">
        <is>
          <t>Martes</t>
        </is>
      </c>
      <c r="E3" s="1" t="inlineStr">
        <is>
          <t>Miércoles</t>
        </is>
      </c>
      <c r="F3" s="1" t="inlineStr">
        <is>
          <t>Jueves</t>
        </is>
      </c>
      <c r="G3" s="1" t="inlineStr">
        <is>
          <t>Viernes</t>
        </is>
      </c>
      <c r="H3" t="inlineStr"/>
      <c r="I3" s="2" t="inlineStr">
        <is>
          <t>Abrev</t>
        </is>
      </c>
      <c r="J3" s="1" t="inlineStr">
        <is>
          <t>Asignaturas</t>
        </is>
      </c>
      <c r="K3" s="1" t="inlineStr">
        <is>
          <t>Frec</t>
        </is>
      </c>
      <c r="L3" s="1" t="inlineStr">
        <is>
          <t>Faltan</t>
        </is>
      </c>
      <c r="M3" s="1" t="inlineStr">
        <is>
          <t>Asignadas</t>
        </is>
      </c>
      <c r="N3" t="inlineStr"/>
      <c r="O3" t="inlineStr">
        <is>
          <t>Aulas</t>
        </is>
      </c>
    </row>
    <row r="4">
      <c r="A4" t="inlineStr"/>
      <c r="B4" s="3" t="inlineStr">
        <is>
          <t>Turno 1</t>
        </is>
      </c>
      <c r="C4" s="4" t="inlineStr">
        <is>
          <t>BD2</t>
        </is>
      </c>
      <c r="D4" s="4" t="inlineStr">
        <is>
          <t>Est</t>
        </is>
      </c>
      <c r="E4" s="4" t="inlineStr">
        <is>
          <t>BD2 cp</t>
        </is>
      </c>
      <c r="F4" s="4" t="inlineStr">
        <is>
          <t>MO</t>
        </is>
      </c>
      <c r="G4" s="4" t="inlineStr"/>
      <c r="H4" t="inlineStr"/>
      <c r="I4" s="2" t="inlineStr">
        <is>
          <t>RC</t>
        </is>
      </c>
      <c r="J4" s="1" t="inlineStr">
        <is>
          <t>Redes de Computadoras</t>
        </is>
      </c>
      <c r="K4" s="1" t="n">
        <v>2</v>
      </c>
      <c r="L4" s="1">
        <f>K4-M4</f>
        <v/>
      </c>
      <c r="M4" s="1">
        <f>COUNTIF($C$4:$G$15,I4)</f>
        <v/>
      </c>
      <c r="N4" t="inlineStr"/>
      <c r="O4" s="1" t="inlineStr">
        <is>
          <t>Aula 9</t>
        </is>
      </c>
    </row>
    <row r="5">
      <c r="A5" t="inlineStr"/>
      <c r="B5" s="5" t="n"/>
      <c r="C5" s="6" t="inlineStr">
        <is>
          <t>Aula 9</t>
        </is>
      </c>
      <c r="D5" s="6" t="inlineStr">
        <is>
          <t>Aula 9</t>
        </is>
      </c>
      <c r="E5" s="6" t="inlineStr">
        <is>
          <t>Aula 9</t>
        </is>
      </c>
      <c r="F5" s="6" t="inlineStr">
        <is>
          <t>Aula 9</t>
        </is>
      </c>
      <c r="G5" s="6" t="inlineStr"/>
      <c r="H5" t="inlineStr"/>
      <c r="I5" s="2" t="inlineStr">
        <is>
          <t>IS</t>
        </is>
      </c>
      <c r="J5" s="1" t="inlineStr">
        <is>
          <t>Ingeniería de Software</t>
        </is>
      </c>
      <c r="K5" s="1" t="n">
        <v>2</v>
      </c>
      <c r="L5" s="1">
        <f>K5-M5</f>
        <v/>
      </c>
      <c r="M5" s="1">
        <f>COUNTIF($C$4:$G$15,I5)</f>
        <v/>
      </c>
      <c r="N5" t="inlineStr">
        <is>
          <t>Total:</t>
        </is>
      </c>
      <c r="O5">
        <f>COUNTA(O4:O4)</f>
        <v/>
      </c>
    </row>
    <row r="6">
      <c r="A6" t="inlineStr"/>
      <c r="B6" s="3" t="inlineStr">
        <is>
          <t>Turno 2</t>
        </is>
      </c>
      <c r="C6" s="4" t="inlineStr">
        <is>
          <t>IS c</t>
        </is>
      </c>
      <c r="D6" s="4" t="inlineStr">
        <is>
          <t>PD c</t>
        </is>
      </c>
      <c r="E6" s="4" t="inlineStr">
        <is>
          <t>IS c</t>
        </is>
      </c>
      <c r="F6" s="4" t="inlineStr">
        <is>
          <t>PD cp</t>
        </is>
      </c>
      <c r="G6" s="4" t="inlineStr"/>
      <c r="H6" t="inlineStr"/>
      <c r="I6" s="2" t="inlineStr">
        <is>
          <t>MO</t>
        </is>
      </c>
      <c r="J6" s="1" t="inlineStr">
        <is>
          <t>Modelos de Optimización</t>
        </is>
      </c>
      <c r="K6" s="1" t="n">
        <v>2</v>
      </c>
      <c r="L6" s="1">
        <f>K6-M6</f>
        <v/>
      </c>
      <c r="M6" s="1">
        <f>COUNTIF($C$4:$G$15,I6)</f>
        <v/>
      </c>
      <c r="N6" t="inlineStr"/>
      <c r="O6" t="inlineStr"/>
    </row>
    <row r="7">
      <c r="A7" t="inlineStr"/>
      <c r="B7" s="5" t="n"/>
      <c r="C7" s="6" t="inlineStr">
        <is>
          <t>Aula 9</t>
        </is>
      </c>
      <c r="D7" s="6" t="inlineStr">
        <is>
          <t>Aula 9</t>
        </is>
      </c>
      <c r="E7" s="6" t="inlineStr">
        <is>
          <t>Aula 9</t>
        </is>
      </c>
      <c r="F7" s="6" t="inlineStr">
        <is>
          <t>Aula 9</t>
        </is>
      </c>
      <c r="G7" s="6" t="inlineStr"/>
      <c r="H7" t="inlineStr"/>
      <c r="I7" s="2" t="inlineStr">
        <is>
          <t>BD2</t>
        </is>
      </c>
      <c r="J7" s="1" t="inlineStr">
        <is>
          <t>Bases de Datos II</t>
        </is>
      </c>
      <c r="K7" s="1" t="n">
        <v>2</v>
      </c>
      <c r="L7" s="1">
        <f>K7-M7</f>
        <v/>
      </c>
      <c r="M7" s="1">
        <f>COUNTIF($C$4:$G$15,I7)</f>
        <v/>
      </c>
      <c r="N7" t="inlineStr"/>
      <c r="O7" t="inlineStr"/>
    </row>
    <row r="8">
      <c r="A8" t="inlineStr"/>
      <c r="B8" s="3" t="inlineStr">
        <is>
          <t>Turno 3</t>
        </is>
      </c>
      <c r="C8" s="4" t="inlineStr">
        <is>
          <t>RC</t>
        </is>
      </c>
      <c r="D8" s="4" t="inlineStr">
        <is>
          <t>MO</t>
        </is>
      </c>
      <c r="E8" s="4" t="inlineStr">
        <is>
          <t>RC cp</t>
        </is>
      </c>
      <c r="F8" s="4" t="inlineStr">
        <is>
          <t>Est cp</t>
        </is>
      </c>
      <c r="G8" s="4" t="inlineStr"/>
      <c r="H8" t="inlineStr"/>
      <c r="I8" s="2" t="inlineStr">
        <is>
          <t>PD</t>
        </is>
      </c>
      <c r="J8" s="1" t="inlineStr">
        <is>
          <t>Programación Declarativa</t>
        </is>
      </c>
      <c r="K8" s="1" t="n">
        <v>2</v>
      </c>
      <c r="L8" s="1">
        <f>K8-M8</f>
        <v/>
      </c>
      <c r="M8" s="1">
        <f>COUNTIF($C$4:$G$15,I8)</f>
        <v/>
      </c>
      <c r="N8" t="inlineStr"/>
      <c r="O8" t="inlineStr"/>
    </row>
    <row r="9">
      <c r="A9" t="inlineStr"/>
      <c r="B9" s="5" t="n"/>
      <c r="C9" s="6" t="inlineStr">
        <is>
          <t>Aula 9</t>
        </is>
      </c>
      <c r="D9" s="6" t="inlineStr">
        <is>
          <t>Aula 9</t>
        </is>
      </c>
      <c r="E9" s="6" t="inlineStr">
        <is>
          <t>Aula 9</t>
        </is>
      </c>
      <c r="F9" s="6" t="inlineStr">
        <is>
          <t>Aula 9</t>
        </is>
      </c>
      <c r="G9" s="6" t="inlineStr"/>
      <c r="H9" t="inlineStr"/>
      <c r="I9" s="2" t="inlineStr">
        <is>
          <t>Est</t>
        </is>
      </c>
      <c r="J9" s="1" t="inlineStr">
        <is>
          <t>Estadística</t>
        </is>
      </c>
      <c r="K9" s="1" t="n">
        <v>2</v>
      </c>
      <c r="L9" s="1">
        <f>K9-M9</f>
        <v/>
      </c>
      <c r="M9" s="1">
        <f>COUNTIF($C$4:$G$15,I9)</f>
        <v/>
      </c>
      <c r="N9" t="inlineStr"/>
      <c r="O9" t="inlineStr"/>
    </row>
    <row r="10">
      <c r="A10" t="inlineStr"/>
      <c r="B10" s="3" t="inlineStr">
        <is>
          <t>Turno 4</t>
        </is>
      </c>
      <c r="C10" s="4" t="inlineStr"/>
      <c r="D10" s="4" t="inlineStr"/>
      <c r="E10" s="4" t="inlineStr"/>
      <c r="F10" s="4" t="inlineStr"/>
      <c r="G10" s="4" t="inlineStr"/>
      <c r="H10" t="inlineStr"/>
      <c r="I10" t="inlineStr"/>
      <c r="J10" t="inlineStr"/>
      <c r="K10" t="inlineStr"/>
      <c r="L10" t="inlineStr">
        <is>
          <t>Total:</t>
        </is>
      </c>
      <c r="M10">
        <f>COUNTA(I4:I9)</f>
        <v/>
      </c>
      <c r="N10" t="inlineStr"/>
      <c r="O10" t="inlineStr"/>
    </row>
    <row r="11">
      <c r="A11" t="inlineStr"/>
      <c r="B11" s="5" t="n"/>
      <c r="C11" s="6" t="inlineStr"/>
      <c r="D11" s="6" t="inlineStr"/>
      <c r="E11" s="6" t="inlineStr"/>
      <c r="F11" s="6" t="inlineStr"/>
      <c r="G11" s="6" t="inlineStr"/>
      <c r="H11" t="inlineStr"/>
      <c r="I11" t="inlineStr"/>
      <c r="J11" t="inlineStr"/>
      <c r="K11" t="inlineStr"/>
      <c r="L11" t="inlineStr">
        <is>
          <t>Σ Frec:</t>
        </is>
      </c>
      <c r="M11">
        <f>SUM(K4:K9)</f>
        <v/>
      </c>
      <c r="N11" t="inlineStr"/>
      <c r="O11" t="inlineStr"/>
    </row>
    <row r="12">
      <c r="A12" t="inlineStr"/>
      <c r="B12" s="3" t="inlineStr">
        <is>
          <t>Turno 5</t>
        </is>
      </c>
      <c r="C12" s="4" t="inlineStr"/>
      <c r="D12" s="4" t="inlineStr"/>
      <c r="E12" s="4" t="inlineStr"/>
      <c r="F12" s="4" t="inlineStr"/>
      <c r="G12" s="4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/>
      <c r="B13" s="5" t="n"/>
      <c r="C13" s="6" t="inlineStr"/>
      <c r="D13" s="6" t="inlineStr"/>
      <c r="E13" s="6" t="inlineStr"/>
      <c r="F13" s="6" t="inlineStr"/>
      <c r="G13" s="6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/>
      <c r="B14" s="3" t="inlineStr">
        <is>
          <t>Turno 6</t>
        </is>
      </c>
      <c r="C14" s="4" t="inlineStr"/>
      <c r="D14" s="4" t="inlineStr"/>
      <c r="E14" s="4" t="inlineStr"/>
      <c r="F14" s="4" t="inlineStr"/>
      <c r="G14" s="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/>
      <c r="B15" s="5" t="n"/>
      <c r="C15" s="6" t="inlineStr"/>
      <c r="D15" s="6" t="inlineStr"/>
      <c r="E15" s="6" t="inlineStr"/>
      <c r="F15" s="6" t="inlineStr"/>
      <c r="G15" s="6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F16" t="inlineStr">
        <is>
          <t>Ocupados:</t>
        </is>
      </c>
      <c r="G16">
        <f>COUNTA(C4:G15)/2</f>
        <v/>
      </c>
    </row>
  </sheetData>
  <mergeCells count="6">
    <mergeCell ref="B4:B5"/>
    <mergeCell ref="B12:B13"/>
    <mergeCell ref="B8:B9"/>
    <mergeCell ref="B10:B11"/>
    <mergeCell ref="B6:B7"/>
    <mergeCell ref="B14:B15"/>
  </mergeCells>
  <conditionalFormatting sqref="C4">
    <cfRule type="expression" priority="1" dxfId="0" stopIfTrue="1">
      <formula>AND(C4&lt;&gt;"", COUNTIF($I4:I9,C4)=0)</formula>
    </cfRule>
  </conditionalFormatting>
  <conditionalFormatting sqref="D4">
    <cfRule type="expression" priority="2" dxfId="0" stopIfTrue="1">
      <formula>AND(D4&lt;&gt;"", COUNTIF($I4:I9,D4)=0)</formula>
    </cfRule>
  </conditionalFormatting>
  <conditionalFormatting sqref="E4">
    <cfRule type="expression" priority="3" dxfId="0" stopIfTrue="1">
      <formula>AND(E4&lt;&gt;"", COUNTIF($I4:I9,E4)=0)</formula>
    </cfRule>
  </conditionalFormatting>
  <conditionalFormatting sqref="F4">
    <cfRule type="expression" priority="4" dxfId="0" stopIfTrue="1">
      <formula>AND(F4&lt;&gt;"", COUNTIF($I4:I9,F4)=0)</formula>
    </cfRule>
  </conditionalFormatting>
  <conditionalFormatting sqref="G4">
    <cfRule type="expression" priority="5" dxfId="0" stopIfTrue="1">
      <formula>AND(G4&lt;&gt;"", COUNTIF($I4:I9,G4)=0)</formula>
    </cfRule>
  </conditionalFormatting>
  <conditionalFormatting sqref="C6">
    <cfRule type="expression" priority="6" dxfId="0" stopIfTrue="1">
      <formula>AND(C6&lt;&gt;"", COUNTIF($I4:I9,C6)=0)</formula>
    </cfRule>
  </conditionalFormatting>
  <conditionalFormatting sqref="D6">
    <cfRule type="expression" priority="7" dxfId="0" stopIfTrue="1">
      <formula>AND(D6&lt;&gt;"", COUNTIF($I4:I9,D6)=0)</formula>
    </cfRule>
  </conditionalFormatting>
  <conditionalFormatting sqref="E6">
    <cfRule type="expression" priority="8" dxfId="0" stopIfTrue="1">
      <formula>AND(E6&lt;&gt;"", COUNTIF($I4:I9,E6)=0)</formula>
    </cfRule>
  </conditionalFormatting>
  <conditionalFormatting sqref="F6">
    <cfRule type="expression" priority="9" dxfId="0" stopIfTrue="1">
      <formula>AND(F6&lt;&gt;"", COUNTIF($I4:I9,F6)=0)</formula>
    </cfRule>
  </conditionalFormatting>
  <conditionalFormatting sqref="G6">
    <cfRule type="expression" priority="10" dxfId="0" stopIfTrue="1">
      <formula>AND(G6&lt;&gt;"", COUNTIF($I4:I9,G6)=0)</formula>
    </cfRule>
  </conditionalFormatting>
  <conditionalFormatting sqref="C8">
    <cfRule type="expression" priority="11" dxfId="0" stopIfTrue="1">
      <formula>AND(C8&lt;&gt;"", COUNTIF($I4:I9,C8)=0)</formula>
    </cfRule>
  </conditionalFormatting>
  <conditionalFormatting sqref="D8">
    <cfRule type="expression" priority="12" dxfId="0" stopIfTrue="1">
      <formula>AND(D8&lt;&gt;"", COUNTIF($I4:I9,D8)=0)</formula>
    </cfRule>
  </conditionalFormatting>
  <conditionalFormatting sqref="E8">
    <cfRule type="expression" priority="13" dxfId="0" stopIfTrue="1">
      <formula>AND(E8&lt;&gt;"", COUNTIF($I4:I9,E8)=0)</formula>
    </cfRule>
  </conditionalFormatting>
  <conditionalFormatting sqref="F8">
    <cfRule type="expression" priority="14" dxfId="0" stopIfTrue="1">
      <formula>AND(F8&lt;&gt;"", COUNTIF($I4:I9,F8)=0)</formula>
    </cfRule>
  </conditionalFormatting>
  <conditionalFormatting sqref="G8">
    <cfRule type="expression" priority="15" dxfId="0" stopIfTrue="1">
      <formula>AND(G8&lt;&gt;"", COUNTIF($I4:I9,G8)=0)</formula>
    </cfRule>
  </conditionalFormatting>
  <conditionalFormatting sqref="C10">
    <cfRule type="expression" priority="16" dxfId="0" stopIfTrue="1">
      <formula>AND(C10&lt;&gt;"", COUNTIF($I4:I9,C10)=0)</formula>
    </cfRule>
  </conditionalFormatting>
  <conditionalFormatting sqref="D10">
    <cfRule type="expression" priority="17" dxfId="0" stopIfTrue="1">
      <formula>AND(D10&lt;&gt;"", COUNTIF($I4:I9,D10)=0)</formula>
    </cfRule>
  </conditionalFormatting>
  <conditionalFormatting sqref="E10">
    <cfRule type="expression" priority="18" dxfId="0" stopIfTrue="1">
      <formula>AND(E10&lt;&gt;"", COUNTIF($I4:I9,E10)=0)</formula>
    </cfRule>
  </conditionalFormatting>
  <conditionalFormatting sqref="F10">
    <cfRule type="expression" priority="19" dxfId="0" stopIfTrue="1">
      <formula>AND(F10&lt;&gt;"", COUNTIF($I4:I9,F10)=0)</formula>
    </cfRule>
  </conditionalFormatting>
  <conditionalFormatting sqref="G10">
    <cfRule type="expression" priority="20" dxfId="0" stopIfTrue="1">
      <formula>AND(G10&lt;&gt;"", COUNTIF($I4:I9,G10)=0)</formula>
    </cfRule>
  </conditionalFormatting>
  <conditionalFormatting sqref="C12">
    <cfRule type="expression" priority="21" dxfId="0" stopIfTrue="1">
      <formula>AND(C12&lt;&gt;"", COUNTIF($I4:I9,C12)=0)</formula>
    </cfRule>
  </conditionalFormatting>
  <conditionalFormatting sqref="D12">
    <cfRule type="expression" priority="22" dxfId="0" stopIfTrue="1">
      <formula>AND(D12&lt;&gt;"", COUNTIF($I4:I9,D12)=0)</formula>
    </cfRule>
  </conditionalFormatting>
  <conditionalFormatting sqref="E12">
    <cfRule type="expression" priority="23" dxfId="0" stopIfTrue="1">
      <formula>AND(E12&lt;&gt;"", COUNTIF($I4:I9,E12)=0)</formula>
    </cfRule>
  </conditionalFormatting>
  <conditionalFormatting sqref="F12">
    <cfRule type="expression" priority="24" dxfId="0" stopIfTrue="1">
      <formula>AND(F12&lt;&gt;"", COUNTIF($I4:I9,F12)=0)</formula>
    </cfRule>
  </conditionalFormatting>
  <conditionalFormatting sqref="G12">
    <cfRule type="expression" priority="25" dxfId="0" stopIfTrue="1">
      <formula>AND(G12&lt;&gt;"", COUNTIF($I4:I9,G12)=0)</formula>
    </cfRule>
  </conditionalFormatting>
  <conditionalFormatting sqref="C14">
    <cfRule type="expression" priority="26" dxfId="0" stopIfTrue="1">
      <formula>AND(C14&lt;&gt;"", COUNTIF($I4:I9,C14)=0)</formula>
    </cfRule>
  </conditionalFormatting>
  <conditionalFormatting sqref="D14">
    <cfRule type="expression" priority="27" dxfId="0" stopIfTrue="1">
      <formula>AND(D14&lt;&gt;"", COUNTIF($I4:I9,D14)=0)</formula>
    </cfRule>
  </conditionalFormatting>
  <conditionalFormatting sqref="E14">
    <cfRule type="expression" priority="28" dxfId="0" stopIfTrue="1">
      <formula>AND(E14&lt;&gt;"", COUNTIF($I4:I9,E14)=0)</formula>
    </cfRule>
  </conditionalFormatting>
  <conditionalFormatting sqref="F14">
    <cfRule type="expression" priority="29" dxfId="0" stopIfTrue="1">
      <formula>AND(F14&lt;&gt;"", COUNTIF($I4:I9,F14)=0)</formula>
    </cfRule>
  </conditionalFormatting>
  <conditionalFormatting sqref="G14">
    <cfRule type="expression" priority="30" dxfId="0" stopIfTrue="1">
      <formula>AND(G14&lt;&gt;"", COUNTIF($I4:I9,G14)=0)</formula>
    </cfRule>
  </conditionalFormatting>
  <conditionalFormatting sqref="C5">
    <cfRule type="expression" priority="31" dxfId="1" stopIfTrue="1">
      <formula>AND(C5&lt;&gt;"", COUNTIF($O4:O4,C5)=0)</formula>
    </cfRule>
    <cfRule type="expression" priority="61" dxfId="2" stopIfTrue="1">
      <formula>AND(C4&lt;&gt;"", C5="")</formula>
    </cfRule>
  </conditionalFormatting>
  <conditionalFormatting sqref="D5">
    <cfRule type="expression" priority="32" dxfId="1" stopIfTrue="1">
      <formula>AND(D5&lt;&gt;"", COUNTIF($O4:O4,D5)=0)</formula>
    </cfRule>
    <cfRule type="expression" priority="62" dxfId="2" stopIfTrue="1">
      <formula>AND(D4&lt;&gt;"", D5="")</formula>
    </cfRule>
  </conditionalFormatting>
  <conditionalFormatting sqref="E5">
    <cfRule type="expression" priority="33" dxfId="1" stopIfTrue="1">
      <formula>AND(E5&lt;&gt;"", COUNTIF($O4:O4,E5)=0)</formula>
    </cfRule>
    <cfRule type="expression" priority="63" dxfId="2" stopIfTrue="1">
      <formula>AND(E4&lt;&gt;"", E5="")</formula>
    </cfRule>
  </conditionalFormatting>
  <conditionalFormatting sqref="F5">
    <cfRule type="expression" priority="34" dxfId="1" stopIfTrue="1">
      <formula>AND(F5&lt;&gt;"", COUNTIF($O4:O4,F5)=0)</formula>
    </cfRule>
    <cfRule type="expression" priority="64" dxfId="2" stopIfTrue="1">
      <formula>AND(F4&lt;&gt;"", F5="")</formula>
    </cfRule>
  </conditionalFormatting>
  <conditionalFormatting sqref="G5">
    <cfRule type="expression" priority="35" dxfId="1" stopIfTrue="1">
      <formula>AND(G5&lt;&gt;"", COUNTIF($O4:O4,G5)=0)</formula>
    </cfRule>
    <cfRule type="expression" priority="65" dxfId="2" stopIfTrue="1">
      <formula>AND(G4&lt;&gt;"", G5="")</formula>
    </cfRule>
  </conditionalFormatting>
  <conditionalFormatting sqref="C7">
    <cfRule type="expression" priority="36" dxfId="1" stopIfTrue="1">
      <formula>AND(C7&lt;&gt;"", COUNTIF($O4:O4,C7)=0)</formula>
    </cfRule>
    <cfRule type="expression" priority="66" dxfId="2" stopIfTrue="1">
      <formula>AND(C6&lt;&gt;"", C7="")</formula>
    </cfRule>
  </conditionalFormatting>
  <conditionalFormatting sqref="D7">
    <cfRule type="expression" priority="37" dxfId="1" stopIfTrue="1">
      <formula>AND(D7&lt;&gt;"", COUNTIF($O4:O4,D7)=0)</formula>
    </cfRule>
    <cfRule type="expression" priority="67" dxfId="2" stopIfTrue="1">
      <formula>AND(D6&lt;&gt;"", D7="")</formula>
    </cfRule>
  </conditionalFormatting>
  <conditionalFormatting sqref="E7">
    <cfRule type="expression" priority="38" dxfId="1" stopIfTrue="1">
      <formula>AND(E7&lt;&gt;"", COUNTIF($O4:O4,E7)=0)</formula>
    </cfRule>
    <cfRule type="expression" priority="68" dxfId="2" stopIfTrue="1">
      <formula>AND(E6&lt;&gt;"", E7="")</formula>
    </cfRule>
  </conditionalFormatting>
  <conditionalFormatting sqref="F7">
    <cfRule type="expression" priority="39" dxfId="1" stopIfTrue="1">
      <formula>AND(F7&lt;&gt;"", COUNTIF($O4:O4,F7)=0)</formula>
    </cfRule>
    <cfRule type="expression" priority="69" dxfId="2" stopIfTrue="1">
      <formula>AND(F6&lt;&gt;"", F7="")</formula>
    </cfRule>
  </conditionalFormatting>
  <conditionalFormatting sqref="G7">
    <cfRule type="expression" priority="40" dxfId="1" stopIfTrue="1">
      <formula>AND(G7&lt;&gt;"", COUNTIF($O4:O4,G7)=0)</formula>
    </cfRule>
    <cfRule type="expression" priority="70" dxfId="2" stopIfTrue="1">
      <formula>AND(G6&lt;&gt;"", G7="")</formula>
    </cfRule>
  </conditionalFormatting>
  <conditionalFormatting sqref="C9">
    <cfRule type="expression" priority="41" dxfId="1" stopIfTrue="1">
      <formula>AND(C9&lt;&gt;"", COUNTIF($O4:O4,C9)=0)</formula>
    </cfRule>
    <cfRule type="expression" priority="71" dxfId="2" stopIfTrue="1">
      <formula>AND(C8&lt;&gt;"", C9="")</formula>
    </cfRule>
  </conditionalFormatting>
  <conditionalFormatting sqref="D9">
    <cfRule type="expression" priority="42" dxfId="1" stopIfTrue="1">
      <formula>AND(D9&lt;&gt;"", COUNTIF($O4:O4,D9)=0)</formula>
    </cfRule>
    <cfRule type="expression" priority="72" dxfId="2" stopIfTrue="1">
      <formula>AND(D8&lt;&gt;"", D9="")</formula>
    </cfRule>
  </conditionalFormatting>
  <conditionalFormatting sqref="E9">
    <cfRule type="expression" priority="43" dxfId="1" stopIfTrue="1">
      <formula>AND(E9&lt;&gt;"", COUNTIF($O4:O4,E9)=0)</formula>
    </cfRule>
    <cfRule type="expression" priority="73" dxfId="2" stopIfTrue="1">
      <formula>AND(E8&lt;&gt;"", E9="")</formula>
    </cfRule>
  </conditionalFormatting>
  <conditionalFormatting sqref="F9">
    <cfRule type="expression" priority="44" dxfId="1" stopIfTrue="1">
      <formula>AND(F9&lt;&gt;"", COUNTIF($O4:O4,F9)=0)</formula>
    </cfRule>
    <cfRule type="expression" priority="74" dxfId="2" stopIfTrue="1">
      <formula>AND(F8&lt;&gt;"", F9="")</formula>
    </cfRule>
  </conditionalFormatting>
  <conditionalFormatting sqref="G9">
    <cfRule type="expression" priority="45" dxfId="1" stopIfTrue="1">
      <formula>AND(G9&lt;&gt;"", COUNTIF($O4:O4,G9)=0)</formula>
    </cfRule>
    <cfRule type="expression" priority="75" dxfId="2" stopIfTrue="1">
      <formula>AND(G8&lt;&gt;"", G9="")</formula>
    </cfRule>
  </conditionalFormatting>
  <conditionalFormatting sqref="C11">
    <cfRule type="expression" priority="46" dxfId="1" stopIfTrue="1">
      <formula>AND(C11&lt;&gt;"", COUNTIF($O4:O4,C11)=0)</formula>
    </cfRule>
    <cfRule type="expression" priority="76" dxfId="2" stopIfTrue="1">
      <formula>AND(C10&lt;&gt;"", C11="")</formula>
    </cfRule>
  </conditionalFormatting>
  <conditionalFormatting sqref="D11">
    <cfRule type="expression" priority="47" dxfId="1" stopIfTrue="1">
      <formula>AND(D11&lt;&gt;"", COUNTIF($O4:O4,D11)=0)</formula>
    </cfRule>
    <cfRule type="expression" priority="77" dxfId="2" stopIfTrue="1">
      <formula>AND(D10&lt;&gt;"", D11="")</formula>
    </cfRule>
  </conditionalFormatting>
  <conditionalFormatting sqref="E11">
    <cfRule type="expression" priority="48" dxfId="1" stopIfTrue="1">
      <formula>AND(E11&lt;&gt;"", COUNTIF($O4:O4,E11)=0)</formula>
    </cfRule>
    <cfRule type="expression" priority="78" dxfId="2" stopIfTrue="1">
      <formula>AND(E10&lt;&gt;"", E11="")</formula>
    </cfRule>
  </conditionalFormatting>
  <conditionalFormatting sqref="F11">
    <cfRule type="expression" priority="49" dxfId="1" stopIfTrue="1">
      <formula>AND(F11&lt;&gt;"", COUNTIF($O4:O4,F11)=0)</formula>
    </cfRule>
    <cfRule type="expression" priority="79" dxfId="2" stopIfTrue="1">
      <formula>AND(F10&lt;&gt;"", F11="")</formula>
    </cfRule>
  </conditionalFormatting>
  <conditionalFormatting sqref="G11">
    <cfRule type="expression" priority="50" dxfId="1" stopIfTrue="1">
      <formula>AND(G11&lt;&gt;"", COUNTIF($O4:O4,G11)=0)</formula>
    </cfRule>
    <cfRule type="expression" priority="80" dxfId="2" stopIfTrue="1">
      <formula>AND(G10&lt;&gt;"", G11="")</formula>
    </cfRule>
  </conditionalFormatting>
  <conditionalFormatting sqref="C13">
    <cfRule type="expression" priority="51" dxfId="1" stopIfTrue="1">
      <formula>AND(C13&lt;&gt;"", COUNTIF($O4:O4,C13)=0)</formula>
    </cfRule>
    <cfRule type="expression" priority="81" dxfId="2" stopIfTrue="1">
      <formula>AND(C12&lt;&gt;"", C13="")</formula>
    </cfRule>
  </conditionalFormatting>
  <conditionalFormatting sqref="D13">
    <cfRule type="expression" priority="52" dxfId="1" stopIfTrue="1">
      <formula>AND(D13&lt;&gt;"", COUNTIF($O4:O4,D13)=0)</formula>
    </cfRule>
    <cfRule type="expression" priority="82" dxfId="2" stopIfTrue="1">
      <formula>AND(D12&lt;&gt;"", D13="")</formula>
    </cfRule>
  </conditionalFormatting>
  <conditionalFormatting sqref="E13">
    <cfRule type="expression" priority="53" dxfId="1" stopIfTrue="1">
      <formula>AND(E13&lt;&gt;"", COUNTIF($O4:O4,E13)=0)</formula>
    </cfRule>
    <cfRule type="expression" priority="83" dxfId="2" stopIfTrue="1">
      <formula>AND(E12&lt;&gt;"", E13="")</formula>
    </cfRule>
  </conditionalFormatting>
  <conditionalFormatting sqref="F13">
    <cfRule type="expression" priority="54" dxfId="1" stopIfTrue="1">
      <formula>AND(F13&lt;&gt;"", COUNTIF($O4:O4,F13)=0)</formula>
    </cfRule>
    <cfRule type="expression" priority="84" dxfId="2" stopIfTrue="1">
      <formula>AND(F12&lt;&gt;"", F13="")</formula>
    </cfRule>
  </conditionalFormatting>
  <conditionalFormatting sqref="G13">
    <cfRule type="expression" priority="55" dxfId="1" stopIfTrue="1">
      <formula>AND(G13&lt;&gt;"", COUNTIF($O4:O4,G13)=0)</formula>
    </cfRule>
    <cfRule type="expression" priority="85" dxfId="2" stopIfTrue="1">
      <formula>AND(G12&lt;&gt;"", G13="")</formula>
    </cfRule>
  </conditionalFormatting>
  <conditionalFormatting sqref="C15">
    <cfRule type="expression" priority="56" dxfId="1" stopIfTrue="1">
      <formula>AND(C15&lt;&gt;"", COUNTIF($O4:O4,C15)=0)</formula>
    </cfRule>
    <cfRule type="expression" priority="86" dxfId="2" stopIfTrue="1">
      <formula>AND(C14&lt;&gt;"", C15="")</formula>
    </cfRule>
  </conditionalFormatting>
  <conditionalFormatting sqref="D15">
    <cfRule type="expression" priority="57" dxfId="1" stopIfTrue="1">
      <formula>AND(D15&lt;&gt;"", COUNTIF($O4:O4,D15)=0)</formula>
    </cfRule>
    <cfRule type="expression" priority="87" dxfId="2" stopIfTrue="1">
      <formula>AND(D14&lt;&gt;"", D15="")</formula>
    </cfRule>
  </conditionalFormatting>
  <conditionalFormatting sqref="E15">
    <cfRule type="expression" priority="58" dxfId="1" stopIfTrue="1">
      <formula>AND(E15&lt;&gt;"", COUNTIF($O4:O4,E15)=0)</formula>
    </cfRule>
    <cfRule type="expression" priority="88" dxfId="2" stopIfTrue="1">
      <formula>AND(E14&lt;&gt;"", E15="")</formula>
    </cfRule>
  </conditionalFormatting>
  <conditionalFormatting sqref="F15">
    <cfRule type="expression" priority="59" dxfId="1" stopIfTrue="1">
      <formula>AND(F15&lt;&gt;"", COUNTIF($O4:O4,F15)=0)</formula>
    </cfRule>
    <cfRule type="expression" priority="89" dxfId="2" stopIfTrue="1">
      <formula>AND(F14&lt;&gt;"", F15="")</formula>
    </cfRule>
  </conditionalFormatting>
  <conditionalFormatting sqref="G15">
    <cfRule type="expression" priority="60" dxfId="1" stopIfTrue="1">
      <formula>AND(G15&lt;&gt;"", COUNTIF($O4:O4,G15)=0)</formula>
    </cfRule>
    <cfRule type="expression" priority="90" dxfId="2" stopIfTrue="1">
      <formula>AND(G14&lt;&gt;"", G15="")</formula>
    </cfRule>
  </conditionalFormatting>
  <conditionalFormatting sqref="J4">
    <cfRule type="expression" priority="91" dxfId="3" stopIfTrue="1">
      <formula>AND(J4&lt;&gt;"", M4&gt;0, L4=0)</formula>
    </cfRule>
    <cfRule type="expression" priority="97" dxfId="4" stopIfTrue="1">
      <formula>AND(J4&lt;&gt;"", M4&gt;0, L4&lt;0)</formula>
    </cfRule>
    <cfRule type="expression" priority="103" dxfId="5" stopIfTrue="1">
      <formula>AND(J4&lt;&gt;"", M4&gt;0, L4&gt;0, L4&lt;K4)</formula>
    </cfRule>
  </conditionalFormatting>
  <conditionalFormatting sqref="J5">
    <cfRule type="expression" priority="92" dxfId="3" stopIfTrue="1">
      <formula>AND(J5&lt;&gt;"", M5&gt;0, L5=0)</formula>
    </cfRule>
    <cfRule type="expression" priority="98" dxfId="4" stopIfTrue="1">
      <formula>AND(J5&lt;&gt;"", M5&gt;0, L5&lt;0)</formula>
    </cfRule>
    <cfRule type="expression" priority="104" dxfId="5" stopIfTrue="1">
      <formula>AND(J5&lt;&gt;"", M5&gt;0, L5&gt;0, L5&lt;K5)</formula>
    </cfRule>
  </conditionalFormatting>
  <conditionalFormatting sqref="J6">
    <cfRule type="expression" priority="93" dxfId="3" stopIfTrue="1">
      <formula>AND(J6&lt;&gt;"", M6&gt;0, L6=0)</formula>
    </cfRule>
    <cfRule type="expression" priority="99" dxfId="4" stopIfTrue="1">
      <formula>AND(J6&lt;&gt;"", M6&gt;0, L6&lt;0)</formula>
    </cfRule>
    <cfRule type="expression" priority="105" dxfId="5" stopIfTrue="1">
      <formula>AND(J6&lt;&gt;"", M6&gt;0, L6&gt;0, L6&lt;K6)</formula>
    </cfRule>
  </conditionalFormatting>
  <conditionalFormatting sqref="J7">
    <cfRule type="expression" priority="94" dxfId="3" stopIfTrue="1">
      <formula>AND(J7&lt;&gt;"", M7&gt;0, L7=0)</formula>
    </cfRule>
    <cfRule type="expression" priority="100" dxfId="4" stopIfTrue="1">
      <formula>AND(J7&lt;&gt;"", M7&gt;0, L7&lt;0)</formula>
    </cfRule>
    <cfRule type="expression" priority="106" dxfId="5" stopIfTrue="1">
      <formula>AND(J7&lt;&gt;"", M7&gt;0, L7&gt;0, L7&lt;K7)</formula>
    </cfRule>
  </conditionalFormatting>
  <conditionalFormatting sqref="J8">
    <cfRule type="expression" priority="95" dxfId="3" stopIfTrue="1">
      <formula>AND(J8&lt;&gt;"", M8&gt;0, L8=0)</formula>
    </cfRule>
    <cfRule type="expression" priority="101" dxfId="4" stopIfTrue="1">
      <formula>AND(J8&lt;&gt;"", M8&gt;0, L8&lt;0)</formula>
    </cfRule>
    <cfRule type="expression" priority="107" dxfId="5" stopIfTrue="1">
      <formula>AND(J8&lt;&gt;"", M8&gt;0, L8&gt;0, L8&lt;K8)</formula>
    </cfRule>
  </conditionalFormatting>
  <conditionalFormatting sqref="J9">
    <cfRule type="expression" priority="96" dxfId="3" stopIfTrue="1">
      <formula>AND(J9&lt;&gt;"", M9&gt;0, L9=0)</formula>
    </cfRule>
    <cfRule type="expression" priority="102" dxfId="4" stopIfTrue="1">
      <formula>AND(J9&lt;&gt;"", M9&gt;0, L9&lt;0)</formula>
    </cfRule>
    <cfRule type="expression" priority="108" dxfId="5" stopIfTrue="1">
      <formula>AND(J9&lt;&gt;"", M9&gt;0, L9&gt;0, L9&lt;K9)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 xml:space="preserve">Grupo </t>
        </is>
      </c>
      <c r="B1" t="inlineStr">
        <is>
          <t>C312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s="1" t="inlineStr"/>
      <c r="C3" s="1" t="inlineStr">
        <is>
          <t>Lunes</t>
        </is>
      </c>
      <c r="D3" s="1" t="inlineStr">
        <is>
          <t>Martes</t>
        </is>
      </c>
      <c r="E3" s="1" t="inlineStr">
        <is>
          <t>Miércoles</t>
        </is>
      </c>
      <c r="F3" s="1" t="inlineStr">
        <is>
          <t>Jueves</t>
        </is>
      </c>
      <c r="G3" s="1" t="inlineStr">
        <is>
          <t>Viernes</t>
        </is>
      </c>
      <c r="H3" t="inlineStr"/>
      <c r="I3" s="2" t="inlineStr">
        <is>
          <t>Abrev</t>
        </is>
      </c>
      <c r="J3" s="1" t="inlineStr">
        <is>
          <t>Asignaturas</t>
        </is>
      </c>
      <c r="K3" s="1" t="inlineStr">
        <is>
          <t>Frec</t>
        </is>
      </c>
      <c r="L3" s="1" t="inlineStr">
        <is>
          <t>Faltan</t>
        </is>
      </c>
      <c r="M3" s="1" t="inlineStr">
        <is>
          <t>Asignadas</t>
        </is>
      </c>
      <c r="N3" t="inlineStr"/>
      <c r="O3" t="inlineStr">
        <is>
          <t>Aulas</t>
        </is>
      </c>
    </row>
    <row r="4">
      <c r="A4" t="inlineStr"/>
      <c r="B4" s="3" t="inlineStr">
        <is>
          <t>Turno 1</t>
        </is>
      </c>
      <c r="C4" s="4" t="inlineStr">
        <is>
          <t>BD2</t>
        </is>
      </c>
      <c r="D4" s="4" t="inlineStr">
        <is>
          <t>Est</t>
        </is>
      </c>
      <c r="E4" s="4" t="inlineStr">
        <is>
          <t>BD2 cp</t>
        </is>
      </c>
      <c r="F4" s="4" t="inlineStr">
        <is>
          <t>PD cp</t>
        </is>
      </c>
      <c r="G4" s="4" t="inlineStr"/>
      <c r="H4" t="inlineStr"/>
      <c r="I4" s="2" t="inlineStr">
        <is>
          <t>RC</t>
        </is>
      </c>
      <c r="J4" s="1" t="inlineStr">
        <is>
          <t>Redes de Computadoras</t>
        </is>
      </c>
      <c r="K4" s="1" t="n">
        <v>2</v>
      </c>
      <c r="L4" s="1">
        <f>K4-M4</f>
        <v/>
      </c>
      <c r="M4" s="1">
        <f>COUNTIF($C$4:$G$15,I4)</f>
        <v/>
      </c>
      <c r="N4" t="inlineStr"/>
      <c r="O4" s="1" t="inlineStr">
        <is>
          <t>Aula 3</t>
        </is>
      </c>
    </row>
    <row r="5">
      <c r="A5" t="inlineStr"/>
      <c r="B5" s="5" t="n"/>
      <c r="C5" s="6" t="inlineStr">
        <is>
          <t>Aula 9</t>
        </is>
      </c>
      <c r="D5" s="6" t="inlineStr">
        <is>
          <t>Aula 9</t>
        </is>
      </c>
      <c r="E5" s="6" t="inlineStr">
        <is>
          <t>Aula 3</t>
        </is>
      </c>
      <c r="F5" s="6" t="inlineStr">
        <is>
          <t>Aula 3</t>
        </is>
      </c>
      <c r="G5" s="6" t="inlineStr"/>
      <c r="H5" t="inlineStr"/>
      <c r="I5" s="2" t="inlineStr">
        <is>
          <t>IS</t>
        </is>
      </c>
      <c r="J5" s="1" t="inlineStr">
        <is>
          <t>Ingeniería de Software</t>
        </is>
      </c>
      <c r="K5" s="1" t="n">
        <v>2</v>
      </c>
      <c r="L5" s="1">
        <f>K5-M5</f>
        <v/>
      </c>
      <c r="M5" s="1">
        <f>COUNTIF($C$4:$G$15,I5)</f>
        <v/>
      </c>
      <c r="N5" t="inlineStr"/>
      <c r="O5" s="1" t="inlineStr">
        <is>
          <t>Aula 9</t>
        </is>
      </c>
    </row>
    <row r="6">
      <c r="A6" t="inlineStr"/>
      <c r="B6" s="3" t="inlineStr">
        <is>
          <t>Turno 2</t>
        </is>
      </c>
      <c r="C6" s="4" t="inlineStr">
        <is>
          <t>IS c</t>
        </is>
      </c>
      <c r="D6" s="4" t="inlineStr">
        <is>
          <t>PD c</t>
        </is>
      </c>
      <c r="E6" s="4" t="inlineStr">
        <is>
          <t>IS c</t>
        </is>
      </c>
      <c r="F6" s="4" t="inlineStr">
        <is>
          <t>MO</t>
        </is>
      </c>
      <c r="G6" s="4" t="inlineStr"/>
      <c r="H6" t="inlineStr"/>
      <c r="I6" s="2" t="inlineStr">
        <is>
          <t>MO</t>
        </is>
      </c>
      <c r="J6" s="1" t="inlineStr">
        <is>
          <t>Modelos de Optimización</t>
        </is>
      </c>
      <c r="K6" s="1" t="n">
        <v>2</v>
      </c>
      <c r="L6" s="1">
        <f>K6-M6</f>
        <v/>
      </c>
      <c r="M6" s="1">
        <f>COUNTIF($C$4:$G$15,I6)</f>
        <v/>
      </c>
      <c r="N6" t="inlineStr">
        <is>
          <t>Total:</t>
        </is>
      </c>
      <c r="O6">
        <f>COUNTA(O4:O5)</f>
        <v/>
      </c>
    </row>
    <row r="7">
      <c r="A7" t="inlineStr"/>
      <c r="B7" s="5" t="n"/>
      <c r="C7" s="6" t="inlineStr">
        <is>
          <t>Aula 9</t>
        </is>
      </c>
      <c r="D7" s="6" t="inlineStr">
        <is>
          <t>Aula 9</t>
        </is>
      </c>
      <c r="E7" s="6" t="inlineStr">
        <is>
          <t>Aula 3</t>
        </is>
      </c>
      <c r="F7" s="6" t="inlineStr">
        <is>
          <t>Aula 3</t>
        </is>
      </c>
      <c r="G7" s="6" t="inlineStr"/>
      <c r="H7" t="inlineStr"/>
      <c r="I7" s="2" t="inlineStr">
        <is>
          <t>BD2</t>
        </is>
      </c>
      <c r="J7" s="1" t="inlineStr">
        <is>
          <t>Bases de Datos II</t>
        </is>
      </c>
      <c r="K7" s="1" t="n">
        <v>2</v>
      </c>
      <c r="L7" s="1">
        <f>K7-M7</f>
        <v/>
      </c>
      <c r="M7" s="1">
        <f>COUNTIF($C$4:$G$15,I7)</f>
        <v/>
      </c>
      <c r="N7" t="inlineStr"/>
      <c r="O7" t="inlineStr"/>
    </row>
    <row r="8">
      <c r="A8" t="inlineStr"/>
      <c r="B8" s="3" t="inlineStr">
        <is>
          <t>Turno 3</t>
        </is>
      </c>
      <c r="C8" s="4" t="inlineStr">
        <is>
          <t>RC</t>
        </is>
      </c>
      <c r="D8" s="4" t="inlineStr">
        <is>
          <t>MO</t>
        </is>
      </c>
      <c r="E8" s="4" t="inlineStr">
        <is>
          <t>RC cp</t>
        </is>
      </c>
      <c r="F8" s="4" t="inlineStr">
        <is>
          <t>Est cp</t>
        </is>
      </c>
      <c r="G8" s="4" t="inlineStr"/>
      <c r="H8" t="inlineStr"/>
      <c r="I8" s="2" t="inlineStr">
        <is>
          <t>PD</t>
        </is>
      </c>
      <c r="J8" s="1" t="inlineStr">
        <is>
          <t>Programación Declarativa</t>
        </is>
      </c>
      <c r="K8" s="1" t="n">
        <v>2</v>
      </c>
      <c r="L8" s="1">
        <f>K8-M8</f>
        <v/>
      </c>
      <c r="M8" s="1">
        <f>COUNTIF($C$4:$G$15,I8)</f>
        <v/>
      </c>
      <c r="N8" t="inlineStr"/>
      <c r="O8" t="inlineStr"/>
    </row>
    <row r="9">
      <c r="A9" t="inlineStr"/>
      <c r="B9" s="5" t="n"/>
      <c r="C9" s="6" t="inlineStr">
        <is>
          <t>Aula 9</t>
        </is>
      </c>
      <c r="D9" s="6" t="inlineStr">
        <is>
          <t>Aula 9</t>
        </is>
      </c>
      <c r="E9" s="6" t="inlineStr">
        <is>
          <t>Aula 3</t>
        </is>
      </c>
      <c r="F9" s="6" t="inlineStr">
        <is>
          <t>Aula 3</t>
        </is>
      </c>
      <c r="G9" s="6" t="inlineStr"/>
      <c r="H9" t="inlineStr"/>
      <c r="I9" s="2" t="inlineStr">
        <is>
          <t>Est</t>
        </is>
      </c>
      <c r="J9" s="1" t="inlineStr">
        <is>
          <t>Estadística</t>
        </is>
      </c>
      <c r="K9" s="1" t="n">
        <v>2</v>
      </c>
      <c r="L9" s="1">
        <f>K9-M9</f>
        <v/>
      </c>
      <c r="M9" s="1">
        <f>COUNTIF($C$4:$G$15,I9)</f>
        <v/>
      </c>
      <c r="N9" t="inlineStr"/>
      <c r="O9" t="inlineStr"/>
    </row>
    <row r="10">
      <c r="A10" t="inlineStr"/>
      <c r="B10" s="3" t="inlineStr">
        <is>
          <t>Turno 4</t>
        </is>
      </c>
      <c r="C10" s="4" t="inlineStr"/>
      <c r="D10" s="4" t="inlineStr"/>
      <c r="E10" s="4" t="inlineStr"/>
      <c r="F10" s="4" t="inlineStr"/>
      <c r="G10" s="4" t="inlineStr"/>
      <c r="H10" t="inlineStr"/>
      <c r="I10" t="inlineStr"/>
      <c r="J10" t="inlineStr"/>
      <c r="K10" t="inlineStr"/>
      <c r="L10" t="inlineStr">
        <is>
          <t>Total:</t>
        </is>
      </c>
      <c r="M10">
        <f>COUNTA(I4:I9)</f>
        <v/>
      </c>
      <c r="N10" t="inlineStr"/>
      <c r="O10" t="inlineStr"/>
    </row>
    <row r="11">
      <c r="A11" t="inlineStr"/>
      <c r="B11" s="5" t="n"/>
      <c r="C11" s="6" t="inlineStr"/>
      <c r="D11" s="6" t="inlineStr"/>
      <c r="E11" s="6" t="inlineStr"/>
      <c r="F11" s="6" t="inlineStr"/>
      <c r="G11" s="6" t="inlineStr"/>
      <c r="H11" t="inlineStr"/>
      <c r="I11" t="inlineStr"/>
      <c r="J11" t="inlineStr"/>
      <c r="K11" t="inlineStr"/>
      <c r="L11" t="inlineStr">
        <is>
          <t>Σ Frec:</t>
        </is>
      </c>
      <c r="M11">
        <f>SUM(K4:K9)</f>
        <v/>
      </c>
      <c r="N11" t="inlineStr"/>
      <c r="O11" t="inlineStr"/>
    </row>
    <row r="12">
      <c r="A12" t="inlineStr"/>
      <c r="B12" s="3" t="inlineStr">
        <is>
          <t>Turno 5</t>
        </is>
      </c>
      <c r="C12" s="4" t="inlineStr"/>
      <c r="D12" s="4" t="inlineStr"/>
      <c r="E12" s="4" t="inlineStr"/>
      <c r="F12" s="4" t="inlineStr"/>
      <c r="G12" s="4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/>
      <c r="B13" s="5" t="n"/>
      <c r="C13" s="6" t="inlineStr"/>
      <c r="D13" s="6" t="inlineStr"/>
      <c r="E13" s="6" t="inlineStr"/>
      <c r="F13" s="6" t="inlineStr"/>
      <c r="G13" s="6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/>
      <c r="B14" s="3" t="inlineStr">
        <is>
          <t>Turno 6</t>
        </is>
      </c>
      <c r="C14" s="4" t="inlineStr"/>
      <c r="D14" s="4" t="inlineStr"/>
      <c r="E14" s="4" t="inlineStr"/>
      <c r="F14" s="4" t="inlineStr"/>
      <c r="G14" s="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/>
      <c r="B15" s="5" t="n"/>
      <c r="C15" s="6" t="inlineStr"/>
      <c r="D15" s="6" t="inlineStr"/>
      <c r="E15" s="6" t="inlineStr"/>
      <c r="F15" s="6" t="inlineStr"/>
      <c r="G15" s="6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F16" t="inlineStr">
        <is>
          <t>Ocupados:</t>
        </is>
      </c>
      <c r="G16">
        <f>COUNTA(C4:G15)/2</f>
        <v/>
      </c>
    </row>
  </sheetData>
  <mergeCells count="6">
    <mergeCell ref="B4:B5"/>
    <mergeCell ref="B12:B13"/>
    <mergeCell ref="B8:B9"/>
    <mergeCell ref="B10:B11"/>
    <mergeCell ref="B6:B7"/>
    <mergeCell ref="B14:B15"/>
  </mergeCells>
  <conditionalFormatting sqref="C4">
    <cfRule type="expression" priority="1" dxfId="0" stopIfTrue="1">
      <formula>AND(C4&lt;&gt;"", COUNTIF($I4:I9,C4)=0)</formula>
    </cfRule>
  </conditionalFormatting>
  <conditionalFormatting sqref="D4">
    <cfRule type="expression" priority="2" dxfId="0" stopIfTrue="1">
      <formula>AND(D4&lt;&gt;"", COUNTIF($I4:I9,D4)=0)</formula>
    </cfRule>
  </conditionalFormatting>
  <conditionalFormatting sqref="E4">
    <cfRule type="expression" priority="3" dxfId="0" stopIfTrue="1">
      <formula>AND(E4&lt;&gt;"", COUNTIF($I4:I9,E4)=0)</formula>
    </cfRule>
  </conditionalFormatting>
  <conditionalFormatting sqref="F4">
    <cfRule type="expression" priority="4" dxfId="0" stopIfTrue="1">
      <formula>AND(F4&lt;&gt;"", COUNTIF($I4:I9,F4)=0)</formula>
    </cfRule>
  </conditionalFormatting>
  <conditionalFormatting sqref="G4">
    <cfRule type="expression" priority="5" dxfId="0" stopIfTrue="1">
      <formula>AND(G4&lt;&gt;"", COUNTIF($I4:I9,G4)=0)</formula>
    </cfRule>
  </conditionalFormatting>
  <conditionalFormatting sqref="C6">
    <cfRule type="expression" priority="6" dxfId="0" stopIfTrue="1">
      <formula>AND(C6&lt;&gt;"", COUNTIF($I4:I9,C6)=0)</formula>
    </cfRule>
  </conditionalFormatting>
  <conditionalFormatting sqref="D6">
    <cfRule type="expression" priority="7" dxfId="0" stopIfTrue="1">
      <formula>AND(D6&lt;&gt;"", COUNTIF($I4:I9,D6)=0)</formula>
    </cfRule>
  </conditionalFormatting>
  <conditionalFormatting sqref="E6">
    <cfRule type="expression" priority="8" dxfId="0" stopIfTrue="1">
      <formula>AND(E6&lt;&gt;"", COUNTIF($I4:I9,E6)=0)</formula>
    </cfRule>
  </conditionalFormatting>
  <conditionalFormatting sqref="F6">
    <cfRule type="expression" priority="9" dxfId="0" stopIfTrue="1">
      <formula>AND(F6&lt;&gt;"", COUNTIF($I4:I9,F6)=0)</formula>
    </cfRule>
  </conditionalFormatting>
  <conditionalFormatting sqref="G6">
    <cfRule type="expression" priority="10" dxfId="0" stopIfTrue="1">
      <formula>AND(G6&lt;&gt;"", COUNTIF($I4:I9,G6)=0)</formula>
    </cfRule>
  </conditionalFormatting>
  <conditionalFormatting sqref="C8">
    <cfRule type="expression" priority="11" dxfId="0" stopIfTrue="1">
      <formula>AND(C8&lt;&gt;"", COUNTIF($I4:I9,C8)=0)</formula>
    </cfRule>
  </conditionalFormatting>
  <conditionalFormatting sqref="D8">
    <cfRule type="expression" priority="12" dxfId="0" stopIfTrue="1">
      <formula>AND(D8&lt;&gt;"", COUNTIF($I4:I9,D8)=0)</formula>
    </cfRule>
  </conditionalFormatting>
  <conditionalFormatting sqref="E8">
    <cfRule type="expression" priority="13" dxfId="0" stopIfTrue="1">
      <formula>AND(E8&lt;&gt;"", COUNTIF($I4:I9,E8)=0)</formula>
    </cfRule>
  </conditionalFormatting>
  <conditionalFormatting sqref="F8">
    <cfRule type="expression" priority="14" dxfId="0" stopIfTrue="1">
      <formula>AND(F8&lt;&gt;"", COUNTIF($I4:I9,F8)=0)</formula>
    </cfRule>
  </conditionalFormatting>
  <conditionalFormatting sqref="G8">
    <cfRule type="expression" priority="15" dxfId="0" stopIfTrue="1">
      <formula>AND(G8&lt;&gt;"", COUNTIF($I4:I9,G8)=0)</formula>
    </cfRule>
  </conditionalFormatting>
  <conditionalFormatting sqref="C10">
    <cfRule type="expression" priority="16" dxfId="0" stopIfTrue="1">
      <formula>AND(C10&lt;&gt;"", COUNTIF($I4:I9,C10)=0)</formula>
    </cfRule>
  </conditionalFormatting>
  <conditionalFormatting sqref="D10">
    <cfRule type="expression" priority="17" dxfId="0" stopIfTrue="1">
      <formula>AND(D10&lt;&gt;"", COUNTIF($I4:I9,D10)=0)</formula>
    </cfRule>
  </conditionalFormatting>
  <conditionalFormatting sqref="E10">
    <cfRule type="expression" priority="18" dxfId="0" stopIfTrue="1">
      <formula>AND(E10&lt;&gt;"", COUNTIF($I4:I9,E10)=0)</formula>
    </cfRule>
  </conditionalFormatting>
  <conditionalFormatting sqref="F10">
    <cfRule type="expression" priority="19" dxfId="0" stopIfTrue="1">
      <formula>AND(F10&lt;&gt;"", COUNTIF($I4:I9,F10)=0)</formula>
    </cfRule>
  </conditionalFormatting>
  <conditionalFormatting sqref="G10">
    <cfRule type="expression" priority="20" dxfId="0" stopIfTrue="1">
      <formula>AND(G10&lt;&gt;"", COUNTIF($I4:I9,G10)=0)</formula>
    </cfRule>
  </conditionalFormatting>
  <conditionalFormatting sqref="C12">
    <cfRule type="expression" priority="21" dxfId="0" stopIfTrue="1">
      <formula>AND(C12&lt;&gt;"", COUNTIF($I4:I9,C12)=0)</formula>
    </cfRule>
  </conditionalFormatting>
  <conditionalFormatting sqref="D12">
    <cfRule type="expression" priority="22" dxfId="0" stopIfTrue="1">
      <formula>AND(D12&lt;&gt;"", COUNTIF($I4:I9,D12)=0)</formula>
    </cfRule>
  </conditionalFormatting>
  <conditionalFormatting sqref="E12">
    <cfRule type="expression" priority="23" dxfId="0" stopIfTrue="1">
      <formula>AND(E12&lt;&gt;"", COUNTIF($I4:I9,E12)=0)</formula>
    </cfRule>
  </conditionalFormatting>
  <conditionalFormatting sqref="F12">
    <cfRule type="expression" priority="24" dxfId="0" stopIfTrue="1">
      <formula>AND(F12&lt;&gt;"", COUNTIF($I4:I9,F12)=0)</formula>
    </cfRule>
  </conditionalFormatting>
  <conditionalFormatting sqref="G12">
    <cfRule type="expression" priority="25" dxfId="0" stopIfTrue="1">
      <formula>AND(G12&lt;&gt;"", COUNTIF($I4:I9,G12)=0)</formula>
    </cfRule>
  </conditionalFormatting>
  <conditionalFormatting sqref="C14">
    <cfRule type="expression" priority="26" dxfId="0" stopIfTrue="1">
      <formula>AND(C14&lt;&gt;"", COUNTIF($I4:I9,C14)=0)</formula>
    </cfRule>
  </conditionalFormatting>
  <conditionalFormatting sqref="D14">
    <cfRule type="expression" priority="27" dxfId="0" stopIfTrue="1">
      <formula>AND(D14&lt;&gt;"", COUNTIF($I4:I9,D14)=0)</formula>
    </cfRule>
  </conditionalFormatting>
  <conditionalFormatting sqref="E14">
    <cfRule type="expression" priority="28" dxfId="0" stopIfTrue="1">
      <formula>AND(E14&lt;&gt;"", COUNTIF($I4:I9,E14)=0)</formula>
    </cfRule>
  </conditionalFormatting>
  <conditionalFormatting sqref="F14">
    <cfRule type="expression" priority="29" dxfId="0" stopIfTrue="1">
      <formula>AND(F14&lt;&gt;"", COUNTIF($I4:I9,F14)=0)</formula>
    </cfRule>
  </conditionalFormatting>
  <conditionalFormatting sqref="G14">
    <cfRule type="expression" priority="30" dxfId="0" stopIfTrue="1">
      <formula>AND(G14&lt;&gt;"", COUNTIF($I4:I9,G14)=0)</formula>
    </cfRule>
  </conditionalFormatting>
  <conditionalFormatting sqref="C5">
    <cfRule type="expression" priority="31" dxfId="1" stopIfTrue="1">
      <formula>AND(C5&lt;&gt;"", COUNTIF($O4:O5,C5)=0)</formula>
    </cfRule>
    <cfRule type="expression" priority="61" dxfId="2" stopIfTrue="1">
      <formula>AND(C4&lt;&gt;"", C5="")</formula>
    </cfRule>
  </conditionalFormatting>
  <conditionalFormatting sqref="D5">
    <cfRule type="expression" priority="32" dxfId="1" stopIfTrue="1">
      <formula>AND(D5&lt;&gt;"", COUNTIF($O4:O5,D5)=0)</formula>
    </cfRule>
    <cfRule type="expression" priority="62" dxfId="2" stopIfTrue="1">
      <formula>AND(D4&lt;&gt;"", D5="")</formula>
    </cfRule>
  </conditionalFormatting>
  <conditionalFormatting sqref="E5">
    <cfRule type="expression" priority="33" dxfId="1" stopIfTrue="1">
      <formula>AND(E5&lt;&gt;"", COUNTIF($O4:O5,E5)=0)</formula>
    </cfRule>
    <cfRule type="expression" priority="63" dxfId="2" stopIfTrue="1">
      <formula>AND(E4&lt;&gt;"", E5="")</formula>
    </cfRule>
  </conditionalFormatting>
  <conditionalFormatting sqref="F5">
    <cfRule type="expression" priority="34" dxfId="1" stopIfTrue="1">
      <formula>AND(F5&lt;&gt;"", COUNTIF($O4:O5,F5)=0)</formula>
    </cfRule>
    <cfRule type="expression" priority="64" dxfId="2" stopIfTrue="1">
      <formula>AND(F4&lt;&gt;"", F5="")</formula>
    </cfRule>
  </conditionalFormatting>
  <conditionalFormatting sqref="G5">
    <cfRule type="expression" priority="35" dxfId="1" stopIfTrue="1">
      <formula>AND(G5&lt;&gt;"", COUNTIF($O4:O5,G5)=0)</formula>
    </cfRule>
    <cfRule type="expression" priority="65" dxfId="2" stopIfTrue="1">
      <formula>AND(G4&lt;&gt;"", G5="")</formula>
    </cfRule>
  </conditionalFormatting>
  <conditionalFormatting sqref="C7">
    <cfRule type="expression" priority="36" dxfId="1" stopIfTrue="1">
      <formula>AND(C7&lt;&gt;"", COUNTIF($O4:O5,C7)=0)</formula>
    </cfRule>
    <cfRule type="expression" priority="66" dxfId="2" stopIfTrue="1">
      <formula>AND(C6&lt;&gt;"", C7="")</formula>
    </cfRule>
  </conditionalFormatting>
  <conditionalFormatting sqref="D7">
    <cfRule type="expression" priority="37" dxfId="1" stopIfTrue="1">
      <formula>AND(D7&lt;&gt;"", COUNTIF($O4:O5,D7)=0)</formula>
    </cfRule>
    <cfRule type="expression" priority="67" dxfId="2" stopIfTrue="1">
      <formula>AND(D6&lt;&gt;"", D7="")</formula>
    </cfRule>
  </conditionalFormatting>
  <conditionalFormatting sqref="E7">
    <cfRule type="expression" priority="38" dxfId="1" stopIfTrue="1">
      <formula>AND(E7&lt;&gt;"", COUNTIF($O4:O5,E7)=0)</formula>
    </cfRule>
    <cfRule type="expression" priority="68" dxfId="2" stopIfTrue="1">
      <formula>AND(E6&lt;&gt;"", E7="")</formula>
    </cfRule>
  </conditionalFormatting>
  <conditionalFormatting sqref="F7">
    <cfRule type="expression" priority="39" dxfId="1" stopIfTrue="1">
      <formula>AND(F7&lt;&gt;"", COUNTIF($O4:O5,F7)=0)</formula>
    </cfRule>
    <cfRule type="expression" priority="69" dxfId="2" stopIfTrue="1">
      <formula>AND(F6&lt;&gt;"", F7="")</formula>
    </cfRule>
  </conditionalFormatting>
  <conditionalFormatting sqref="G7">
    <cfRule type="expression" priority="40" dxfId="1" stopIfTrue="1">
      <formula>AND(G7&lt;&gt;"", COUNTIF($O4:O5,G7)=0)</formula>
    </cfRule>
    <cfRule type="expression" priority="70" dxfId="2" stopIfTrue="1">
      <formula>AND(G6&lt;&gt;"", G7="")</formula>
    </cfRule>
  </conditionalFormatting>
  <conditionalFormatting sqref="C9">
    <cfRule type="expression" priority="41" dxfId="1" stopIfTrue="1">
      <formula>AND(C9&lt;&gt;"", COUNTIF($O4:O5,C9)=0)</formula>
    </cfRule>
    <cfRule type="expression" priority="71" dxfId="2" stopIfTrue="1">
      <formula>AND(C8&lt;&gt;"", C9="")</formula>
    </cfRule>
  </conditionalFormatting>
  <conditionalFormatting sqref="D9">
    <cfRule type="expression" priority="42" dxfId="1" stopIfTrue="1">
      <formula>AND(D9&lt;&gt;"", COUNTIF($O4:O5,D9)=0)</formula>
    </cfRule>
    <cfRule type="expression" priority="72" dxfId="2" stopIfTrue="1">
      <formula>AND(D8&lt;&gt;"", D9="")</formula>
    </cfRule>
  </conditionalFormatting>
  <conditionalFormatting sqref="E9">
    <cfRule type="expression" priority="43" dxfId="1" stopIfTrue="1">
      <formula>AND(E9&lt;&gt;"", COUNTIF($O4:O5,E9)=0)</formula>
    </cfRule>
    <cfRule type="expression" priority="73" dxfId="2" stopIfTrue="1">
      <formula>AND(E8&lt;&gt;"", E9="")</formula>
    </cfRule>
  </conditionalFormatting>
  <conditionalFormatting sqref="F9">
    <cfRule type="expression" priority="44" dxfId="1" stopIfTrue="1">
      <formula>AND(F9&lt;&gt;"", COUNTIF($O4:O5,F9)=0)</formula>
    </cfRule>
    <cfRule type="expression" priority="74" dxfId="2" stopIfTrue="1">
      <formula>AND(F8&lt;&gt;"", F9="")</formula>
    </cfRule>
  </conditionalFormatting>
  <conditionalFormatting sqref="G9">
    <cfRule type="expression" priority="45" dxfId="1" stopIfTrue="1">
      <formula>AND(G9&lt;&gt;"", COUNTIF($O4:O5,G9)=0)</formula>
    </cfRule>
    <cfRule type="expression" priority="75" dxfId="2" stopIfTrue="1">
      <formula>AND(G8&lt;&gt;"", G9="")</formula>
    </cfRule>
  </conditionalFormatting>
  <conditionalFormatting sqref="C11">
    <cfRule type="expression" priority="46" dxfId="1" stopIfTrue="1">
      <formula>AND(C11&lt;&gt;"", COUNTIF($O4:O5,C11)=0)</formula>
    </cfRule>
    <cfRule type="expression" priority="76" dxfId="2" stopIfTrue="1">
      <formula>AND(C10&lt;&gt;"", C11="")</formula>
    </cfRule>
  </conditionalFormatting>
  <conditionalFormatting sqref="D11">
    <cfRule type="expression" priority="47" dxfId="1" stopIfTrue="1">
      <formula>AND(D11&lt;&gt;"", COUNTIF($O4:O5,D11)=0)</formula>
    </cfRule>
    <cfRule type="expression" priority="77" dxfId="2" stopIfTrue="1">
      <formula>AND(D10&lt;&gt;"", D11="")</formula>
    </cfRule>
  </conditionalFormatting>
  <conditionalFormatting sqref="E11">
    <cfRule type="expression" priority="48" dxfId="1" stopIfTrue="1">
      <formula>AND(E11&lt;&gt;"", COUNTIF($O4:O5,E11)=0)</formula>
    </cfRule>
    <cfRule type="expression" priority="78" dxfId="2" stopIfTrue="1">
      <formula>AND(E10&lt;&gt;"", E11="")</formula>
    </cfRule>
  </conditionalFormatting>
  <conditionalFormatting sqref="F11">
    <cfRule type="expression" priority="49" dxfId="1" stopIfTrue="1">
      <formula>AND(F11&lt;&gt;"", COUNTIF($O4:O5,F11)=0)</formula>
    </cfRule>
    <cfRule type="expression" priority="79" dxfId="2" stopIfTrue="1">
      <formula>AND(F10&lt;&gt;"", F11="")</formula>
    </cfRule>
  </conditionalFormatting>
  <conditionalFormatting sqref="G11">
    <cfRule type="expression" priority="50" dxfId="1" stopIfTrue="1">
      <formula>AND(G11&lt;&gt;"", COUNTIF($O4:O5,G11)=0)</formula>
    </cfRule>
    <cfRule type="expression" priority="80" dxfId="2" stopIfTrue="1">
      <formula>AND(G10&lt;&gt;"", G11="")</formula>
    </cfRule>
  </conditionalFormatting>
  <conditionalFormatting sqref="C13">
    <cfRule type="expression" priority="51" dxfId="1" stopIfTrue="1">
      <formula>AND(C13&lt;&gt;"", COUNTIF($O4:O5,C13)=0)</formula>
    </cfRule>
    <cfRule type="expression" priority="81" dxfId="2" stopIfTrue="1">
      <formula>AND(C12&lt;&gt;"", C13="")</formula>
    </cfRule>
  </conditionalFormatting>
  <conditionalFormatting sqref="D13">
    <cfRule type="expression" priority="52" dxfId="1" stopIfTrue="1">
      <formula>AND(D13&lt;&gt;"", COUNTIF($O4:O5,D13)=0)</formula>
    </cfRule>
    <cfRule type="expression" priority="82" dxfId="2" stopIfTrue="1">
      <formula>AND(D12&lt;&gt;"", D13="")</formula>
    </cfRule>
  </conditionalFormatting>
  <conditionalFormatting sqref="E13">
    <cfRule type="expression" priority="53" dxfId="1" stopIfTrue="1">
      <formula>AND(E13&lt;&gt;"", COUNTIF($O4:O5,E13)=0)</formula>
    </cfRule>
    <cfRule type="expression" priority="83" dxfId="2" stopIfTrue="1">
      <formula>AND(E12&lt;&gt;"", E13="")</formula>
    </cfRule>
  </conditionalFormatting>
  <conditionalFormatting sqref="F13">
    <cfRule type="expression" priority="54" dxfId="1" stopIfTrue="1">
      <formula>AND(F13&lt;&gt;"", COUNTIF($O4:O5,F13)=0)</formula>
    </cfRule>
    <cfRule type="expression" priority="84" dxfId="2" stopIfTrue="1">
      <formula>AND(F12&lt;&gt;"", F13="")</formula>
    </cfRule>
  </conditionalFormatting>
  <conditionalFormatting sqref="G13">
    <cfRule type="expression" priority="55" dxfId="1" stopIfTrue="1">
      <formula>AND(G13&lt;&gt;"", COUNTIF($O4:O5,G13)=0)</formula>
    </cfRule>
    <cfRule type="expression" priority="85" dxfId="2" stopIfTrue="1">
      <formula>AND(G12&lt;&gt;"", G13="")</formula>
    </cfRule>
  </conditionalFormatting>
  <conditionalFormatting sqref="C15">
    <cfRule type="expression" priority="56" dxfId="1" stopIfTrue="1">
      <formula>AND(C15&lt;&gt;"", COUNTIF($O4:O5,C15)=0)</formula>
    </cfRule>
    <cfRule type="expression" priority="86" dxfId="2" stopIfTrue="1">
      <formula>AND(C14&lt;&gt;"", C15="")</formula>
    </cfRule>
  </conditionalFormatting>
  <conditionalFormatting sqref="D15">
    <cfRule type="expression" priority="57" dxfId="1" stopIfTrue="1">
      <formula>AND(D15&lt;&gt;"", COUNTIF($O4:O5,D15)=0)</formula>
    </cfRule>
    <cfRule type="expression" priority="87" dxfId="2" stopIfTrue="1">
      <formula>AND(D14&lt;&gt;"", D15="")</formula>
    </cfRule>
  </conditionalFormatting>
  <conditionalFormatting sqref="E15">
    <cfRule type="expression" priority="58" dxfId="1" stopIfTrue="1">
      <formula>AND(E15&lt;&gt;"", COUNTIF($O4:O5,E15)=0)</formula>
    </cfRule>
    <cfRule type="expression" priority="88" dxfId="2" stopIfTrue="1">
      <formula>AND(E14&lt;&gt;"", E15="")</formula>
    </cfRule>
  </conditionalFormatting>
  <conditionalFormatting sqref="F15">
    <cfRule type="expression" priority="59" dxfId="1" stopIfTrue="1">
      <formula>AND(F15&lt;&gt;"", COUNTIF($O4:O5,F15)=0)</formula>
    </cfRule>
    <cfRule type="expression" priority="89" dxfId="2" stopIfTrue="1">
      <formula>AND(F14&lt;&gt;"", F15="")</formula>
    </cfRule>
  </conditionalFormatting>
  <conditionalFormatting sqref="G15">
    <cfRule type="expression" priority="60" dxfId="1" stopIfTrue="1">
      <formula>AND(G15&lt;&gt;"", COUNTIF($O4:O5,G15)=0)</formula>
    </cfRule>
    <cfRule type="expression" priority="90" dxfId="2" stopIfTrue="1">
      <formula>AND(G14&lt;&gt;"", G15="")</formula>
    </cfRule>
  </conditionalFormatting>
  <conditionalFormatting sqref="J4">
    <cfRule type="expression" priority="91" dxfId="3" stopIfTrue="1">
      <formula>AND(J4&lt;&gt;"", M4&gt;0, L4=0)</formula>
    </cfRule>
    <cfRule type="expression" priority="97" dxfId="4" stopIfTrue="1">
      <formula>AND(J4&lt;&gt;"", M4&gt;0, L4&lt;0)</formula>
    </cfRule>
    <cfRule type="expression" priority="103" dxfId="5" stopIfTrue="1">
      <formula>AND(J4&lt;&gt;"", M4&gt;0, L4&gt;0, L4&lt;K4)</formula>
    </cfRule>
  </conditionalFormatting>
  <conditionalFormatting sqref="J5">
    <cfRule type="expression" priority="92" dxfId="3" stopIfTrue="1">
      <formula>AND(J5&lt;&gt;"", M5&gt;0, L5=0)</formula>
    </cfRule>
    <cfRule type="expression" priority="98" dxfId="4" stopIfTrue="1">
      <formula>AND(J5&lt;&gt;"", M5&gt;0, L5&lt;0)</formula>
    </cfRule>
    <cfRule type="expression" priority="104" dxfId="5" stopIfTrue="1">
      <formula>AND(J5&lt;&gt;"", M5&gt;0, L5&gt;0, L5&lt;K5)</formula>
    </cfRule>
  </conditionalFormatting>
  <conditionalFormatting sqref="J6">
    <cfRule type="expression" priority="93" dxfId="3" stopIfTrue="1">
      <formula>AND(J6&lt;&gt;"", M6&gt;0, L6=0)</formula>
    </cfRule>
    <cfRule type="expression" priority="99" dxfId="4" stopIfTrue="1">
      <formula>AND(J6&lt;&gt;"", M6&gt;0, L6&lt;0)</formula>
    </cfRule>
    <cfRule type="expression" priority="105" dxfId="5" stopIfTrue="1">
      <formula>AND(J6&lt;&gt;"", M6&gt;0, L6&gt;0, L6&lt;K6)</formula>
    </cfRule>
  </conditionalFormatting>
  <conditionalFormatting sqref="J7">
    <cfRule type="expression" priority="94" dxfId="3" stopIfTrue="1">
      <formula>AND(J7&lt;&gt;"", M7&gt;0, L7=0)</formula>
    </cfRule>
    <cfRule type="expression" priority="100" dxfId="4" stopIfTrue="1">
      <formula>AND(J7&lt;&gt;"", M7&gt;0, L7&lt;0)</formula>
    </cfRule>
    <cfRule type="expression" priority="106" dxfId="5" stopIfTrue="1">
      <formula>AND(J7&lt;&gt;"", M7&gt;0, L7&gt;0, L7&lt;K7)</formula>
    </cfRule>
  </conditionalFormatting>
  <conditionalFormatting sqref="J8">
    <cfRule type="expression" priority="95" dxfId="3" stopIfTrue="1">
      <formula>AND(J8&lt;&gt;"", M8&gt;0, L8=0)</formula>
    </cfRule>
    <cfRule type="expression" priority="101" dxfId="4" stopIfTrue="1">
      <formula>AND(J8&lt;&gt;"", M8&gt;0, L8&lt;0)</formula>
    </cfRule>
    <cfRule type="expression" priority="107" dxfId="5" stopIfTrue="1">
      <formula>AND(J8&lt;&gt;"", M8&gt;0, L8&gt;0, L8&lt;K8)</formula>
    </cfRule>
  </conditionalFormatting>
  <conditionalFormatting sqref="J9">
    <cfRule type="expression" priority="96" dxfId="3" stopIfTrue="1">
      <formula>AND(J9&lt;&gt;"", M9&gt;0, L9=0)</formula>
    </cfRule>
    <cfRule type="expression" priority="102" dxfId="4" stopIfTrue="1">
      <formula>AND(J9&lt;&gt;"", M9&gt;0, L9&lt;0)</formula>
    </cfRule>
    <cfRule type="expression" priority="108" dxfId="5" stopIfTrue="1">
      <formula>AND(J9&lt;&gt;"", M9&gt;0, L9&gt;0, L9&lt;K9)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 xml:space="preserve">Grupo </t>
        </is>
      </c>
      <c r="B1" t="inlineStr">
        <is>
          <t>C411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s="1" t="inlineStr"/>
      <c r="C3" s="1" t="inlineStr">
        <is>
          <t>Lunes</t>
        </is>
      </c>
      <c r="D3" s="1" t="inlineStr">
        <is>
          <t>Martes</t>
        </is>
      </c>
      <c r="E3" s="1" t="inlineStr">
        <is>
          <t>Miércoles</t>
        </is>
      </c>
      <c r="F3" s="1" t="inlineStr">
        <is>
          <t>Jueves</t>
        </is>
      </c>
      <c r="G3" s="1" t="inlineStr">
        <is>
          <t>Viernes</t>
        </is>
      </c>
      <c r="H3" t="inlineStr"/>
      <c r="I3" s="2" t="inlineStr">
        <is>
          <t>Abrev</t>
        </is>
      </c>
      <c r="J3" s="1" t="inlineStr">
        <is>
          <t>Asignaturas</t>
        </is>
      </c>
      <c r="K3" s="1" t="inlineStr">
        <is>
          <t>Frec</t>
        </is>
      </c>
      <c r="L3" s="1" t="inlineStr">
        <is>
          <t>Faltan</t>
        </is>
      </c>
      <c r="M3" s="1" t="inlineStr">
        <is>
          <t>Asignadas</t>
        </is>
      </c>
      <c r="N3" t="inlineStr"/>
      <c r="O3" t="inlineStr">
        <is>
          <t>Aulas</t>
        </is>
      </c>
    </row>
    <row r="4">
      <c r="A4" t="inlineStr"/>
      <c r="B4" s="3" t="inlineStr">
        <is>
          <t>Turno 1</t>
        </is>
      </c>
      <c r="C4" s="4" t="inlineStr"/>
      <c r="D4" s="4" t="inlineStr"/>
      <c r="E4" s="4" t="inlineStr"/>
      <c r="F4" s="4" t="inlineStr"/>
      <c r="G4" s="4" t="inlineStr"/>
      <c r="H4" t="inlineStr"/>
      <c r="I4" s="2" t="inlineStr">
        <is>
          <t>AM</t>
        </is>
      </c>
      <c r="J4" s="1" t="inlineStr">
        <is>
          <t>Aprendizaje de Máquinas</t>
        </is>
      </c>
      <c r="K4" s="1" t="n">
        <v>2</v>
      </c>
      <c r="L4" s="1">
        <f>K4-M4</f>
        <v/>
      </c>
      <c r="M4" s="1">
        <f>COUNTIF($C$4:$G$15,I4)</f>
        <v/>
      </c>
      <c r="N4" t="inlineStr"/>
      <c r="O4" s="1" t="inlineStr"/>
    </row>
    <row r="5">
      <c r="A5" t="inlineStr"/>
      <c r="B5" s="5" t="n"/>
      <c r="C5" s="6" t="inlineStr"/>
      <c r="D5" s="6" t="inlineStr"/>
      <c r="E5" s="6" t="inlineStr"/>
      <c r="F5" s="6" t="inlineStr"/>
      <c r="G5" s="6" t="inlineStr"/>
      <c r="H5" t="inlineStr"/>
      <c r="I5" s="2" t="inlineStr">
        <is>
          <t>DAA</t>
        </is>
      </c>
      <c r="J5" s="1" t="inlineStr">
        <is>
          <t>Diseño y Análisis de Algoritmos</t>
        </is>
      </c>
      <c r="K5" s="1" t="n">
        <v>2</v>
      </c>
      <c r="L5" s="1">
        <f>K5-M5</f>
        <v/>
      </c>
      <c r="M5" s="1">
        <f>COUNTIF($C$4:$G$15,I5)</f>
        <v/>
      </c>
      <c r="N5" t="inlineStr">
        <is>
          <t>Total:</t>
        </is>
      </c>
      <c r="O5">
        <f>COUNTA(O4:O4)</f>
        <v/>
      </c>
    </row>
    <row r="6">
      <c r="A6" t="inlineStr"/>
      <c r="B6" s="3" t="inlineStr">
        <is>
          <t>Turno 2</t>
        </is>
      </c>
      <c r="C6" s="4" t="inlineStr"/>
      <c r="D6" s="4" t="inlineStr"/>
      <c r="E6" s="4" t="inlineStr"/>
      <c r="F6" s="4" t="inlineStr"/>
      <c r="G6" s="4" t="inlineStr"/>
      <c r="H6" t="inlineStr"/>
      <c r="I6" s="2" t="inlineStr">
        <is>
          <t>SD</t>
        </is>
      </c>
      <c r="J6" s="1" t="inlineStr">
        <is>
          <t>Sistemas Distribuidos</t>
        </is>
      </c>
      <c r="K6" s="1" t="n">
        <v>2</v>
      </c>
      <c r="L6" s="1">
        <f>K6-M6</f>
        <v/>
      </c>
      <c r="M6" s="1">
        <f>COUNTIF($C$4:$G$15,I6)</f>
        <v/>
      </c>
      <c r="N6" t="inlineStr"/>
      <c r="O6" t="inlineStr"/>
    </row>
    <row r="7">
      <c r="A7" t="inlineStr"/>
      <c r="B7" s="5" t="n"/>
      <c r="C7" s="6" t="inlineStr"/>
      <c r="D7" s="6" t="inlineStr"/>
      <c r="E7" s="6" t="inlineStr"/>
      <c r="F7" s="6" t="inlineStr"/>
      <c r="G7" s="6" t="inlineStr"/>
      <c r="H7" t="inlineStr"/>
      <c r="I7" s="2" t="inlineStr">
        <is>
          <t>AE</t>
        </is>
      </c>
      <c r="J7" s="1" t="inlineStr">
        <is>
          <t>Asignatura Electiva</t>
        </is>
      </c>
      <c r="K7" s="1" t="n">
        <v>2</v>
      </c>
      <c r="L7" s="1">
        <f>K7-M7</f>
        <v/>
      </c>
      <c r="M7" s="1">
        <f>COUNTIF($C$4:$G$15,I7)</f>
        <v/>
      </c>
      <c r="N7" t="inlineStr"/>
      <c r="O7" t="inlineStr"/>
    </row>
    <row r="8">
      <c r="A8" t="inlineStr"/>
      <c r="B8" s="3" t="inlineStr">
        <is>
          <t>Turno 3</t>
        </is>
      </c>
      <c r="C8" s="4" t="inlineStr"/>
      <c r="D8" s="4" t="inlineStr"/>
      <c r="E8" s="4" t="inlineStr"/>
      <c r="F8" s="4" t="inlineStr"/>
      <c r="G8" s="4" t="inlineStr"/>
      <c r="H8" t="inlineStr"/>
      <c r="I8" s="2" t="inlineStr">
        <is>
          <t>ECTS</t>
        </is>
      </c>
      <c r="J8" s="1" t="inlineStr">
        <is>
          <t>Estudios de Ciencia, Tecnología y Sociedad</t>
        </is>
      </c>
      <c r="K8" s="1" t="n">
        <v>2</v>
      </c>
      <c r="L8" s="1">
        <f>K8-M8</f>
        <v/>
      </c>
      <c r="M8" s="1">
        <f>COUNTIF($C$4:$G$15,I8)</f>
        <v/>
      </c>
      <c r="N8" t="inlineStr"/>
      <c r="O8" t="inlineStr"/>
    </row>
    <row r="9">
      <c r="A9" t="inlineStr"/>
      <c r="B9" s="5" t="n"/>
      <c r="C9" s="6" t="inlineStr"/>
      <c r="D9" s="6" t="inlineStr"/>
      <c r="E9" s="6" t="inlineStr"/>
      <c r="F9" s="6" t="inlineStr"/>
      <c r="G9" s="6" t="inlineStr"/>
      <c r="H9" t="inlineStr"/>
      <c r="I9" s="2" t="inlineStr">
        <is>
          <t>SN/DN</t>
        </is>
      </c>
      <c r="J9" s="1" t="inlineStr">
        <is>
          <t>Seguridad Nacional / Defensa Nacionaol</t>
        </is>
      </c>
      <c r="K9" s="1" t="n">
        <v>2</v>
      </c>
      <c r="L9" s="1">
        <f>K9-M9</f>
        <v/>
      </c>
      <c r="M9" s="1">
        <f>COUNTIF($C$4:$G$15,I9)</f>
        <v/>
      </c>
      <c r="N9" t="inlineStr"/>
      <c r="O9" t="inlineStr"/>
    </row>
    <row r="10">
      <c r="A10" t="inlineStr"/>
      <c r="B10" s="3" t="inlineStr">
        <is>
          <t>Turno 4</t>
        </is>
      </c>
      <c r="C10" s="4" t="inlineStr">
        <is>
          <t>AM</t>
        </is>
      </c>
      <c r="D10" s="4" t="inlineStr">
        <is>
          <t>DAA</t>
        </is>
      </c>
      <c r="E10" s="4" t="inlineStr">
        <is>
          <t>DAA</t>
        </is>
      </c>
      <c r="F10" s="4" t="inlineStr">
        <is>
          <t>SN</t>
        </is>
      </c>
      <c r="G10" s="4" t="inlineStr"/>
      <c r="H10" t="inlineStr"/>
      <c r="I10" t="inlineStr"/>
      <c r="J10" t="inlineStr"/>
      <c r="K10" t="inlineStr"/>
      <c r="L10" t="inlineStr">
        <is>
          <t>Total:</t>
        </is>
      </c>
      <c r="M10">
        <f>COUNTA(I4:I9)</f>
        <v/>
      </c>
      <c r="N10" t="inlineStr"/>
      <c r="O10" t="inlineStr"/>
    </row>
    <row r="11">
      <c r="A11" t="inlineStr"/>
      <c r="B11" s="5" t="n"/>
      <c r="C11" s="6" t="inlineStr">
        <is>
          <t>9</t>
        </is>
      </c>
      <c r="D11" s="6" t="inlineStr">
        <is>
          <t>9</t>
        </is>
      </c>
      <c r="E11" s="6" t="inlineStr">
        <is>
          <t>9</t>
        </is>
      </c>
      <c r="F11" s="6" t="inlineStr"/>
      <c r="G11" s="6" t="inlineStr"/>
      <c r="H11" t="inlineStr"/>
      <c r="I11" t="inlineStr"/>
      <c r="J11" t="inlineStr"/>
      <c r="K11" t="inlineStr"/>
      <c r="L11" t="inlineStr">
        <is>
          <t>Σ Frec:</t>
        </is>
      </c>
      <c r="M11">
        <f>SUM(K4:K9)</f>
        <v/>
      </c>
      <c r="N11" t="inlineStr"/>
      <c r="O11" t="inlineStr"/>
    </row>
    <row r="12">
      <c r="A12" t="inlineStr"/>
      <c r="B12" s="3" t="inlineStr">
        <is>
          <t>Turno 5</t>
        </is>
      </c>
      <c r="C12" s="4" t="inlineStr">
        <is>
          <t>SD 9</t>
        </is>
      </c>
      <c r="D12" s="4" t="inlineStr">
        <is>
          <t>SN</t>
        </is>
      </c>
      <c r="E12" s="4" t="inlineStr">
        <is>
          <t>AM</t>
        </is>
      </c>
      <c r="F12" s="4" t="inlineStr">
        <is>
          <t>SN</t>
        </is>
      </c>
      <c r="G12" s="4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/>
      <c r="B13" s="5" t="n"/>
      <c r="C13" s="6" t="inlineStr"/>
      <c r="D13" s="6" t="inlineStr"/>
      <c r="E13" s="6" t="inlineStr">
        <is>
          <t>9</t>
        </is>
      </c>
      <c r="F13" s="6" t="inlineStr"/>
      <c r="G13" s="6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/>
      <c r="B14" s="3" t="inlineStr">
        <is>
          <t>Turno 6</t>
        </is>
      </c>
      <c r="C14" s="4" t="inlineStr">
        <is>
          <t>ECTS 9</t>
        </is>
      </c>
      <c r="D14" s="4" t="inlineStr">
        <is>
          <t>AE</t>
        </is>
      </c>
      <c r="E14" s="4" t="inlineStr">
        <is>
          <t>SD</t>
        </is>
      </c>
      <c r="F14" s="4" t="inlineStr"/>
      <c r="G14" s="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/>
      <c r="B15" s="5" t="n"/>
      <c r="C15" s="6" t="inlineStr"/>
      <c r="D15" s="6" t="inlineStr">
        <is>
          <t>9</t>
        </is>
      </c>
      <c r="E15" s="6" t="inlineStr">
        <is>
          <t>9</t>
        </is>
      </c>
      <c r="F15" s="6" t="inlineStr"/>
      <c r="G15" s="6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F16" t="inlineStr">
        <is>
          <t>Ocupados:</t>
        </is>
      </c>
      <c r="G16">
        <f>COUNTA(C4:G15)/2</f>
        <v/>
      </c>
    </row>
  </sheetData>
  <mergeCells count="6">
    <mergeCell ref="B4:B5"/>
    <mergeCell ref="B12:B13"/>
    <mergeCell ref="B8:B9"/>
    <mergeCell ref="B10:B11"/>
    <mergeCell ref="B6:B7"/>
    <mergeCell ref="B14:B15"/>
  </mergeCells>
  <conditionalFormatting sqref="C4">
    <cfRule type="expression" priority="1" dxfId="0" stopIfTrue="1">
      <formula>AND(C4&lt;&gt;"", COUNTIF($I4:I9,C4)=0)</formula>
    </cfRule>
  </conditionalFormatting>
  <conditionalFormatting sqref="D4">
    <cfRule type="expression" priority="2" dxfId="0" stopIfTrue="1">
      <formula>AND(D4&lt;&gt;"", COUNTIF($I4:I9,D4)=0)</formula>
    </cfRule>
  </conditionalFormatting>
  <conditionalFormatting sqref="E4">
    <cfRule type="expression" priority="3" dxfId="0" stopIfTrue="1">
      <formula>AND(E4&lt;&gt;"", COUNTIF($I4:I9,E4)=0)</formula>
    </cfRule>
  </conditionalFormatting>
  <conditionalFormatting sqref="F4">
    <cfRule type="expression" priority="4" dxfId="0" stopIfTrue="1">
      <formula>AND(F4&lt;&gt;"", COUNTIF($I4:I9,F4)=0)</formula>
    </cfRule>
  </conditionalFormatting>
  <conditionalFormatting sqref="G4">
    <cfRule type="expression" priority="5" dxfId="0" stopIfTrue="1">
      <formula>AND(G4&lt;&gt;"", COUNTIF($I4:I9,G4)=0)</formula>
    </cfRule>
  </conditionalFormatting>
  <conditionalFormatting sqref="C6">
    <cfRule type="expression" priority="6" dxfId="0" stopIfTrue="1">
      <formula>AND(C6&lt;&gt;"", COUNTIF($I4:I9,C6)=0)</formula>
    </cfRule>
  </conditionalFormatting>
  <conditionalFormatting sqref="D6">
    <cfRule type="expression" priority="7" dxfId="0" stopIfTrue="1">
      <formula>AND(D6&lt;&gt;"", COUNTIF($I4:I9,D6)=0)</formula>
    </cfRule>
  </conditionalFormatting>
  <conditionalFormatting sqref="E6">
    <cfRule type="expression" priority="8" dxfId="0" stopIfTrue="1">
      <formula>AND(E6&lt;&gt;"", COUNTIF($I4:I9,E6)=0)</formula>
    </cfRule>
  </conditionalFormatting>
  <conditionalFormatting sqref="F6">
    <cfRule type="expression" priority="9" dxfId="0" stopIfTrue="1">
      <formula>AND(F6&lt;&gt;"", COUNTIF($I4:I9,F6)=0)</formula>
    </cfRule>
  </conditionalFormatting>
  <conditionalFormatting sqref="G6">
    <cfRule type="expression" priority="10" dxfId="0" stopIfTrue="1">
      <formula>AND(G6&lt;&gt;"", COUNTIF($I4:I9,G6)=0)</formula>
    </cfRule>
  </conditionalFormatting>
  <conditionalFormatting sqref="C8">
    <cfRule type="expression" priority="11" dxfId="0" stopIfTrue="1">
      <formula>AND(C8&lt;&gt;"", COUNTIF($I4:I9,C8)=0)</formula>
    </cfRule>
  </conditionalFormatting>
  <conditionalFormatting sqref="D8">
    <cfRule type="expression" priority="12" dxfId="0" stopIfTrue="1">
      <formula>AND(D8&lt;&gt;"", COUNTIF($I4:I9,D8)=0)</formula>
    </cfRule>
  </conditionalFormatting>
  <conditionalFormatting sqref="E8">
    <cfRule type="expression" priority="13" dxfId="0" stopIfTrue="1">
      <formula>AND(E8&lt;&gt;"", COUNTIF($I4:I9,E8)=0)</formula>
    </cfRule>
  </conditionalFormatting>
  <conditionalFormatting sqref="F8">
    <cfRule type="expression" priority="14" dxfId="0" stopIfTrue="1">
      <formula>AND(F8&lt;&gt;"", COUNTIF($I4:I9,F8)=0)</formula>
    </cfRule>
  </conditionalFormatting>
  <conditionalFormatting sqref="G8">
    <cfRule type="expression" priority="15" dxfId="0" stopIfTrue="1">
      <formula>AND(G8&lt;&gt;"", COUNTIF($I4:I9,G8)=0)</formula>
    </cfRule>
  </conditionalFormatting>
  <conditionalFormatting sqref="C10">
    <cfRule type="expression" priority="16" dxfId="0" stopIfTrue="1">
      <formula>AND(C10&lt;&gt;"", COUNTIF($I4:I9,C10)=0)</formula>
    </cfRule>
  </conditionalFormatting>
  <conditionalFormatting sqref="D10">
    <cfRule type="expression" priority="17" dxfId="0" stopIfTrue="1">
      <formula>AND(D10&lt;&gt;"", COUNTIF($I4:I9,D10)=0)</formula>
    </cfRule>
  </conditionalFormatting>
  <conditionalFormatting sqref="E10">
    <cfRule type="expression" priority="18" dxfId="0" stopIfTrue="1">
      <formula>AND(E10&lt;&gt;"", COUNTIF($I4:I9,E10)=0)</formula>
    </cfRule>
  </conditionalFormatting>
  <conditionalFormatting sqref="F10">
    <cfRule type="expression" priority="19" dxfId="0" stopIfTrue="1">
      <formula>AND(F10&lt;&gt;"", COUNTIF($I4:I9,F10)=0)</formula>
    </cfRule>
  </conditionalFormatting>
  <conditionalFormatting sqref="G10">
    <cfRule type="expression" priority="20" dxfId="0" stopIfTrue="1">
      <formula>AND(G10&lt;&gt;"", COUNTIF($I4:I9,G10)=0)</formula>
    </cfRule>
  </conditionalFormatting>
  <conditionalFormatting sqref="C12">
    <cfRule type="expression" priority="21" dxfId="0" stopIfTrue="1">
      <formula>AND(C12&lt;&gt;"", COUNTIF($I4:I9,C12)=0)</formula>
    </cfRule>
  </conditionalFormatting>
  <conditionalFormatting sqref="D12">
    <cfRule type="expression" priority="22" dxfId="0" stopIfTrue="1">
      <formula>AND(D12&lt;&gt;"", COUNTIF($I4:I9,D12)=0)</formula>
    </cfRule>
  </conditionalFormatting>
  <conditionalFormatting sqref="E12">
    <cfRule type="expression" priority="23" dxfId="0" stopIfTrue="1">
      <formula>AND(E12&lt;&gt;"", COUNTIF($I4:I9,E12)=0)</formula>
    </cfRule>
  </conditionalFormatting>
  <conditionalFormatting sqref="F12">
    <cfRule type="expression" priority="24" dxfId="0" stopIfTrue="1">
      <formula>AND(F12&lt;&gt;"", COUNTIF($I4:I9,F12)=0)</formula>
    </cfRule>
  </conditionalFormatting>
  <conditionalFormatting sqref="G12">
    <cfRule type="expression" priority="25" dxfId="0" stopIfTrue="1">
      <formula>AND(G12&lt;&gt;"", COUNTIF($I4:I9,G12)=0)</formula>
    </cfRule>
  </conditionalFormatting>
  <conditionalFormatting sqref="C14">
    <cfRule type="expression" priority="26" dxfId="0" stopIfTrue="1">
      <formula>AND(C14&lt;&gt;"", COUNTIF($I4:I9,C14)=0)</formula>
    </cfRule>
  </conditionalFormatting>
  <conditionalFormatting sqref="D14">
    <cfRule type="expression" priority="27" dxfId="0" stopIfTrue="1">
      <formula>AND(D14&lt;&gt;"", COUNTIF($I4:I9,D14)=0)</formula>
    </cfRule>
  </conditionalFormatting>
  <conditionalFormatting sqref="E14">
    <cfRule type="expression" priority="28" dxfId="0" stopIfTrue="1">
      <formula>AND(E14&lt;&gt;"", COUNTIF($I4:I9,E14)=0)</formula>
    </cfRule>
  </conditionalFormatting>
  <conditionalFormatting sqref="F14">
    <cfRule type="expression" priority="29" dxfId="0" stopIfTrue="1">
      <formula>AND(F14&lt;&gt;"", COUNTIF($I4:I9,F14)=0)</formula>
    </cfRule>
  </conditionalFormatting>
  <conditionalFormatting sqref="G14">
    <cfRule type="expression" priority="30" dxfId="0" stopIfTrue="1">
      <formula>AND(G14&lt;&gt;"", COUNTIF($I4:I9,G14)=0)</formula>
    </cfRule>
  </conditionalFormatting>
  <conditionalFormatting sqref="C5">
    <cfRule type="expression" priority="31" dxfId="1" stopIfTrue="1">
      <formula>AND(C5&lt;&gt;"", COUNTIF($O4:O4,C5)=0)</formula>
    </cfRule>
    <cfRule type="expression" priority="61" dxfId="2" stopIfTrue="1">
      <formula>AND(C4&lt;&gt;"", C5="")</formula>
    </cfRule>
  </conditionalFormatting>
  <conditionalFormatting sqref="D5">
    <cfRule type="expression" priority="32" dxfId="1" stopIfTrue="1">
      <formula>AND(D5&lt;&gt;"", COUNTIF($O4:O4,D5)=0)</formula>
    </cfRule>
    <cfRule type="expression" priority="62" dxfId="2" stopIfTrue="1">
      <formula>AND(D4&lt;&gt;"", D5="")</formula>
    </cfRule>
  </conditionalFormatting>
  <conditionalFormatting sqref="E5">
    <cfRule type="expression" priority="33" dxfId="1" stopIfTrue="1">
      <formula>AND(E5&lt;&gt;"", COUNTIF($O4:O4,E5)=0)</formula>
    </cfRule>
    <cfRule type="expression" priority="63" dxfId="2" stopIfTrue="1">
      <formula>AND(E4&lt;&gt;"", E5="")</formula>
    </cfRule>
  </conditionalFormatting>
  <conditionalFormatting sqref="F5">
    <cfRule type="expression" priority="34" dxfId="1" stopIfTrue="1">
      <formula>AND(F5&lt;&gt;"", COUNTIF($O4:O4,F5)=0)</formula>
    </cfRule>
    <cfRule type="expression" priority="64" dxfId="2" stopIfTrue="1">
      <formula>AND(F4&lt;&gt;"", F5="")</formula>
    </cfRule>
  </conditionalFormatting>
  <conditionalFormatting sqref="G5">
    <cfRule type="expression" priority="35" dxfId="1" stopIfTrue="1">
      <formula>AND(G5&lt;&gt;"", COUNTIF($O4:O4,G5)=0)</formula>
    </cfRule>
    <cfRule type="expression" priority="65" dxfId="2" stopIfTrue="1">
      <formula>AND(G4&lt;&gt;"", G5="")</formula>
    </cfRule>
  </conditionalFormatting>
  <conditionalFormatting sqref="C7">
    <cfRule type="expression" priority="36" dxfId="1" stopIfTrue="1">
      <formula>AND(C7&lt;&gt;"", COUNTIF($O4:O4,C7)=0)</formula>
    </cfRule>
    <cfRule type="expression" priority="66" dxfId="2" stopIfTrue="1">
      <formula>AND(C6&lt;&gt;"", C7="")</formula>
    </cfRule>
  </conditionalFormatting>
  <conditionalFormatting sqref="D7">
    <cfRule type="expression" priority="37" dxfId="1" stopIfTrue="1">
      <formula>AND(D7&lt;&gt;"", COUNTIF($O4:O4,D7)=0)</formula>
    </cfRule>
    <cfRule type="expression" priority="67" dxfId="2" stopIfTrue="1">
      <formula>AND(D6&lt;&gt;"", D7="")</formula>
    </cfRule>
  </conditionalFormatting>
  <conditionalFormatting sqref="E7">
    <cfRule type="expression" priority="38" dxfId="1" stopIfTrue="1">
      <formula>AND(E7&lt;&gt;"", COUNTIF($O4:O4,E7)=0)</formula>
    </cfRule>
    <cfRule type="expression" priority="68" dxfId="2" stopIfTrue="1">
      <formula>AND(E6&lt;&gt;"", E7="")</formula>
    </cfRule>
  </conditionalFormatting>
  <conditionalFormatting sqref="F7">
    <cfRule type="expression" priority="39" dxfId="1" stopIfTrue="1">
      <formula>AND(F7&lt;&gt;"", COUNTIF($O4:O4,F7)=0)</formula>
    </cfRule>
    <cfRule type="expression" priority="69" dxfId="2" stopIfTrue="1">
      <formula>AND(F6&lt;&gt;"", F7="")</formula>
    </cfRule>
  </conditionalFormatting>
  <conditionalFormatting sqref="G7">
    <cfRule type="expression" priority="40" dxfId="1" stopIfTrue="1">
      <formula>AND(G7&lt;&gt;"", COUNTIF($O4:O4,G7)=0)</formula>
    </cfRule>
    <cfRule type="expression" priority="70" dxfId="2" stopIfTrue="1">
      <formula>AND(G6&lt;&gt;"", G7="")</formula>
    </cfRule>
  </conditionalFormatting>
  <conditionalFormatting sqref="C9">
    <cfRule type="expression" priority="41" dxfId="1" stopIfTrue="1">
      <formula>AND(C9&lt;&gt;"", COUNTIF($O4:O4,C9)=0)</formula>
    </cfRule>
    <cfRule type="expression" priority="71" dxfId="2" stopIfTrue="1">
      <formula>AND(C8&lt;&gt;"", C9="")</formula>
    </cfRule>
  </conditionalFormatting>
  <conditionalFormatting sqref="D9">
    <cfRule type="expression" priority="42" dxfId="1" stopIfTrue="1">
      <formula>AND(D9&lt;&gt;"", COUNTIF($O4:O4,D9)=0)</formula>
    </cfRule>
    <cfRule type="expression" priority="72" dxfId="2" stopIfTrue="1">
      <formula>AND(D8&lt;&gt;"", D9="")</formula>
    </cfRule>
  </conditionalFormatting>
  <conditionalFormatting sqref="E9">
    <cfRule type="expression" priority="43" dxfId="1" stopIfTrue="1">
      <formula>AND(E9&lt;&gt;"", COUNTIF($O4:O4,E9)=0)</formula>
    </cfRule>
    <cfRule type="expression" priority="73" dxfId="2" stopIfTrue="1">
      <formula>AND(E8&lt;&gt;"", E9="")</formula>
    </cfRule>
  </conditionalFormatting>
  <conditionalFormatting sqref="F9">
    <cfRule type="expression" priority="44" dxfId="1" stopIfTrue="1">
      <formula>AND(F9&lt;&gt;"", COUNTIF($O4:O4,F9)=0)</formula>
    </cfRule>
    <cfRule type="expression" priority="74" dxfId="2" stopIfTrue="1">
      <formula>AND(F8&lt;&gt;"", F9="")</formula>
    </cfRule>
  </conditionalFormatting>
  <conditionalFormatting sqref="G9">
    <cfRule type="expression" priority="45" dxfId="1" stopIfTrue="1">
      <formula>AND(G9&lt;&gt;"", COUNTIF($O4:O4,G9)=0)</formula>
    </cfRule>
    <cfRule type="expression" priority="75" dxfId="2" stopIfTrue="1">
      <formula>AND(G8&lt;&gt;"", G9="")</formula>
    </cfRule>
  </conditionalFormatting>
  <conditionalFormatting sqref="C11">
    <cfRule type="expression" priority="46" dxfId="1" stopIfTrue="1">
      <formula>AND(C11&lt;&gt;"", COUNTIF($O4:O4,C11)=0)</formula>
    </cfRule>
    <cfRule type="expression" priority="76" dxfId="2" stopIfTrue="1">
      <formula>AND(C10&lt;&gt;"", C11="")</formula>
    </cfRule>
  </conditionalFormatting>
  <conditionalFormatting sqref="D11">
    <cfRule type="expression" priority="47" dxfId="1" stopIfTrue="1">
      <formula>AND(D11&lt;&gt;"", COUNTIF($O4:O4,D11)=0)</formula>
    </cfRule>
    <cfRule type="expression" priority="77" dxfId="2" stopIfTrue="1">
      <formula>AND(D10&lt;&gt;"", D11="")</formula>
    </cfRule>
  </conditionalFormatting>
  <conditionalFormatting sqref="E11">
    <cfRule type="expression" priority="48" dxfId="1" stopIfTrue="1">
      <formula>AND(E11&lt;&gt;"", COUNTIF($O4:O4,E11)=0)</formula>
    </cfRule>
    <cfRule type="expression" priority="78" dxfId="2" stopIfTrue="1">
      <formula>AND(E10&lt;&gt;"", E11="")</formula>
    </cfRule>
  </conditionalFormatting>
  <conditionalFormatting sqref="F11">
    <cfRule type="expression" priority="49" dxfId="1" stopIfTrue="1">
      <formula>AND(F11&lt;&gt;"", COUNTIF($O4:O4,F11)=0)</formula>
    </cfRule>
    <cfRule type="expression" priority="79" dxfId="2" stopIfTrue="1">
      <formula>AND(F10&lt;&gt;"", F11="")</formula>
    </cfRule>
  </conditionalFormatting>
  <conditionalFormatting sqref="G11">
    <cfRule type="expression" priority="50" dxfId="1" stopIfTrue="1">
      <formula>AND(G11&lt;&gt;"", COUNTIF($O4:O4,G11)=0)</formula>
    </cfRule>
    <cfRule type="expression" priority="80" dxfId="2" stopIfTrue="1">
      <formula>AND(G10&lt;&gt;"", G11="")</formula>
    </cfRule>
  </conditionalFormatting>
  <conditionalFormatting sqref="C13">
    <cfRule type="expression" priority="51" dxfId="1" stopIfTrue="1">
      <formula>AND(C13&lt;&gt;"", COUNTIF($O4:O4,C13)=0)</formula>
    </cfRule>
    <cfRule type="expression" priority="81" dxfId="2" stopIfTrue="1">
      <formula>AND(C12&lt;&gt;"", C13="")</formula>
    </cfRule>
  </conditionalFormatting>
  <conditionalFormatting sqref="D13">
    <cfRule type="expression" priority="52" dxfId="1" stopIfTrue="1">
      <formula>AND(D13&lt;&gt;"", COUNTIF($O4:O4,D13)=0)</formula>
    </cfRule>
    <cfRule type="expression" priority="82" dxfId="2" stopIfTrue="1">
      <formula>AND(D12&lt;&gt;"", D13="")</formula>
    </cfRule>
  </conditionalFormatting>
  <conditionalFormatting sqref="E13">
    <cfRule type="expression" priority="53" dxfId="1" stopIfTrue="1">
      <formula>AND(E13&lt;&gt;"", COUNTIF($O4:O4,E13)=0)</formula>
    </cfRule>
    <cfRule type="expression" priority="83" dxfId="2" stopIfTrue="1">
      <formula>AND(E12&lt;&gt;"", E13="")</formula>
    </cfRule>
  </conditionalFormatting>
  <conditionalFormatting sqref="F13">
    <cfRule type="expression" priority="54" dxfId="1" stopIfTrue="1">
      <formula>AND(F13&lt;&gt;"", COUNTIF($O4:O4,F13)=0)</formula>
    </cfRule>
    <cfRule type="expression" priority="84" dxfId="2" stopIfTrue="1">
      <formula>AND(F12&lt;&gt;"", F13="")</formula>
    </cfRule>
  </conditionalFormatting>
  <conditionalFormatting sqref="G13">
    <cfRule type="expression" priority="55" dxfId="1" stopIfTrue="1">
      <formula>AND(G13&lt;&gt;"", COUNTIF($O4:O4,G13)=0)</formula>
    </cfRule>
    <cfRule type="expression" priority="85" dxfId="2" stopIfTrue="1">
      <formula>AND(G12&lt;&gt;"", G13="")</formula>
    </cfRule>
  </conditionalFormatting>
  <conditionalFormatting sqref="C15">
    <cfRule type="expression" priority="56" dxfId="1" stopIfTrue="1">
      <formula>AND(C15&lt;&gt;"", COUNTIF($O4:O4,C15)=0)</formula>
    </cfRule>
    <cfRule type="expression" priority="86" dxfId="2" stopIfTrue="1">
      <formula>AND(C14&lt;&gt;"", C15="")</formula>
    </cfRule>
  </conditionalFormatting>
  <conditionalFormatting sqref="D15">
    <cfRule type="expression" priority="57" dxfId="1" stopIfTrue="1">
      <formula>AND(D15&lt;&gt;"", COUNTIF($O4:O4,D15)=0)</formula>
    </cfRule>
    <cfRule type="expression" priority="87" dxfId="2" stopIfTrue="1">
      <formula>AND(D14&lt;&gt;"", D15="")</formula>
    </cfRule>
  </conditionalFormatting>
  <conditionalFormatting sqref="E15">
    <cfRule type="expression" priority="58" dxfId="1" stopIfTrue="1">
      <formula>AND(E15&lt;&gt;"", COUNTIF($O4:O4,E15)=0)</formula>
    </cfRule>
    <cfRule type="expression" priority="88" dxfId="2" stopIfTrue="1">
      <formula>AND(E14&lt;&gt;"", E15="")</formula>
    </cfRule>
  </conditionalFormatting>
  <conditionalFormatting sqref="F15">
    <cfRule type="expression" priority="59" dxfId="1" stopIfTrue="1">
      <formula>AND(F15&lt;&gt;"", COUNTIF($O4:O4,F15)=0)</formula>
    </cfRule>
    <cfRule type="expression" priority="89" dxfId="2" stopIfTrue="1">
      <formula>AND(F14&lt;&gt;"", F15="")</formula>
    </cfRule>
  </conditionalFormatting>
  <conditionalFormatting sqref="G15">
    <cfRule type="expression" priority="60" dxfId="1" stopIfTrue="1">
      <formula>AND(G15&lt;&gt;"", COUNTIF($O4:O4,G15)=0)</formula>
    </cfRule>
    <cfRule type="expression" priority="90" dxfId="2" stopIfTrue="1">
      <formula>AND(G14&lt;&gt;"", G15="")</formula>
    </cfRule>
  </conditionalFormatting>
  <conditionalFormatting sqref="J4">
    <cfRule type="expression" priority="91" dxfId="3" stopIfTrue="1">
      <formula>AND(J4&lt;&gt;"", M4&gt;0, L4=0)</formula>
    </cfRule>
    <cfRule type="expression" priority="97" dxfId="4" stopIfTrue="1">
      <formula>AND(J4&lt;&gt;"", M4&gt;0, L4&lt;0)</formula>
    </cfRule>
    <cfRule type="expression" priority="103" dxfId="5" stopIfTrue="1">
      <formula>AND(J4&lt;&gt;"", M4&gt;0, L4&gt;0, L4&lt;K4)</formula>
    </cfRule>
  </conditionalFormatting>
  <conditionalFormatting sqref="J5">
    <cfRule type="expression" priority="92" dxfId="3" stopIfTrue="1">
      <formula>AND(J5&lt;&gt;"", M5&gt;0, L5=0)</formula>
    </cfRule>
    <cfRule type="expression" priority="98" dxfId="4" stopIfTrue="1">
      <formula>AND(J5&lt;&gt;"", M5&gt;0, L5&lt;0)</formula>
    </cfRule>
    <cfRule type="expression" priority="104" dxfId="5" stopIfTrue="1">
      <formula>AND(J5&lt;&gt;"", M5&gt;0, L5&gt;0, L5&lt;K5)</formula>
    </cfRule>
  </conditionalFormatting>
  <conditionalFormatting sqref="J6">
    <cfRule type="expression" priority="93" dxfId="3" stopIfTrue="1">
      <formula>AND(J6&lt;&gt;"", M6&gt;0, L6=0)</formula>
    </cfRule>
    <cfRule type="expression" priority="99" dxfId="4" stopIfTrue="1">
      <formula>AND(J6&lt;&gt;"", M6&gt;0, L6&lt;0)</formula>
    </cfRule>
    <cfRule type="expression" priority="105" dxfId="5" stopIfTrue="1">
      <formula>AND(J6&lt;&gt;"", M6&gt;0, L6&gt;0, L6&lt;K6)</formula>
    </cfRule>
  </conditionalFormatting>
  <conditionalFormatting sqref="J7">
    <cfRule type="expression" priority="94" dxfId="3" stopIfTrue="1">
      <formula>AND(J7&lt;&gt;"", M7&gt;0, L7=0)</formula>
    </cfRule>
    <cfRule type="expression" priority="100" dxfId="4" stopIfTrue="1">
      <formula>AND(J7&lt;&gt;"", M7&gt;0, L7&lt;0)</formula>
    </cfRule>
    <cfRule type="expression" priority="106" dxfId="5" stopIfTrue="1">
      <formula>AND(J7&lt;&gt;"", M7&gt;0, L7&gt;0, L7&lt;K7)</formula>
    </cfRule>
  </conditionalFormatting>
  <conditionalFormatting sqref="J8">
    <cfRule type="expression" priority="95" dxfId="3" stopIfTrue="1">
      <formula>AND(J8&lt;&gt;"", M8&gt;0, L8=0)</formula>
    </cfRule>
    <cfRule type="expression" priority="101" dxfId="4" stopIfTrue="1">
      <formula>AND(J8&lt;&gt;"", M8&gt;0, L8&lt;0)</formula>
    </cfRule>
    <cfRule type="expression" priority="107" dxfId="5" stopIfTrue="1">
      <formula>AND(J8&lt;&gt;"", M8&gt;0, L8&gt;0, L8&lt;K8)</formula>
    </cfRule>
  </conditionalFormatting>
  <conditionalFormatting sqref="J9">
    <cfRule type="expression" priority="96" dxfId="3" stopIfTrue="1">
      <formula>AND(J9&lt;&gt;"", M9&gt;0, L9=0)</formula>
    </cfRule>
    <cfRule type="expression" priority="102" dxfId="4" stopIfTrue="1">
      <formula>AND(J9&lt;&gt;"", M9&gt;0, L9&lt;0)</formula>
    </cfRule>
    <cfRule type="expression" priority="108" dxfId="5" stopIfTrue="1">
      <formula>AND(J9&lt;&gt;"", M9&gt;0, L9&gt;0, L9&lt;K9)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 xml:space="preserve">Grupo </t>
        </is>
      </c>
      <c r="B1" t="inlineStr">
        <is>
          <t>C412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s="1" t="inlineStr"/>
      <c r="C3" s="1" t="inlineStr">
        <is>
          <t>Lunes</t>
        </is>
      </c>
      <c r="D3" s="1" t="inlineStr">
        <is>
          <t>Martes</t>
        </is>
      </c>
      <c r="E3" s="1" t="inlineStr">
        <is>
          <t>Miércoles</t>
        </is>
      </c>
      <c r="F3" s="1" t="inlineStr">
        <is>
          <t>Jueves</t>
        </is>
      </c>
      <c r="G3" s="1" t="inlineStr">
        <is>
          <t>Viernes</t>
        </is>
      </c>
      <c r="H3" t="inlineStr"/>
      <c r="I3" s="2" t="inlineStr">
        <is>
          <t>Abrev</t>
        </is>
      </c>
      <c r="J3" s="1" t="inlineStr">
        <is>
          <t>Asignaturas</t>
        </is>
      </c>
      <c r="K3" s="1" t="inlineStr">
        <is>
          <t>Frec</t>
        </is>
      </c>
      <c r="L3" s="1" t="inlineStr">
        <is>
          <t>Faltan</t>
        </is>
      </c>
      <c r="M3" s="1" t="inlineStr">
        <is>
          <t>Asignadas</t>
        </is>
      </c>
      <c r="N3" t="inlineStr"/>
      <c r="O3" t="inlineStr">
        <is>
          <t>Aulas</t>
        </is>
      </c>
    </row>
    <row r="4">
      <c r="A4" t="inlineStr"/>
      <c r="B4" s="3" t="inlineStr">
        <is>
          <t>Turno 1</t>
        </is>
      </c>
      <c r="C4" s="4" t="inlineStr"/>
      <c r="D4" s="4" t="inlineStr"/>
      <c r="E4" s="4" t="inlineStr"/>
      <c r="F4" s="4" t="inlineStr"/>
      <c r="G4" s="4" t="inlineStr"/>
      <c r="H4" t="inlineStr"/>
      <c r="I4" s="2" t="inlineStr">
        <is>
          <t>AM</t>
        </is>
      </c>
      <c r="J4" s="1" t="inlineStr">
        <is>
          <t>Aprendizaje de Máquinas</t>
        </is>
      </c>
      <c r="K4" s="1" t="n">
        <v>2</v>
      </c>
      <c r="L4" s="1">
        <f>K4-M4</f>
        <v/>
      </c>
      <c r="M4" s="1">
        <f>COUNTIF($C$4:$G$15,I4)</f>
        <v/>
      </c>
      <c r="N4" t="inlineStr"/>
      <c r="O4" s="1" t="inlineStr"/>
    </row>
    <row r="5">
      <c r="A5" t="inlineStr"/>
      <c r="B5" s="5" t="n"/>
      <c r="C5" s="6" t="inlineStr"/>
      <c r="D5" s="6" t="inlineStr"/>
      <c r="E5" s="6" t="inlineStr"/>
      <c r="F5" s="6" t="inlineStr"/>
      <c r="G5" s="6" t="inlineStr"/>
      <c r="H5" t="inlineStr"/>
      <c r="I5" s="2" t="inlineStr">
        <is>
          <t>DAA</t>
        </is>
      </c>
      <c r="J5" s="1" t="inlineStr">
        <is>
          <t>Diseño y Análisis de Algoritmos</t>
        </is>
      </c>
      <c r="K5" s="1" t="n">
        <v>2</v>
      </c>
      <c r="L5" s="1">
        <f>K5-M5</f>
        <v/>
      </c>
      <c r="M5" s="1">
        <f>COUNTIF($C$4:$G$15,I5)</f>
        <v/>
      </c>
      <c r="N5" t="inlineStr">
        <is>
          <t>Total:</t>
        </is>
      </c>
      <c r="O5">
        <f>COUNTA(O4:O4)</f>
        <v/>
      </c>
    </row>
    <row r="6">
      <c r="A6" t="inlineStr"/>
      <c r="B6" s="3" t="inlineStr">
        <is>
          <t>Turno 2</t>
        </is>
      </c>
      <c r="C6" s="4" t="inlineStr"/>
      <c r="D6" s="4" t="inlineStr"/>
      <c r="E6" s="4" t="inlineStr"/>
      <c r="F6" s="4" t="inlineStr"/>
      <c r="G6" s="4" t="inlineStr"/>
      <c r="H6" t="inlineStr"/>
      <c r="I6" s="2" t="inlineStr">
        <is>
          <t>SD</t>
        </is>
      </c>
      <c r="J6" s="1" t="inlineStr">
        <is>
          <t>Sistemas Distribuidos</t>
        </is>
      </c>
      <c r="K6" s="1" t="n">
        <v>2</v>
      </c>
      <c r="L6" s="1">
        <f>K6-M6</f>
        <v/>
      </c>
      <c r="M6" s="1">
        <f>COUNTIF($C$4:$G$15,I6)</f>
        <v/>
      </c>
      <c r="N6" t="inlineStr"/>
      <c r="O6" t="inlineStr"/>
    </row>
    <row r="7">
      <c r="A7" t="inlineStr"/>
      <c r="B7" s="5" t="n"/>
      <c r="C7" s="6" t="inlineStr"/>
      <c r="D7" s="6" t="inlineStr"/>
      <c r="E7" s="6" t="inlineStr"/>
      <c r="F7" s="6" t="inlineStr"/>
      <c r="G7" s="6" t="inlineStr"/>
      <c r="H7" t="inlineStr"/>
      <c r="I7" s="2" t="inlineStr">
        <is>
          <t>AE</t>
        </is>
      </c>
      <c r="J7" s="1" t="inlineStr">
        <is>
          <t>Asignatura Electiva</t>
        </is>
      </c>
      <c r="K7" s="1" t="n">
        <v>2</v>
      </c>
      <c r="L7" s="1">
        <f>K7-M7</f>
        <v/>
      </c>
      <c r="M7" s="1">
        <f>COUNTIF($C$4:$G$15,I7)</f>
        <v/>
      </c>
      <c r="N7" t="inlineStr"/>
      <c r="O7" t="inlineStr"/>
    </row>
    <row r="8">
      <c r="A8" t="inlineStr"/>
      <c r="B8" s="3" t="inlineStr">
        <is>
          <t>Turno 3</t>
        </is>
      </c>
      <c r="C8" s="4" t="inlineStr"/>
      <c r="D8" s="4" t="inlineStr"/>
      <c r="E8" s="4" t="inlineStr"/>
      <c r="F8" s="4" t="inlineStr"/>
      <c r="G8" s="4" t="inlineStr"/>
      <c r="H8" t="inlineStr"/>
      <c r="I8" s="2" t="inlineStr">
        <is>
          <t>ECTS</t>
        </is>
      </c>
      <c r="J8" s="1" t="inlineStr">
        <is>
          <t>Estudios de Ciencia, Tecnología y Sociedad</t>
        </is>
      </c>
      <c r="K8" s="1" t="n">
        <v>2</v>
      </c>
      <c r="L8" s="1">
        <f>K8-M8</f>
        <v/>
      </c>
      <c r="M8" s="1">
        <f>COUNTIF($C$4:$G$15,I8)</f>
        <v/>
      </c>
      <c r="N8" t="inlineStr"/>
      <c r="O8" t="inlineStr"/>
    </row>
    <row r="9">
      <c r="A9" t="inlineStr"/>
      <c r="B9" s="5" t="n"/>
      <c r="C9" s="6" t="inlineStr"/>
      <c r="D9" s="6" t="inlineStr"/>
      <c r="E9" s="6" t="inlineStr"/>
      <c r="F9" s="6" t="inlineStr"/>
      <c r="G9" s="6" t="inlineStr"/>
      <c r="H9" t="inlineStr"/>
      <c r="I9" s="2" t="inlineStr">
        <is>
          <t>SN/DN</t>
        </is>
      </c>
      <c r="J9" s="1" t="inlineStr">
        <is>
          <t>Seguridad Nacional / Defensa Nacionaol</t>
        </is>
      </c>
      <c r="K9" s="1" t="n">
        <v>2</v>
      </c>
      <c r="L9" s="1">
        <f>K9-M9</f>
        <v/>
      </c>
      <c r="M9" s="1">
        <f>COUNTIF($C$4:$G$15,I9)</f>
        <v/>
      </c>
      <c r="N9" t="inlineStr"/>
      <c r="O9" t="inlineStr"/>
    </row>
    <row r="10">
      <c r="A10" t="inlineStr"/>
      <c r="B10" s="3" t="inlineStr">
        <is>
          <t>Turno 4</t>
        </is>
      </c>
      <c r="C10" s="4" t="inlineStr">
        <is>
          <t>AM</t>
        </is>
      </c>
      <c r="D10" s="4" t="inlineStr">
        <is>
          <t>DAA</t>
        </is>
      </c>
      <c r="E10" s="4" t="inlineStr">
        <is>
          <t>DAA</t>
        </is>
      </c>
      <c r="F10" s="4" t="inlineStr">
        <is>
          <t>SN</t>
        </is>
      </c>
      <c r="G10" s="4" t="inlineStr"/>
      <c r="H10" t="inlineStr"/>
      <c r="I10" t="inlineStr"/>
      <c r="J10" t="inlineStr"/>
      <c r="K10" t="inlineStr"/>
      <c r="L10" t="inlineStr">
        <is>
          <t>Total:</t>
        </is>
      </c>
      <c r="M10">
        <f>COUNTA(I4:I9)</f>
        <v/>
      </c>
      <c r="N10" t="inlineStr"/>
      <c r="O10" t="inlineStr"/>
    </row>
    <row r="11">
      <c r="A11" t="inlineStr"/>
      <c r="B11" s="5" t="n"/>
      <c r="C11" s="6" t="inlineStr">
        <is>
          <t>9</t>
        </is>
      </c>
      <c r="D11" s="6" t="inlineStr">
        <is>
          <t>9</t>
        </is>
      </c>
      <c r="E11" s="6" t="inlineStr">
        <is>
          <t>9</t>
        </is>
      </c>
      <c r="F11" s="6" t="inlineStr"/>
      <c r="G11" s="6" t="inlineStr"/>
      <c r="H11" t="inlineStr"/>
      <c r="I11" t="inlineStr"/>
      <c r="J11" t="inlineStr"/>
      <c r="K11" t="inlineStr"/>
      <c r="L11" t="inlineStr">
        <is>
          <t>Σ Frec:</t>
        </is>
      </c>
      <c r="M11">
        <f>SUM(K4:K9)</f>
        <v/>
      </c>
      <c r="N11" t="inlineStr"/>
      <c r="O11" t="inlineStr"/>
    </row>
    <row r="12">
      <c r="A12" t="inlineStr"/>
      <c r="B12" s="3" t="inlineStr">
        <is>
          <t>Turno 5</t>
        </is>
      </c>
      <c r="C12" s="4" t="inlineStr">
        <is>
          <t>SD 9</t>
        </is>
      </c>
      <c r="D12" s="4" t="inlineStr">
        <is>
          <t>SN</t>
        </is>
      </c>
      <c r="E12" s="4" t="inlineStr">
        <is>
          <t>AM</t>
        </is>
      </c>
      <c r="F12" s="4" t="inlineStr">
        <is>
          <t>SN</t>
        </is>
      </c>
      <c r="G12" s="4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/>
      <c r="B13" s="5" t="n"/>
      <c r="C13" s="6" t="inlineStr"/>
      <c r="D13" s="6" t="inlineStr"/>
      <c r="E13" s="6" t="inlineStr">
        <is>
          <t>1</t>
        </is>
      </c>
      <c r="F13" s="6" t="inlineStr"/>
      <c r="G13" s="6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/>
      <c r="B14" s="3" t="inlineStr">
        <is>
          <t>Turno 6</t>
        </is>
      </c>
      <c r="C14" s="4" t="inlineStr">
        <is>
          <t>ECTS 9</t>
        </is>
      </c>
      <c r="D14" s="4" t="inlineStr">
        <is>
          <t>AE</t>
        </is>
      </c>
      <c r="E14" s="4" t="inlineStr">
        <is>
          <t>SD</t>
        </is>
      </c>
      <c r="F14" s="4" t="inlineStr"/>
      <c r="G14" s="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/>
      <c r="B15" s="5" t="n"/>
      <c r="C15" s="6" t="inlineStr"/>
      <c r="D15" s="6" t="inlineStr"/>
      <c r="E15" s="6" t="inlineStr">
        <is>
          <t>9</t>
        </is>
      </c>
      <c r="F15" s="6" t="inlineStr"/>
      <c r="G15" s="6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F16" t="inlineStr">
        <is>
          <t>Ocupados:</t>
        </is>
      </c>
      <c r="G16">
        <f>COUNTA(C4:G15)/2</f>
        <v/>
      </c>
    </row>
  </sheetData>
  <mergeCells count="6">
    <mergeCell ref="B4:B5"/>
    <mergeCell ref="B12:B13"/>
    <mergeCell ref="B8:B9"/>
    <mergeCell ref="B10:B11"/>
    <mergeCell ref="B6:B7"/>
    <mergeCell ref="B14:B15"/>
  </mergeCells>
  <conditionalFormatting sqref="C4">
    <cfRule type="expression" priority="1" dxfId="0" stopIfTrue="1">
      <formula>AND(C4&lt;&gt;"", COUNTIF($I4:I9,C4)=0)</formula>
    </cfRule>
  </conditionalFormatting>
  <conditionalFormatting sqref="D4">
    <cfRule type="expression" priority="2" dxfId="0" stopIfTrue="1">
      <formula>AND(D4&lt;&gt;"", COUNTIF($I4:I9,D4)=0)</formula>
    </cfRule>
  </conditionalFormatting>
  <conditionalFormatting sqref="E4">
    <cfRule type="expression" priority="3" dxfId="0" stopIfTrue="1">
      <formula>AND(E4&lt;&gt;"", COUNTIF($I4:I9,E4)=0)</formula>
    </cfRule>
  </conditionalFormatting>
  <conditionalFormatting sqref="F4">
    <cfRule type="expression" priority="4" dxfId="0" stopIfTrue="1">
      <formula>AND(F4&lt;&gt;"", COUNTIF($I4:I9,F4)=0)</formula>
    </cfRule>
  </conditionalFormatting>
  <conditionalFormatting sqref="G4">
    <cfRule type="expression" priority="5" dxfId="0" stopIfTrue="1">
      <formula>AND(G4&lt;&gt;"", COUNTIF($I4:I9,G4)=0)</formula>
    </cfRule>
  </conditionalFormatting>
  <conditionalFormatting sqref="C6">
    <cfRule type="expression" priority="6" dxfId="0" stopIfTrue="1">
      <formula>AND(C6&lt;&gt;"", COUNTIF($I4:I9,C6)=0)</formula>
    </cfRule>
  </conditionalFormatting>
  <conditionalFormatting sqref="D6">
    <cfRule type="expression" priority="7" dxfId="0" stopIfTrue="1">
      <formula>AND(D6&lt;&gt;"", COUNTIF($I4:I9,D6)=0)</formula>
    </cfRule>
  </conditionalFormatting>
  <conditionalFormatting sqref="E6">
    <cfRule type="expression" priority="8" dxfId="0" stopIfTrue="1">
      <formula>AND(E6&lt;&gt;"", COUNTIF($I4:I9,E6)=0)</formula>
    </cfRule>
  </conditionalFormatting>
  <conditionalFormatting sqref="F6">
    <cfRule type="expression" priority="9" dxfId="0" stopIfTrue="1">
      <formula>AND(F6&lt;&gt;"", COUNTIF($I4:I9,F6)=0)</formula>
    </cfRule>
  </conditionalFormatting>
  <conditionalFormatting sqref="G6">
    <cfRule type="expression" priority="10" dxfId="0" stopIfTrue="1">
      <formula>AND(G6&lt;&gt;"", COUNTIF($I4:I9,G6)=0)</formula>
    </cfRule>
  </conditionalFormatting>
  <conditionalFormatting sqref="C8">
    <cfRule type="expression" priority="11" dxfId="0" stopIfTrue="1">
      <formula>AND(C8&lt;&gt;"", COUNTIF($I4:I9,C8)=0)</formula>
    </cfRule>
  </conditionalFormatting>
  <conditionalFormatting sqref="D8">
    <cfRule type="expression" priority="12" dxfId="0" stopIfTrue="1">
      <formula>AND(D8&lt;&gt;"", COUNTIF($I4:I9,D8)=0)</formula>
    </cfRule>
  </conditionalFormatting>
  <conditionalFormatting sqref="E8">
    <cfRule type="expression" priority="13" dxfId="0" stopIfTrue="1">
      <formula>AND(E8&lt;&gt;"", COUNTIF($I4:I9,E8)=0)</formula>
    </cfRule>
  </conditionalFormatting>
  <conditionalFormatting sqref="F8">
    <cfRule type="expression" priority="14" dxfId="0" stopIfTrue="1">
      <formula>AND(F8&lt;&gt;"", COUNTIF($I4:I9,F8)=0)</formula>
    </cfRule>
  </conditionalFormatting>
  <conditionalFormatting sqref="G8">
    <cfRule type="expression" priority="15" dxfId="0" stopIfTrue="1">
      <formula>AND(G8&lt;&gt;"", COUNTIF($I4:I9,G8)=0)</formula>
    </cfRule>
  </conditionalFormatting>
  <conditionalFormatting sqref="C10">
    <cfRule type="expression" priority="16" dxfId="0" stopIfTrue="1">
      <formula>AND(C10&lt;&gt;"", COUNTIF($I4:I9,C10)=0)</formula>
    </cfRule>
  </conditionalFormatting>
  <conditionalFormatting sqref="D10">
    <cfRule type="expression" priority="17" dxfId="0" stopIfTrue="1">
      <formula>AND(D10&lt;&gt;"", COUNTIF($I4:I9,D10)=0)</formula>
    </cfRule>
  </conditionalFormatting>
  <conditionalFormatting sqref="E10">
    <cfRule type="expression" priority="18" dxfId="0" stopIfTrue="1">
      <formula>AND(E10&lt;&gt;"", COUNTIF($I4:I9,E10)=0)</formula>
    </cfRule>
  </conditionalFormatting>
  <conditionalFormatting sqref="F10">
    <cfRule type="expression" priority="19" dxfId="0" stopIfTrue="1">
      <formula>AND(F10&lt;&gt;"", COUNTIF($I4:I9,F10)=0)</formula>
    </cfRule>
  </conditionalFormatting>
  <conditionalFormatting sqref="G10">
    <cfRule type="expression" priority="20" dxfId="0" stopIfTrue="1">
      <formula>AND(G10&lt;&gt;"", COUNTIF($I4:I9,G10)=0)</formula>
    </cfRule>
  </conditionalFormatting>
  <conditionalFormatting sqref="C12">
    <cfRule type="expression" priority="21" dxfId="0" stopIfTrue="1">
      <formula>AND(C12&lt;&gt;"", COUNTIF($I4:I9,C12)=0)</formula>
    </cfRule>
  </conditionalFormatting>
  <conditionalFormatting sqref="D12">
    <cfRule type="expression" priority="22" dxfId="0" stopIfTrue="1">
      <formula>AND(D12&lt;&gt;"", COUNTIF($I4:I9,D12)=0)</formula>
    </cfRule>
  </conditionalFormatting>
  <conditionalFormatting sqref="E12">
    <cfRule type="expression" priority="23" dxfId="0" stopIfTrue="1">
      <formula>AND(E12&lt;&gt;"", COUNTIF($I4:I9,E12)=0)</formula>
    </cfRule>
  </conditionalFormatting>
  <conditionalFormatting sqref="F12">
    <cfRule type="expression" priority="24" dxfId="0" stopIfTrue="1">
      <formula>AND(F12&lt;&gt;"", COUNTIF($I4:I9,F12)=0)</formula>
    </cfRule>
  </conditionalFormatting>
  <conditionalFormatting sqref="G12">
    <cfRule type="expression" priority="25" dxfId="0" stopIfTrue="1">
      <formula>AND(G12&lt;&gt;"", COUNTIF($I4:I9,G12)=0)</formula>
    </cfRule>
  </conditionalFormatting>
  <conditionalFormatting sqref="C14">
    <cfRule type="expression" priority="26" dxfId="0" stopIfTrue="1">
      <formula>AND(C14&lt;&gt;"", COUNTIF($I4:I9,C14)=0)</formula>
    </cfRule>
  </conditionalFormatting>
  <conditionalFormatting sqref="D14">
    <cfRule type="expression" priority="27" dxfId="0" stopIfTrue="1">
      <formula>AND(D14&lt;&gt;"", COUNTIF($I4:I9,D14)=0)</formula>
    </cfRule>
  </conditionalFormatting>
  <conditionalFormatting sqref="E14">
    <cfRule type="expression" priority="28" dxfId="0" stopIfTrue="1">
      <formula>AND(E14&lt;&gt;"", COUNTIF($I4:I9,E14)=0)</formula>
    </cfRule>
  </conditionalFormatting>
  <conditionalFormatting sqref="F14">
    <cfRule type="expression" priority="29" dxfId="0" stopIfTrue="1">
      <formula>AND(F14&lt;&gt;"", COUNTIF($I4:I9,F14)=0)</formula>
    </cfRule>
  </conditionalFormatting>
  <conditionalFormatting sqref="G14">
    <cfRule type="expression" priority="30" dxfId="0" stopIfTrue="1">
      <formula>AND(G14&lt;&gt;"", COUNTIF($I4:I9,G14)=0)</formula>
    </cfRule>
  </conditionalFormatting>
  <conditionalFormatting sqref="C5">
    <cfRule type="expression" priority="31" dxfId="1" stopIfTrue="1">
      <formula>AND(C5&lt;&gt;"", COUNTIF($O4:O4,C5)=0)</formula>
    </cfRule>
    <cfRule type="expression" priority="61" dxfId="2" stopIfTrue="1">
      <formula>AND(C4&lt;&gt;"", C5="")</formula>
    </cfRule>
  </conditionalFormatting>
  <conditionalFormatting sqref="D5">
    <cfRule type="expression" priority="32" dxfId="1" stopIfTrue="1">
      <formula>AND(D5&lt;&gt;"", COUNTIF($O4:O4,D5)=0)</formula>
    </cfRule>
    <cfRule type="expression" priority="62" dxfId="2" stopIfTrue="1">
      <formula>AND(D4&lt;&gt;"", D5="")</formula>
    </cfRule>
  </conditionalFormatting>
  <conditionalFormatting sqref="E5">
    <cfRule type="expression" priority="33" dxfId="1" stopIfTrue="1">
      <formula>AND(E5&lt;&gt;"", COUNTIF($O4:O4,E5)=0)</formula>
    </cfRule>
    <cfRule type="expression" priority="63" dxfId="2" stopIfTrue="1">
      <formula>AND(E4&lt;&gt;"", E5="")</formula>
    </cfRule>
  </conditionalFormatting>
  <conditionalFormatting sqref="F5">
    <cfRule type="expression" priority="34" dxfId="1" stopIfTrue="1">
      <formula>AND(F5&lt;&gt;"", COUNTIF($O4:O4,F5)=0)</formula>
    </cfRule>
    <cfRule type="expression" priority="64" dxfId="2" stopIfTrue="1">
      <formula>AND(F4&lt;&gt;"", F5="")</formula>
    </cfRule>
  </conditionalFormatting>
  <conditionalFormatting sqref="G5">
    <cfRule type="expression" priority="35" dxfId="1" stopIfTrue="1">
      <formula>AND(G5&lt;&gt;"", COUNTIF($O4:O4,G5)=0)</formula>
    </cfRule>
    <cfRule type="expression" priority="65" dxfId="2" stopIfTrue="1">
      <formula>AND(G4&lt;&gt;"", G5="")</formula>
    </cfRule>
  </conditionalFormatting>
  <conditionalFormatting sqref="C7">
    <cfRule type="expression" priority="36" dxfId="1" stopIfTrue="1">
      <formula>AND(C7&lt;&gt;"", COUNTIF($O4:O4,C7)=0)</formula>
    </cfRule>
    <cfRule type="expression" priority="66" dxfId="2" stopIfTrue="1">
      <formula>AND(C6&lt;&gt;"", C7="")</formula>
    </cfRule>
  </conditionalFormatting>
  <conditionalFormatting sqref="D7">
    <cfRule type="expression" priority="37" dxfId="1" stopIfTrue="1">
      <formula>AND(D7&lt;&gt;"", COUNTIF($O4:O4,D7)=0)</formula>
    </cfRule>
    <cfRule type="expression" priority="67" dxfId="2" stopIfTrue="1">
      <formula>AND(D6&lt;&gt;"", D7="")</formula>
    </cfRule>
  </conditionalFormatting>
  <conditionalFormatting sqref="E7">
    <cfRule type="expression" priority="38" dxfId="1" stopIfTrue="1">
      <formula>AND(E7&lt;&gt;"", COUNTIF($O4:O4,E7)=0)</formula>
    </cfRule>
    <cfRule type="expression" priority="68" dxfId="2" stopIfTrue="1">
      <formula>AND(E6&lt;&gt;"", E7="")</formula>
    </cfRule>
  </conditionalFormatting>
  <conditionalFormatting sqref="F7">
    <cfRule type="expression" priority="39" dxfId="1" stopIfTrue="1">
      <formula>AND(F7&lt;&gt;"", COUNTIF($O4:O4,F7)=0)</formula>
    </cfRule>
    <cfRule type="expression" priority="69" dxfId="2" stopIfTrue="1">
      <formula>AND(F6&lt;&gt;"", F7="")</formula>
    </cfRule>
  </conditionalFormatting>
  <conditionalFormatting sqref="G7">
    <cfRule type="expression" priority="40" dxfId="1" stopIfTrue="1">
      <formula>AND(G7&lt;&gt;"", COUNTIF($O4:O4,G7)=0)</formula>
    </cfRule>
    <cfRule type="expression" priority="70" dxfId="2" stopIfTrue="1">
      <formula>AND(G6&lt;&gt;"", G7="")</formula>
    </cfRule>
  </conditionalFormatting>
  <conditionalFormatting sqref="C9">
    <cfRule type="expression" priority="41" dxfId="1" stopIfTrue="1">
      <formula>AND(C9&lt;&gt;"", COUNTIF($O4:O4,C9)=0)</formula>
    </cfRule>
    <cfRule type="expression" priority="71" dxfId="2" stopIfTrue="1">
      <formula>AND(C8&lt;&gt;"", C9="")</formula>
    </cfRule>
  </conditionalFormatting>
  <conditionalFormatting sqref="D9">
    <cfRule type="expression" priority="42" dxfId="1" stopIfTrue="1">
      <formula>AND(D9&lt;&gt;"", COUNTIF($O4:O4,D9)=0)</formula>
    </cfRule>
    <cfRule type="expression" priority="72" dxfId="2" stopIfTrue="1">
      <formula>AND(D8&lt;&gt;"", D9="")</formula>
    </cfRule>
  </conditionalFormatting>
  <conditionalFormatting sqref="E9">
    <cfRule type="expression" priority="43" dxfId="1" stopIfTrue="1">
      <formula>AND(E9&lt;&gt;"", COUNTIF($O4:O4,E9)=0)</formula>
    </cfRule>
    <cfRule type="expression" priority="73" dxfId="2" stopIfTrue="1">
      <formula>AND(E8&lt;&gt;"", E9="")</formula>
    </cfRule>
  </conditionalFormatting>
  <conditionalFormatting sqref="F9">
    <cfRule type="expression" priority="44" dxfId="1" stopIfTrue="1">
      <formula>AND(F9&lt;&gt;"", COUNTIF($O4:O4,F9)=0)</formula>
    </cfRule>
    <cfRule type="expression" priority="74" dxfId="2" stopIfTrue="1">
      <formula>AND(F8&lt;&gt;"", F9="")</formula>
    </cfRule>
  </conditionalFormatting>
  <conditionalFormatting sqref="G9">
    <cfRule type="expression" priority="45" dxfId="1" stopIfTrue="1">
      <formula>AND(G9&lt;&gt;"", COUNTIF($O4:O4,G9)=0)</formula>
    </cfRule>
    <cfRule type="expression" priority="75" dxfId="2" stopIfTrue="1">
      <formula>AND(G8&lt;&gt;"", G9="")</formula>
    </cfRule>
  </conditionalFormatting>
  <conditionalFormatting sqref="C11">
    <cfRule type="expression" priority="46" dxfId="1" stopIfTrue="1">
      <formula>AND(C11&lt;&gt;"", COUNTIF($O4:O4,C11)=0)</formula>
    </cfRule>
    <cfRule type="expression" priority="76" dxfId="2" stopIfTrue="1">
      <formula>AND(C10&lt;&gt;"", C11="")</formula>
    </cfRule>
  </conditionalFormatting>
  <conditionalFormatting sqref="D11">
    <cfRule type="expression" priority="47" dxfId="1" stopIfTrue="1">
      <formula>AND(D11&lt;&gt;"", COUNTIF($O4:O4,D11)=0)</formula>
    </cfRule>
    <cfRule type="expression" priority="77" dxfId="2" stopIfTrue="1">
      <formula>AND(D10&lt;&gt;"", D11="")</formula>
    </cfRule>
  </conditionalFormatting>
  <conditionalFormatting sqref="E11">
    <cfRule type="expression" priority="48" dxfId="1" stopIfTrue="1">
      <formula>AND(E11&lt;&gt;"", COUNTIF($O4:O4,E11)=0)</formula>
    </cfRule>
    <cfRule type="expression" priority="78" dxfId="2" stopIfTrue="1">
      <formula>AND(E10&lt;&gt;"", E11="")</formula>
    </cfRule>
  </conditionalFormatting>
  <conditionalFormatting sqref="F11">
    <cfRule type="expression" priority="49" dxfId="1" stopIfTrue="1">
      <formula>AND(F11&lt;&gt;"", COUNTIF($O4:O4,F11)=0)</formula>
    </cfRule>
    <cfRule type="expression" priority="79" dxfId="2" stopIfTrue="1">
      <formula>AND(F10&lt;&gt;"", F11="")</formula>
    </cfRule>
  </conditionalFormatting>
  <conditionalFormatting sqref="G11">
    <cfRule type="expression" priority="50" dxfId="1" stopIfTrue="1">
      <formula>AND(G11&lt;&gt;"", COUNTIF($O4:O4,G11)=0)</formula>
    </cfRule>
    <cfRule type="expression" priority="80" dxfId="2" stopIfTrue="1">
      <formula>AND(G10&lt;&gt;"", G11="")</formula>
    </cfRule>
  </conditionalFormatting>
  <conditionalFormatting sqref="C13">
    <cfRule type="expression" priority="51" dxfId="1" stopIfTrue="1">
      <formula>AND(C13&lt;&gt;"", COUNTIF($O4:O4,C13)=0)</formula>
    </cfRule>
    <cfRule type="expression" priority="81" dxfId="2" stopIfTrue="1">
      <formula>AND(C12&lt;&gt;"", C13="")</formula>
    </cfRule>
  </conditionalFormatting>
  <conditionalFormatting sqref="D13">
    <cfRule type="expression" priority="52" dxfId="1" stopIfTrue="1">
      <formula>AND(D13&lt;&gt;"", COUNTIF($O4:O4,D13)=0)</formula>
    </cfRule>
    <cfRule type="expression" priority="82" dxfId="2" stopIfTrue="1">
      <formula>AND(D12&lt;&gt;"", D13="")</formula>
    </cfRule>
  </conditionalFormatting>
  <conditionalFormatting sqref="E13">
    <cfRule type="expression" priority="53" dxfId="1" stopIfTrue="1">
      <formula>AND(E13&lt;&gt;"", COUNTIF($O4:O4,E13)=0)</formula>
    </cfRule>
    <cfRule type="expression" priority="83" dxfId="2" stopIfTrue="1">
      <formula>AND(E12&lt;&gt;"", E13="")</formula>
    </cfRule>
  </conditionalFormatting>
  <conditionalFormatting sqref="F13">
    <cfRule type="expression" priority="54" dxfId="1" stopIfTrue="1">
      <formula>AND(F13&lt;&gt;"", COUNTIF($O4:O4,F13)=0)</formula>
    </cfRule>
    <cfRule type="expression" priority="84" dxfId="2" stopIfTrue="1">
      <formula>AND(F12&lt;&gt;"", F13="")</formula>
    </cfRule>
  </conditionalFormatting>
  <conditionalFormatting sqref="G13">
    <cfRule type="expression" priority="55" dxfId="1" stopIfTrue="1">
      <formula>AND(G13&lt;&gt;"", COUNTIF($O4:O4,G13)=0)</formula>
    </cfRule>
    <cfRule type="expression" priority="85" dxfId="2" stopIfTrue="1">
      <formula>AND(G12&lt;&gt;"", G13="")</formula>
    </cfRule>
  </conditionalFormatting>
  <conditionalFormatting sqref="C15">
    <cfRule type="expression" priority="56" dxfId="1" stopIfTrue="1">
      <formula>AND(C15&lt;&gt;"", COUNTIF($O4:O4,C15)=0)</formula>
    </cfRule>
    <cfRule type="expression" priority="86" dxfId="2" stopIfTrue="1">
      <formula>AND(C14&lt;&gt;"", C15="")</formula>
    </cfRule>
  </conditionalFormatting>
  <conditionalFormatting sqref="D15">
    <cfRule type="expression" priority="57" dxfId="1" stopIfTrue="1">
      <formula>AND(D15&lt;&gt;"", COUNTIF($O4:O4,D15)=0)</formula>
    </cfRule>
    <cfRule type="expression" priority="87" dxfId="2" stopIfTrue="1">
      <formula>AND(D14&lt;&gt;"", D15="")</formula>
    </cfRule>
  </conditionalFormatting>
  <conditionalFormatting sqref="E15">
    <cfRule type="expression" priority="58" dxfId="1" stopIfTrue="1">
      <formula>AND(E15&lt;&gt;"", COUNTIF($O4:O4,E15)=0)</formula>
    </cfRule>
    <cfRule type="expression" priority="88" dxfId="2" stopIfTrue="1">
      <formula>AND(E14&lt;&gt;"", E15="")</formula>
    </cfRule>
  </conditionalFormatting>
  <conditionalFormatting sqref="F15">
    <cfRule type="expression" priority="59" dxfId="1" stopIfTrue="1">
      <formula>AND(F15&lt;&gt;"", COUNTIF($O4:O4,F15)=0)</formula>
    </cfRule>
    <cfRule type="expression" priority="89" dxfId="2" stopIfTrue="1">
      <formula>AND(F14&lt;&gt;"", F15="")</formula>
    </cfRule>
  </conditionalFormatting>
  <conditionalFormatting sqref="G15">
    <cfRule type="expression" priority="60" dxfId="1" stopIfTrue="1">
      <formula>AND(G15&lt;&gt;"", COUNTIF($O4:O4,G15)=0)</formula>
    </cfRule>
    <cfRule type="expression" priority="90" dxfId="2" stopIfTrue="1">
      <formula>AND(G14&lt;&gt;"", G15="")</formula>
    </cfRule>
  </conditionalFormatting>
  <conditionalFormatting sqref="J4">
    <cfRule type="expression" priority="91" dxfId="3" stopIfTrue="1">
      <formula>AND(J4&lt;&gt;"", M4&gt;0, L4=0)</formula>
    </cfRule>
    <cfRule type="expression" priority="97" dxfId="4" stopIfTrue="1">
      <formula>AND(J4&lt;&gt;"", M4&gt;0, L4&lt;0)</formula>
    </cfRule>
    <cfRule type="expression" priority="103" dxfId="5" stopIfTrue="1">
      <formula>AND(J4&lt;&gt;"", M4&gt;0, L4&gt;0, L4&lt;K4)</formula>
    </cfRule>
  </conditionalFormatting>
  <conditionalFormatting sqref="J5">
    <cfRule type="expression" priority="92" dxfId="3" stopIfTrue="1">
      <formula>AND(J5&lt;&gt;"", M5&gt;0, L5=0)</formula>
    </cfRule>
    <cfRule type="expression" priority="98" dxfId="4" stopIfTrue="1">
      <formula>AND(J5&lt;&gt;"", M5&gt;0, L5&lt;0)</formula>
    </cfRule>
    <cfRule type="expression" priority="104" dxfId="5" stopIfTrue="1">
      <formula>AND(J5&lt;&gt;"", M5&gt;0, L5&gt;0, L5&lt;K5)</formula>
    </cfRule>
  </conditionalFormatting>
  <conditionalFormatting sqref="J6">
    <cfRule type="expression" priority="93" dxfId="3" stopIfTrue="1">
      <formula>AND(J6&lt;&gt;"", M6&gt;0, L6=0)</formula>
    </cfRule>
    <cfRule type="expression" priority="99" dxfId="4" stopIfTrue="1">
      <formula>AND(J6&lt;&gt;"", M6&gt;0, L6&lt;0)</formula>
    </cfRule>
    <cfRule type="expression" priority="105" dxfId="5" stopIfTrue="1">
      <formula>AND(J6&lt;&gt;"", M6&gt;0, L6&gt;0, L6&lt;K6)</formula>
    </cfRule>
  </conditionalFormatting>
  <conditionalFormatting sqref="J7">
    <cfRule type="expression" priority="94" dxfId="3" stopIfTrue="1">
      <formula>AND(J7&lt;&gt;"", M7&gt;0, L7=0)</formula>
    </cfRule>
    <cfRule type="expression" priority="100" dxfId="4" stopIfTrue="1">
      <formula>AND(J7&lt;&gt;"", M7&gt;0, L7&lt;0)</formula>
    </cfRule>
    <cfRule type="expression" priority="106" dxfId="5" stopIfTrue="1">
      <formula>AND(J7&lt;&gt;"", M7&gt;0, L7&gt;0, L7&lt;K7)</formula>
    </cfRule>
  </conditionalFormatting>
  <conditionalFormatting sqref="J8">
    <cfRule type="expression" priority="95" dxfId="3" stopIfTrue="1">
      <formula>AND(J8&lt;&gt;"", M8&gt;0, L8=0)</formula>
    </cfRule>
    <cfRule type="expression" priority="101" dxfId="4" stopIfTrue="1">
      <formula>AND(J8&lt;&gt;"", M8&gt;0, L8&lt;0)</formula>
    </cfRule>
    <cfRule type="expression" priority="107" dxfId="5" stopIfTrue="1">
      <formula>AND(J8&lt;&gt;"", M8&gt;0, L8&gt;0, L8&lt;K8)</formula>
    </cfRule>
  </conditionalFormatting>
  <conditionalFormatting sqref="J9">
    <cfRule type="expression" priority="96" dxfId="3" stopIfTrue="1">
      <formula>AND(J9&lt;&gt;"", M9&gt;0, L9=0)</formula>
    </cfRule>
    <cfRule type="expression" priority="102" dxfId="4" stopIfTrue="1">
      <formula>AND(J9&lt;&gt;"", M9&gt;0, L9&lt;0)</formula>
    </cfRule>
    <cfRule type="expression" priority="108" dxfId="5" stopIfTrue="1">
      <formula>AND(J9&lt;&gt;"", M9&gt;0, L9&gt;0, L9&lt;K9)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 xml:space="preserve">Grupo </t>
        </is>
      </c>
      <c r="B1" t="inlineStr">
        <is>
          <t>M111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s="1" t="inlineStr"/>
      <c r="C3" s="1" t="inlineStr">
        <is>
          <t>Lunes</t>
        </is>
      </c>
      <c r="D3" s="1" t="inlineStr">
        <is>
          <t>Martes</t>
        </is>
      </c>
      <c r="E3" s="1" t="inlineStr">
        <is>
          <t>Miércoles</t>
        </is>
      </c>
      <c r="F3" s="1" t="inlineStr">
        <is>
          <t>Jueves</t>
        </is>
      </c>
      <c r="G3" s="1" t="inlineStr">
        <is>
          <t>Viernes</t>
        </is>
      </c>
      <c r="H3" t="inlineStr"/>
      <c r="I3" s="2" t="inlineStr">
        <is>
          <t>Abrev</t>
        </is>
      </c>
      <c r="J3" s="1" t="inlineStr">
        <is>
          <t>Asignaturas</t>
        </is>
      </c>
      <c r="K3" s="1" t="inlineStr">
        <is>
          <t>Frec</t>
        </is>
      </c>
      <c r="L3" s="1" t="inlineStr">
        <is>
          <t>Faltan</t>
        </is>
      </c>
      <c r="M3" s="1" t="inlineStr">
        <is>
          <t>Asignadas</t>
        </is>
      </c>
      <c r="N3" t="inlineStr"/>
      <c r="O3" t="inlineStr">
        <is>
          <t>Aulas</t>
        </is>
      </c>
    </row>
    <row r="4">
      <c r="A4" t="inlineStr"/>
      <c r="B4" s="3" t="inlineStr">
        <is>
          <t>Turno 1</t>
        </is>
      </c>
      <c r="C4" s="4" t="inlineStr">
        <is>
          <t>F</t>
        </is>
      </c>
      <c r="D4" s="4" t="inlineStr">
        <is>
          <t>IM</t>
        </is>
      </c>
      <c r="E4" s="4" t="inlineStr">
        <is>
          <t>IAM</t>
        </is>
      </c>
      <c r="F4" s="4" t="inlineStr">
        <is>
          <t>IA</t>
        </is>
      </c>
      <c r="G4" s="4" t="inlineStr">
        <is>
          <t>IA</t>
        </is>
      </c>
      <c r="H4" t="inlineStr"/>
      <c r="I4" s="2" t="inlineStr">
        <is>
          <t>IAM</t>
        </is>
      </c>
      <c r="J4" s="1" t="inlineStr">
        <is>
          <t>Introducción al Análisis Matemático</t>
        </is>
      </c>
      <c r="K4" s="1" t="n">
        <v>3</v>
      </c>
      <c r="L4" s="1">
        <f>K4-M4</f>
        <v/>
      </c>
      <c r="M4" s="1">
        <f>COUNTIF($C$4:$G$15,I4)</f>
        <v/>
      </c>
      <c r="N4" t="inlineStr"/>
      <c r="O4" s="1" t="inlineStr">
        <is>
          <t>Aula 8</t>
        </is>
      </c>
    </row>
    <row r="5">
      <c r="A5" t="inlineStr"/>
      <c r="B5" s="5" t="n"/>
      <c r="C5" s="6" t="inlineStr">
        <is>
          <t>Aula 8</t>
        </is>
      </c>
      <c r="D5" s="6" t="inlineStr">
        <is>
          <t>Aula 8</t>
        </is>
      </c>
      <c r="E5" s="6" t="inlineStr">
        <is>
          <t>Aula 8</t>
        </is>
      </c>
      <c r="F5" s="6" t="inlineStr">
        <is>
          <t>Aula 8</t>
        </is>
      </c>
      <c r="G5" s="6" t="inlineStr">
        <is>
          <t>Aula 8</t>
        </is>
      </c>
      <c r="H5" t="inlineStr"/>
      <c r="I5" s="2" t="inlineStr">
        <is>
          <t>IA</t>
        </is>
      </c>
      <c r="J5" s="1" t="inlineStr">
        <is>
          <t>Introducción al Álgebra</t>
        </is>
      </c>
      <c r="K5" s="1" t="n">
        <v>3</v>
      </c>
      <c r="L5" s="1">
        <f>K5-M5</f>
        <v/>
      </c>
      <c r="M5" s="1">
        <f>COUNTIF($C$4:$G$15,I5)</f>
        <v/>
      </c>
      <c r="N5" t="inlineStr"/>
      <c r="O5" s="1" t="inlineStr">
        <is>
          <t>Lab</t>
        </is>
      </c>
    </row>
    <row r="6">
      <c r="A6" t="inlineStr"/>
      <c r="B6" s="3" t="inlineStr">
        <is>
          <t>Turno 2</t>
        </is>
      </c>
      <c r="C6" s="4" t="inlineStr">
        <is>
          <t>PA</t>
        </is>
      </c>
      <c r="D6" s="4" t="inlineStr">
        <is>
          <t>IAM</t>
        </is>
      </c>
      <c r="E6" s="4" t="inlineStr">
        <is>
          <t>EF</t>
        </is>
      </c>
      <c r="F6" s="4" t="inlineStr">
        <is>
          <t>PA Aula</t>
        </is>
      </c>
      <c r="G6" s="4" t="inlineStr">
        <is>
          <t>IAM</t>
        </is>
      </c>
      <c r="H6" t="inlineStr"/>
      <c r="I6" s="2" t="inlineStr">
        <is>
          <t>GA</t>
        </is>
      </c>
      <c r="J6" s="1" t="inlineStr">
        <is>
          <t>Geometría Analítica</t>
        </is>
      </c>
      <c r="K6" s="1" t="n">
        <v>2</v>
      </c>
      <c r="L6" s="1">
        <f>K6-M6</f>
        <v/>
      </c>
      <c r="M6" s="1">
        <f>COUNTIF($C$4:$G$15,I6)</f>
        <v/>
      </c>
      <c r="N6" t="inlineStr">
        <is>
          <t>Total:</t>
        </is>
      </c>
      <c r="O6">
        <f>COUNTA(O4:O5)</f>
        <v/>
      </c>
    </row>
    <row r="7">
      <c r="A7" t="inlineStr"/>
      <c r="B7" s="5" t="n"/>
      <c r="C7" s="6" t="inlineStr">
        <is>
          <t>Aula 8</t>
        </is>
      </c>
      <c r="D7" s="6" t="inlineStr">
        <is>
          <t>Aula 8</t>
        </is>
      </c>
      <c r="E7" s="6" t="inlineStr">
        <is>
          <t>SEDER</t>
        </is>
      </c>
      <c r="F7" s="6" t="inlineStr">
        <is>
          <t>Lab</t>
        </is>
      </c>
      <c r="G7" s="6" t="inlineStr">
        <is>
          <t>Aula 8</t>
        </is>
      </c>
      <c r="H7" t="inlineStr"/>
      <c r="I7" s="2" t="inlineStr">
        <is>
          <t>PA</t>
        </is>
      </c>
      <c r="J7" s="1" t="inlineStr">
        <is>
          <t>Programación y Algoritmos</t>
        </is>
      </c>
      <c r="K7" s="1" t="n">
        <v>2</v>
      </c>
      <c r="L7" s="1">
        <f>K7-M7</f>
        <v/>
      </c>
      <c r="M7" s="1">
        <f>COUNTIF($C$4:$G$15,I7)</f>
        <v/>
      </c>
      <c r="N7" t="inlineStr"/>
      <c r="O7" t="inlineStr"/>
    </row>
    <row r="8">
      <c r="A8" t="inlineStr"/>
      <c r="B8" s="3" t="inlineStr">
        <is>
          <t>Turno 3</t>
        </is>
      </c>
      <c r="C8" s="4" t="inlineStr">
        <is>
          <t>GA</t>
        </is>
      </c>
      <c r="D8" s="4" t="inlineStr">
        <is>
          <t>GA</t>
        </is>
      </c>
      <c r="E8" s="4" t="inlineStr">
        <is>
          <t>IA</t>
        </is>
      </c>
      <c r="F8" s="4" t="inlineStr">
        <is>
          <t>GA 8</t>
        </is>
      </c>
      <c r="G8" s="4" t="inlineStr"/>
      <c r="H8" t="inlineStr"/>
      <c r="I8" s="2" t="inlineStr">
        <is>
          <t>IM</t>
        </is>
      </c>
      <c r="J8" s="1" t="inlineStr">
        <is>
          <t>Introducción a la Matemática</t>
        </is>
      </c>
      <c r="K8" s="1" t="n">
        <v>2</v>
      </c>
      <c r="L8" s="1">
        <f>K8-M8</f>
        <v/>
      </c>
      <c r="M8" s="1">
        <f>COUNTIF($C$4:$G$15,I8)</f>
        <v/>
      </c>
      <c r="N8" t="inlineStr"/>
      <c r="O8" t="inlineStr"/>
    </row>
    <row r="9">
      <c r="A9" t="inlineStr"/>
      <c r="B9" s="5" t="n"/>
      <c r="C9" s="6" t="inlineStr">
        <is>
          <t>Aula 8</t>
        </is>
      </c>
      <c r="D9" s="6" t="inlineStr">
        <is>
          <t>Aula 8</t>
        </is>
      </c>
      <c r="E9" s="6" t="inlineStr">
        <is>
          <t>Aula 8</t>
        </is>
      </c>
      <c r="F9" s="6" t="inlineStr"/>
      <c r="G9" s="6" t="inlineStr"/>
      <c r="H9" t="inlineStr"/>
      <c r="I9" s="2" t="inlineStr">
        <is>
          <t>F</t>
        </is>
      </c>
      <c r="J9" s="1" t="inlineStr">
        <is>
          <t>Filosofía</t>
        </is>
      </c>
      <c r="K9" s="1" t="n">
        <v>2</v>
      </c>
      <c r="L9" s="1">
        <f>K9-M9</f>
        <v/>
      </c>
      <c r="M9" s="1">
        <f>COUNTIF($C$4:$G$15,I9)</f>
        <v/>
      </c>
      <c r="N9" t="inlineStr"/>
      <c r="O9" t="inlineStr"/>
    </row>
    <row r="10">
      <c r="A10" t="inlineStr"/>
      <c r="B10" s="3" t="inlineStr">
        <is>
          <t>Turno 4</t>
        </is>
      </c>
      <c r="C10" s="4" t="inlineStr"/>
      <c r="D10" s="4" t="inlineStr"/>
      <c r="E10" s="4" t="inlineStr"/>
      <c r="F10" s="4" t="inlineStr"/>
      <c r="G10" s="4" t="inlineStr"/>
      <c r="H10" t="inlineStr"/>
      <c r="I10" s="2" t="inlineStr">
        <is>
          <t>EF</t>
        </is>
      </c>
      <c r="J10" s="1" t="inlineStr">
        <is>
          <t>Educación Física I</t>
        </is>
      </c>
      <c r="K10" s="1" t="n">
        <v>2</v>
      </c>
      <c r="L10" s="1">
        <f>K10-M10</f>
        <v/>
      </c>
      <c r="M10" s="1">
        <f>COUNTIF($C$4:$G$15,I10)</f>
        <v/>
      </c>
      <c r="N10" t="inlineStr"/>
      <c r="O10" t="inlineStr"/>
    </row>
    <row r="11">
      <c r="A11" t="inlineStr"/>
      <c r="B11" s="5" t="n"/>
      <c r="C11" s="6" t="inlineStr"/>
      <c r="D11" s="6" t="inlineStr"/>
      <c r="E11" s="6" t="inlineStr"/>
      <c r="F11" s="6" t="inlineStr"/>
      <c r="G11" s="6" t="inlineStr"/>
      <c r="H11" t="inlineStr"/>
      <c r="I11" t="inlineStr"/>
      <c r="J11" t="inlineStr"/>
      <c r="K11" t="inlineStr"/>
      <c r="L11" t="inlineStr">
        <is>
          <t>Total:</t>
        </is>
      </c>
      <c r="M11">
        <f>COUNTA(I4:I10)</f>
        <v/>
      </c>
      <c r="N11" t="inlineStr"/>
      <c r="O11" t="inlineStr"/>
    </row>
    <row r="12">
      <c r="A12" t="inlineStr"/>
      <c r="B12" s="3" t="inlineStr">
        <is>
          <t>Turno 5</t>
        </is>
      </c>
      <c r="C12" s="4" t="inlineStr"/>
      <c r="D12" s="4" t="inlineStr"/>
      <c r="E12" s="4" t="inlineStr"/>
      <c r="F12" s="4" t="inlineStr"/>
      <c r="G12" s="4" t="inlineStr"/>
      <c r="H12" t="inlineStr"/>
      <c r="I12" t="inlineStr"/>
      <c r="J12" t="inlineStr"/>
      <c r="K12" t="inlineStr"/>
      <c r="L12" t="inlineStr">
        <is>
          <t>Σ Frec:</t>
        </is>
      </c>
      <c r="M12">
        <f>SUM(K4:K10)</f>
        <v/>
      </c>
      <c r="N12" t="inlineStr"/>
      <c r="O12" t="inlineStr"/>
    </row>
    <row r="13">
      <c r="A13" t="inlineStr"/>
      <c r="B13" s="5" t="n"/>
      <c r="C13" s="6" t="inlineStr"/>
      <c r="D13" s="6" t="inlineStr"/>
      <c r="E13" s="6" t="inlineStr"/>
      <c r="F13" s="6" t="inlineStr"/>
      <c r="G13" s="6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/>
      <c r="B14" s="3" t="inlineStr">
        <is>
          <t>Turno 6</t>
        </is>
      </c>
      <c r="C14" s="4" t="inlineStr"/>
      <c r="D14" s="4" t="inlineStr"/>
      <c r="E14" s="4" t="inlineStr"/>
      <c r="F14" s="4" t="inlineStr"/>
      <c r="G14" s="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/>
      <c r="B15" s="5" t="n"/>
      <c r="C15" s="6" t="inlineStr"/>
      <c r="D15" s="6" t="inlineStr"/>
      <c r="E15" s="6" t="inlineStr"/>
      <c r="F15" s="6" t="inlineStr"/>
      <c r="G15" s="6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F16" t="inlineStr">
        <is>
          <t>Ocupados:</t>
        </is>
      </c>
      <c r="G16">
        <f>COUNTA(C4:G15)/2</f>
        <v/>
      </c>
    </row>
  </sheetData>
  <mergeCells count="6">
    <mergeCell ref="B4:B5"/>
    <mergeCell ref="B12:B13"/>
    <mergeCell ref="B8:B9"/>
    <mergeCell ref="B10:B11"/>
    <mergeCell ref="B6:B7"/>
    <mergeCell ref="B14:B15"/>
  </mergeCells>
  <conditionalFormatting sqref="C4">
    <cfRule type="expression" priority="1" dxfId="0" stopIfTrue="1">
      <formula>AND(C4&lt;&gt;"", COUNTIF($I4:I10,C4)=0)</formula>
    </cfRule>
  </conditionalFormatting>
  <conditionalFormatting sqref="D4">
    <cfRule type="expression" priority="2" dxfId="0" stopIfTrue="1">
      <formula>AND(D4&lt;&gt;"", COUNTIF($I4:I10,D4)=0)</formula>
    </cfRule>
  </conditionalFormatting>
  <conditionalFormatting sqref="E4">
    <cfRule type="expression" priority="3" dxfId="0" stopIfTrue="1">
      <formula>AND(E4&lt;&gt;"", COUNTIF($I4:I10,E4)=0)</formula>
    </cfRule>
  </conditionalFormatting>
  <conditionalFormatting sqref="F4">
    <cfRule type="expression" priority="4" dxfId="0" stopIfTrue="1">
      <formula>AND(F4&lt;&gt;"", COUNTIF($I4:I10,F4)=0)</formula>
    </cfRule>
  </conditionalFormatting>
  <conditionalFormatting sqref="G4">
    <cfRule type="expression" priority="5" dxfId="0" stopIfTrue="1">
      <formula>AND(G4&lt;&gt;"", COUNTIF($I4:I10,G4)=0)</formula>
    </cfRule>
  </conditionalFormatting>
  <conditionalFormatting sqref="C6">
    <cfRule type="expression" priority="6" dxfId="0" stopIfTrue="1">
      <formula>AND(C6&lt;&gt;"", COUNTIF($I4:I10,C6)=0)</formula>
    </cfRule>
  </conditionalFormatting>
  <conditionalFormatting sqref="D6">
    <cfRule type="expression" priority="7" dxfId="0" stopIfTrue="1">
      <formula>AND(D6&lt;&gt;"", COUNTIF($I4:I10,D6)=0)</formula>
    </cfRule>
  </conditionalFormatting>
  <conditionalFormatting sqref="E6">
    <cfRule type="expression" priority="8" dxfId="0" stopIfTrue="1">
      <formula>AND(E6&lt;&gt;"", COUNTIF($I4:I10,E6)=0)</formula>
    </cfRule>
  </conditionalFormatting>
  <conditionalFormatting sqref="F6">
    <cfRule type="expression" priority="9" dxfId="0" stopIfTrue="1">
      <formula>AND(F6&lt;&gt;"", COUNTIF($I4:I10,F6)=0)</formula>
    </cfRule>
  </conditionalFormatting>
  <conditionalFormatting sqref="G6">
    <cfRule type="expression" priority="10" dxfId="0" stopIfTrue="1">
      <formula>AND(G6&lt;&gt;"", COUNTIF($I4:I10,G6)=0)</formula>
    </cfRule>
  </conditionalFormatting>
  <conditionalFormatting sqref="C8">
    <cfRule type="expression" priority="11" dxfId="0" stopIfTrue="1">
      <formula>AND(C8&lt;&gt;"", COUNTIF($I4:I10,C8)=0)</formula>
    </cfRule>
  </conditionalFormatting>
  <conditionalFormatting sqref="D8">
    <cfRule type="expression" priority="12" dxfId="0" stopIfTrue="1">
      <formula>AND(D8&lt;&gt;"", COUNTIF($I4:I10,D8)=0)</formula>
    </cfRule>
  </conditionalFormatting>
  <conditionalFormatting sqref="E8">
    <cfRule type="expression" priority="13" dxfId="0" stopIfTrue="1">
      <formula>AND(E8&lt;&gt;"", COUNTIF($I4:I10,E8)=0)</formula>
    </cfRule>
  </conditionalFormatting>
  <conditionalFormatting sqref="F8">
    <cfRule type="expression" priority="14" dxfId="0" stopIfTrue="1">
      <formula>AND(F8&lt;&gt;"", COUNTIF($I4:I10,F8)=0)</formula>
    </cfRule>
  </conditionalFormatting>
  <conditionalFormatting sqref="G8">
    <cfRule type="expression" priority="15" dxfId="0" stopIfTrue="1">
      <formula>AND(G8&lt;&gt;"", COUNTIF($I4:I10,G8)=0)</formula>
    </cfRule>
  </conditionalFormatting>
  <conditionalFormatting sqref="C10">
    <cfRule type="expression" priority="16" dxfId="0" stopIfTrue="1">
      <formula>AND(C10&lt;&gt;"", COUNTIF($I4:I10,C10)=0)</formula>
    </cfRule>
  </conditionalFormatting>
  <conditionalFormatting sqref="D10">
    <cfRule type="expression" priority="17" dxfId="0" stopIfTrue="1">
      <formula>AND(D10&lt;&gt;"", COUNTIF($I4:I10,D10)=0)</formula>
    </cfRule>
  </conditionalFormatting>
  <conditionalFormatting sqref="E10">
    <cfRule type="expression" priority="18" dxfId="0" stopIfTrue="1">
      <formula>AND(E10&lt;&gt;"", COUNTIF($I4:I10,E10)=0)</formula>
    </cfRule>
  </conditionalFormatting>
  <conditionalFormatting sqref="F10">
    <cfRule type="expression" priority="19" dxfId="0" stopIfTrue="1">
      <formula>AND(F10&lt;&gt;"", COUNTIF($I4:I10,F10)=0)</formula>
    </cfRule>
  </conditionalFormatting>
  <conditionalFormatting sqref="G10">
    <cfRule type="expression" priority="20" dxfId="0" stopIfTrue="1">
      <formula>AND(G10&lt;&gt;"", COUNTIF($I4:I10,G10)=0)</formula>
    </cfRule>
  </conditionalFormatting>
  <conditionalFormatting sqref="C12">
    <cfRule type="expression" priority="21" dxfId="0" stopIfTrue="1">
      <formula>AND(C12&lt;&gt;"", COUNTIF($I4:I10,C12)=0)</formula>
    </cfRule>
  </conditionalFormatting>
  <conditionalFormatting sqref="D12">
    <cfRule type="expression" priority="22" dxfId="0" stopIfTrue="1">
      <formula>AND(D12&lt;&gt;"", COUNTIF($I4:I10,D12)=0)</formula>
    </cfRule>
  </conditionalFormatting>
  <conditionalFormatting sqref="E12">
    <cfRule type="expression" priority="23" dxfId="0" stopIfTrue="1">
      <formula>AND(E12&lt;&gt;"", COUNTIF($I4:I10,E12)=0)</formula>
    </cfRule>
  </conditionalFormatting>
  <conditionalFormatting sqref="F12">
    <cfRule type="expression" priority="24" dxfId="0" stopIfTrue="1">
      <formula>AND(F12&lt;&gt;"", COUNTIF($I4:I10,F12)=0)</formula>
    </cfRule>
  </conditionalFormatting>
  <conditionalFormatting sqref="G12">
    <cfRule type="expression" priority="25" dxfId="0" stopIfTrue="1">
      <formula>AND(G12&lt;&gt;"", COUNTIF($I4:I10,G12)=0)</formula>
    </cfRule>
  </conditionalFormatting>
  <conditionalFormatting sqref="C14">
    <cfRule type="expression" priority="26" dxfId="0" stopIfTrue="1">
      <formula>AND(C14&lt;&gt;"", COUNTIF($I4:I10,C14)=0)</formula>
    </cfRule>
  </conditionalFormatting>
  <conditionalFormatting sqref="D14">
    <cfRule type="expression" priority="27" dxfId="0" stopIfTrue="1">
      <formula>AND(D14&lt;&gt;"", COUNTIF($I4:I10,D14)=0)</formula>
    </cfRule>
  </conditionalFormatting>
  <conditionalFormatting sqref="E14">
    <cfRule type="expression" priority="28" dxfId="0" stopIfTrue="1">
      <formula>AND(E14&lt;&gt;"", COUNTIF($I4:I10,E14)=0)</formula>
    </cfRule>
  </conditionalFormatting>
  <conditionalFormatting sqref="F14">
    <cfRule type="expression" priority="29" dxfId="0" stopIfTrue="1">
      <formula>AND(F14&lt;&gt;"", COUNTIF($I4:I10,F14)=0)</formula>
    </cfRule>
  </conditionalFormatting>
  <conditionalFormatting sqref="G14">
    <cfRule type="expression" priority="30" dxfId="0" stopIfTrue="1">
      <formula>AND(G14&lt;&gt;"", COUNTIF($I4:I10,G14)=0)</formula>
    </cfRule>
  </conditionalFormatting>
  <conditionalFormatting sqref="C5">
    <cfRule type="expression" priority="31" dxfId="1" stopIfTrue="1">
      <formula>AND(C5&lt;&gt;"", COUNTIF($O4:O5,C5)=0)</formula>
    </cfRule>
    <cfRule type="expression" priority="61" dxfId="2" stopIfTrue="1">
      <formula>AND(C4&lt;&gt;"", C5="")</formula>
    </cfRule>
  </conditionalFormatting>
  <conditionalFormatting sqref="D5">
    <cfRule type="expression" priority="32" dxfId="1" stopIfTrue="1">
      <formula>AND(D5&lt;&gt;"", COUNTIF($O4:O5,D5)=0)</formula>
    </cfRule>
    <cfRule type="expression" priority="62" dxfId="2" stopIfTrue="1">
      <formula>AND(D4&lt;&gt;"", D5="")</formula>
    </cfRule>
  </conditionalFormatting>
  <conditionalFormatting sqref="E5">
    <cfRule type="expression" priority="33" dxfId="1" stopIfTrue="1">
      <formula>AND(E5&lt;&gt;"", COUNTIF($O4:O5,E5)=0)</formula>
    </cfRule>
    <cfRule type="expression" priority="63" dxfId="2" stopIfTrue="1">
      <formula>AND(E4&lt;&gt;"", E5="")</formula>
    </cfRule>
  </conditionalFormatting>
  <conditionalFormatting sqref="F5">
    <cfRule type="expression" priority="34" dxfId="1" stopIfTrue="1">
      <formula>AND(F5&lt;&gt;"", COUNTIF($O4:O5,F5)=0)</formula>
    </cfRule>
    <cfRule type="expression" priority="64" dxfId="2" stopIfTrue="1">
      <formula>AND(F4&lt;&gt;"", F5="")</formula>
    </cfRule>
  </conditionalFormatting>
  <conditionalFormatting sqref="G5">
    <cfRule type="expression" priority="35" dxfId="1" stopIfTrue="1">
      <formula>AND(G5&lt;&gt;"", COUNTIF($O4:O5,G5)=0)</formula>
    </cfRule>
    <cfRule type="expression" priority="65" dxfId="2" stopIfTrue="1">
      <formula>AND(G4&lt;&gt;"", G5="")</formula>
    </cfRule>
  </conditionalFormatting>
  <conditionalFormatting sqref="C7">
    <cfRule type="expression" priority="36" dxfId="1" stopIfTrue="1">
      <formula>AND(C7&lt;&gt;"", COUNTIF($O4:O5,C7)=0)</formula>
    </cfRule>
    <cfRule type="expression" priority="66" dxfId="2" stopIfTrue="1">
      <formula>AND(C6&lt;&gt;"", C7="")</formula>
    </cfRule>
  </conditionalFormatting>
  <conditionalFormatting sqref="D7">
    <cfRule type="expression" priority="37" dxfId="1" stopIfTrue="1">
      <formula>AND(D7&lt;&gt;"", COUNTIF($O4:O5,D7)=0)</formula>
    </cfRule>
    <cfRule type="expression" priority="67" dxfId="2" stopIfTrue="1">
      <formula>AND(D6&lt;&gt;"", D7="")</formula>
    </cfRule>
  </conditionalFormatting>
  <conditionalFormatting sqref="E7">
    <cfRule type="expression" priority="38" dxfId="1" stopIfTrue="1">
      <formula>AND(E7&lt;&gt;"", COUNTIF($O4:O5,E7)=0)</formula>
    </cfRule>
    <cfRule type="expression" priority="68" dxfId="2" stopIfTrue="1">
      <formula>AND(E6&lt;&gt;"", E7="")</formula>
    </cfRule>
  </conditionalFormatting>
  <conditionalFormatting sqref="F7">
    <cfRule type="expression" priority="39" dxfId="1" stopIfTrue="1">
      <formula>AND(F7&lt;&gt;"", COUNTIF($O4:O5,F7)=0)</formula>
    </cfRule>
    <cfRule type="expression" priority="69" dxfId="2" stopIfTrue="1">
      <formula>AND(F6&lt;&gt;"", F7="")</formula>
    </cfRule>
  </conditionalFormatting>
  <conditionalFormatting sqref="G7">
    <cfRule type="expression" priority="40" dxfId="1" stopIfTrue="1">
      <formula>AND(G7&lt;&gt;"", COUNTIF($O4:O5,G7)=0)</formula>
    </cfRule>
    <cfRule type="expression" priority="70" dxfId="2" stopIfTrue="1">
      <formula>AND(G6&lt;&gt;"", G7="")</formula>
    </cfRule>
  </conditionalFormatting>
  <conditionalFormatting sqref="C9">
    <cfRule type="expression" priority="41" dxfId="1" stopIfTrue="1">
      <formula>AND(C9&lt;&gt;"", COUNTIF($O4:O5,C9)=0)</formula>
    </cfRule>
    <cfRule type="expression" priority="71" dxfId="2" stopIfTrue="1">
      <formula>AND(C8&lt;&gt;"", C9="")</formula>
    </cfRule>
  </conditionalFormatting>
  <conditionalFormatting sqref="D9">
    <cfRule type="expression" priority="42" dxfId="1" stopIfTrue="1">
      <formula>AND(D9&lt;&gt;"", COUNTIF($O4:O5,D9)=0)</formula>
    </cfRule>
    <cfRule type="expression" priority="72" dxfId="2" stopIfTrue="1">
      <formula>AND(D8&lt;&gt;"", D9="")</formula>
    </cfRule>
  </conditionalFormatting>
  <conditionalFormatting sqref="E9">
    <cfRule type="expression" priority="43" dxfId="1" stopIfTrue="1">
      <formula>AND(E9&lt;&gt;"", COUNTIF($O4:O5,E9)=0)</formula>
    </cfRule>
    <cfRule type="expression" priority="73" dxfId="2" stopIfTrue="1">
      <formula>AND(E8&lt;&gt;"", E9="")</formula>
    </cfRule>
  </conditionalFormatting>
  <conditionalFormatting sqref="F9">
    <cfRule type="expression" priority="44" dxfId="1" stopIfTrue="1">
      <formula>AND(F9&lt;&gt;"", COUNTIF($O4:O5,F9)=0)</formula>
    </cfRule>
    <cfRule type="expression" priority="74" dxfId="2" stopIfTrue="1">
      <formula>AND(F8&lt;&gt;"", F9="")</formula>
    </cfRule>
  </conditionalFormatting>
  <conditionalFormatting sqref="G9">
    <cfRule type="expression" priority="45" dxfId="1" stopIfTrue="1">
      <formula>AND(G9&lt;&gt;"", COUNTIF($O4:O5,G9)=0)</formula>
    </cfRule>
    <cfRule type="expression" priority="75" dxfId="2" stopIfTrue="1">
      <formula>AND(G8&lt;&gt;"", G9="")</formula>
    </cfRule>
  </conditionalFormatting>
  <conditionalFormatting sqref="C11">
    <cfRule type="expression" priority="46" dxfId="1" stopIfTrue="1">
      <formula>AND(C11&lt;&gt;"", COUNTIF($O4:O5,C11)=0)</formula>
    </cfRule>
    <cfRule type="expression" priority="76" dxfId="2" stopIfTrue="1">
      <formula>AND(C10&lt;&gt;"", C11="")</formula>
    </cfRule>
  </conditionalFormatting>
  <conditionalFormatting sqref="D11">
    <cfRule type="expression" priority="47" dxfId="1" stopIfTrue="1">
      <formula>AND(D11&lt;&gt;"", COUNTIF($O4:O5,D11)=0)</formula>
    </cfRule>
    <cfRule type="expression" priority="77" dxfId="2" stopIfTrue="1">
      <formula>AND(D10&lt;&gt;"", D11="")</formula>
    </cfRule>
  </conditionalFormatting>
  <conditionalFormatting sqref="E11">
    <cfRule type="expression" priority="48" dxfId="1" stopIfTrue="1">
      <formula>AND(E11&lt;&gt;"", COUNTIF($O4:O5,E11)=0)</formula>
    </cfRule>
    <cfRule type="expression" priority="78" dxfId="2" stopIfTrue="1">
      <formula>AND(E10&lt;&gt;"", E11="")</formula>
    </cfRule>
  </conditionalFormatting>
  <conditionalFormatting sqref="F11">
    <cfRule type="expression" priority="49" dxfId="1" stopIfTrue="1">
      <formula>AND(F11&lt;&gt;"", COUNTIF($O4:O5,F11)=0)</formula>
    </cfRule>
    <cfRule type="expression" priority="79" dxfId="2" stopIfTrue="1">
      <formula>AND(F10&lt;&gt;"", F11="")</formula>
    </cfRule>
  </conditionalFormatting>
  <conditionalFormatting sqref="G11">
    <cfRule type="expression" priority="50" dxfId="1" stopIfTrue="1">
      <formula>AND(G11&lt;&gt;"", COUNTIF($O4:O5,G11)=0)</formula>
    </cfRule>
    <cfRule type="expression" priority="80" dxfId="2" stopIfTrue="1">
      <formula>AND(G10&lt;&gt;"", G11="")</formula>
    </cfRule>
  </conditionalFormatting>
  <conditionalFormatting sqref="C13">
    <cfRule type="expression" priority="51" dxfId="1" stopIfTrue="1">
      <formula>AND(C13&lt;&gt;"", COUNTIF($O4:O5,C13)=0)</formula>
    </cfRule>
    <cfRule type="expression" priority="81" dxfId="2" stopIfTrue="1">
      <formula>AND(C12&lt;&gt;"", C13="")</formula>
    </cfRule>
  </conditionalFormatting>
  <conditionalFormatting sqref="D13">
    <cfRule type="expression" priority="52" dxfId="1" stopIfTrue="1">
      <formula>AND(D13&lt;&gt;"", COUNTIF($O4:O5,D13)=0)</formula>
    </cfRule>
    <cfRule type="expression" priority="82" dxfId="2" stopIfTrue="1">
      <formula>AND(D12&lt;&gt;"", D13="")</formula>
    </cfRule>
  </conditionalFormatting>
  <conditionalFormatting sqref="E13">
    <cfRule type="expression" priority="53" dxfId="1" stopIfTrue="1">
      <formula>AND(E13&lt;&gt;"", COUNTIF($O4:O5,E13)=0)</formula>
    </cfRule>
    <cfRule type="expression" priority="83" dxfId="2" stopIfTrue="1">
      <formula>AND(E12&lt;&gt;"", E13="")</formula>
    </cfRule>
  </conditionalFormatting>
  <conditionalFormatting sqref="F13">
    <cfRule type="expression" priority="54" dxfId="1" stopIfTrue="1">
      <formula>AND(F13&lt;&gt;"", COUNTIF($O4:O5,F13)=0)</formula>
    </cfRule>
    <cfRule type="expression" priority="84" dxfId="2" stopIfTrue="1">
      <formula>AND(F12&lt;&gt;"", F13="")</formula>
    </cfRule>
  </conditionalFormatting>
  <conditionalFormatting sqref="G13">
    <cfRule type="expression" priority="55" dxfId="1" stopIfTrue="1">
      <formula>AND(G13&lt;&gt;"", COUNTIF($O4:O5,G13)=0)</formula>
    </cfRule>
    <cfRule type="expression" priority="85" dxfId="2" stopIfTrue="1">
      <formula>AND(G12&lt;&gt;"", G13="")</formula>
    </cfRule>
  </conditionalFormatting>
  <conditionalFormatting sqref="C15">
    <cfRule type="expression" priority="56" dxfId="1" stopIfTrue="1">
      <formula>AND(C15&lt;&gt;"", COUNTIF($O4:O5,C15)=0)</formula>
    </cfRule>
    <cfRule type="expression" priority="86" dxfId="2" stopIfTrue="1">
      <formula>AND(C14&lt;&gt;"", C15="")</formula>
    </cfRule>
  </conditionalFormatting>
  <conditionalFormatting sqref="D15">
    <cfRule type="expression" priority="57" dxfId="1" stopIfTrue="1">
      <formula>AND(D15&lt;&gt;"", COUNTIF($O4:O5,D15)=0)</formula>
    </cfRule>
    <cfRule type="expression" priority="87" dxfId="2" stopIfTrue="1">
      <formula>AND(D14&lt;&gt;"", D15="")</formula>
    </cfRule>
  </conditionalFormatting>
  <conditionalFormatting sqref="E15">
    <cfRule type="expression" priority="58" dxfId="1" stopIfTrue="1">
      <formula>AND(E15&lt;&gt;"", COUNTIF($O4:O5,E15)=0)</formula>
    </cfRule>
    <cfRule type="expression" priority="88" dxfId="2" stopIfTrue="1">
      <formula>AND(E14&lt;&gt;"", E15="")</formula>
    </cfRule>
  </conditionalFormatting>
  <conditionalFormatting sqref="F15">
    <cfRule type="expression" priority="59" dxfId="1" stopIfTrue="1">
      <formula>AND(F15&lt;&gt;"", COUNTIF($O4:O5,F15)=0)</formula>
    </cfRule>
    <cfRule type="expression" priority="89" dxfId="2" stopIfTrue="1">
      <formula>AND(F14&lt;&gt;"", F15="")</formula>
    </cfRule>
  </conditionalFormatting>
  <conditionalFormatting sqref="G15">
    <cfRule type="expression" priority="60" dxfId="1" stopIfTrue="1">
      <formula>AND(G15&lt;&gt;"", COUNTIF($O4:O5,G15)=0)</formula>
    </cfRule>
    <cfRule type="expression" priority="90" dxfId="2" stopIfTrue="1">
      <formula>AND(G14&lt;&gt;"", G15="")</formula>
    </cfRule>
  </conditionalFormatting>
  <conditionalFormatting sqref="J4">
    <cfRule type="expression" priority="91" dxfId="3" stopIfTrue="1">
      <formula>AND(J4&lt;&gt;"", M4&gt;0, L4=0)</formula>
    </cfRule>
    <cfRule type="expression" priority="98" dxfId="4" stopIfTrue="1">
      <formula>AND(J4&lt;&gt;"", M4&gt;0, L4&lt;0)</formula>
    </cfRule>
    <cfRule type="expression" priority="105" dxfId="5" stopIfTrue="1">
      <formula>AND(J4&lt;&gt;"", M4&gt;0, L4&gt;0, L4&lt;K4)</formula>
    </cfRule>
  </conditionalFormatting>
  <conditionalFormatting sqref="J5">
    <cfRule type="expression" priority="92" dxfId="3" stopIfTrue="1">
      <formula>AND(J5&lt;&gt;"", M5&gt;0, L5=0)</formula>
    </cfRule>
    <cfRule type="expression" priority="99" dxfId="4" stopIfTrue="1">
      <formula>AND(J5&lt;&gt;"", M5&gt;0, L5&lt;0)</formula>
    </cfRule>
    <cfRule type="expression" priority="106" dxfId="5" stopIfTrue="1">
      <formula>AND(J5&lt;&gt;"", M5&gt;0, L5&gt;0, L5&lt;K5)</formula>
    </cfRule>
  </conditionalFormatting>
  <conditionalFormatting sqref="J6">
    <cfRule type="expression" priority="93" dxfId="3" stopIfTrue="1">
      <formula>AND(J6&lt;&gt;"", M6&gt;0, L6=0)</formula>
    </cfRule>
    <cfRule type="expression" priority="100" dxfId="4" stopIfTrue="1">
      <formula>AND(J6&lt;&gt;"", M6&gt;0, L6&lt;0)</formula>
    </cfRule>
    <cfRule type="expression" priority="107" dxfId="5" stopIfTrue="1">
      <formula>AND(J6&lt;&gt;"", M6&gt;0, L6&gt;0, L6&lt;K6)</formula>
    </cfRule>
  </conditionalFormatting>
  <conditionalFormatting sqref="J7">
    <cfRule type="expression" priority="94" dxfId="3" stopIfTrue="1">
      <formula>AND(J7&lt;&gt;"", M7&gt;0, L7=0)</formula>
    </cfRule>
    <cfRule type="expression" priority="101" dxfId="4" stopIfTrue="1">
      <formula>AND(J7&lt;&gt;"", M7&gt;0, L7&lt;0)</formula>
    </cfRule>
    <cfRule type="expression" priority="108" dxfId="5" stopIfTrue="1">
      <formula>AND(J7&lt;&gt;"", M7&gt;0, L7&gt;0, L7&lt;K7)</formula>
    </cfRule>
  </conditionalFormatting>
  <conditionalFormatting sqref="J8">
    <cfRule type="expression" priority="95" dxfId="3" stopIfTrue="1">
      <formula>AND(J8&lt;&gt;"", M8&gt;0, L8=0)</formula>
    </cfRule>
    <cfRule type="expression" priority="102" dxfId="4" stopIfTrue="1">
      <formula>AND(J8&lt;&gt;"", M8&gt;0, L8&lt;0)</formula>
    </cfRule>
    <cfRule type="expression" priority="109" dxfId="5" stopIfTrue="1">
      <formula>AND(J8&lt;&gt;"", M8&gt;0, L8&gt;0, L8&lt;K8)</formula>
    </cfRule>
  </conditionalFormatting>
  <conditionalFormatting sqref="J9">
    <cfRule type="expression" priority="96" dxfId="3" stopIfTrue="1">
      <formula>AND(J9&lt;&gt;"", M9&gt;0, L9=0)</formula>
    </cfRule>
    <cfRule type="expression" priority="103" dxfId="4" stopIfTrue="1">
      <formula>AND(J9&lt;&gt;"", M9&gt;0, L9&lt;0)</formula>
    </cfRule>
    <cfRule type="expression" priority="110" dxfId="5" stopIfTrue="1">
      <formula>AND(J9&lt;&gt;"", M9&gt;0, L9&gt;0, L9&lt;K9)</formula>
    </cfRule>
  </conditionalFormatting>
  <conditionalFormatting sqref="J10">
    <cfRule type="expression" priority="97" dxfId="3" stopIfTrue="1">
      <formula>AND(J10&lt;&gt;"", M10&gt;0, L10=0)</formula>
    </cfRule>
    <cfRule type="expression" priority="104" dxfId="4" stopIfTrue="1">
      <formula>AND(J10&lt;&gt;"", M10&gt;0, L10&lt;0)</formula>
    </cfRule>
    <cfRule type="expression" priority="111" dxfId="5" stopIfTrue="1">
      <formula>AND(J10&lt;&gt;"", M10&gt;0, L10&gt;0, L10&lt;K10)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 xml:space="preserve">Grupo </t>
        </is>
      </c>
      <c r="B1" t="inlineStr">
        <is>
          <t>M211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s="1" t="inlineStr"/>
      <c r="C3" s="1" t="inlineStr">
        <is>
          <t>Lunes</t>
        </is>
      </c>
      <c r="D3" s="1" t="inlineStr">
        <is>
          <t>Martes</t>
        </is>
      </c>
      <c r="E3" s="1" t="inlineStr">
        <is>
          <t>Miércoles</t>
        </is>
      </c>
      <c r="F3" s="1" t="inlineStr">
        <is>
          <t>Jueves</t>
        </is>
      </c>
      <c r="G3" s="1" t="inlineStr">
        <is>
          <t>Viernes</t>
        </is>
      </c>
      <c r="H3" t="inlineStr"/>
      <c r="I3" s="2" t="inlineStr">
        <is>
          <t>Abrev</t>
        </is>
      </c>
      <c r="J3" s="1" t="inlineStr">
        <is>
          <t>Asignaturas</t>
        </is>
      </c>
      <c r="K3" s="1" t="inlineStr">
        <is>
          <t>Frec</t>
        </is>
      </c>
      <c r="L3" s="1" t="inlineStr">
        <is>
          <t>Faltan</t>
        </is>
      </c>
      <c r="M3" s="1" t="inlineStr">
        <is>
          <t>Asignadas</t>
        </is>
      </c>
      <c r="N3" t="inlineStr"/>
      <c r="O3" t="inlineStr">
        <is>
          <t>Aulas</t>
        </is>
      </c>
    </row>
    <row r="4">
      <c r="A4" t="inlineStr"/>
      <c r="B4" s="3" t="inlineStr">
        <is>
          <t>Turno 1</t>
        </is>
      </c>
      <c r="C4" s="4" t="inlineStr"/>
      <c r="D4" s="4" t="inlineStr"/>
      <c r="E4" s="4" t="inlineStr"/>
      <c r="F4" s="4" t="inlineStr"/>
      <c r="G4" s="4" t="inlineStr"/>
      <c r="H4" t="inlineStr"/>
      <c r="I4" s="2" t="inlineStr">
        <is>
          <t>FVV</t>
        </is>
      </c>
      <c r="J4" s="1" t="inlineStr">
        <is>
          <t>Funciones de Varias Variables</t>
        </is>
      </c>
      <c r="K4" s="1" t="n">
        <v>4</v>
      </c>
      <c r="L4" s="1">
        <f>K4-M4</f>
        <v/>
      </c>
      <c r="M4" s="1">
        <f>COUNTIF($C$4:$G$15,I4)</f>
        <v/>
      </c>
      <c r="N4" t="inlineStr"/>
      <c r="O4" s="1" t="inlineStr">
        <is>
          <t>c 3</t>
        </is>
      </c>
    </row>
    <row r="5">
      <c r="A5" t="inlineStr"/>
      <c r="B5" s="5" t="n"/>
      <c r="C5" s="6" t="inlineStr"/>
      <c r="D5" s="6" t="inlineStr"/>
      <c r="E5" s="6" t="inlineStr"/>
      <c r="F5" s="6" t="inlineStr"/>
      <c r="G5" s="6" t="inlineStr"/>
      <c r="H5" t="inlineStr"/>
      <c r="I5" s="2" t="inlineStr">
        <is>
          <t>CAL</t>
        </is>
      </c>
      <c r="J5" s="1" t="inlineStr">
        <is>
          <t>Complementos de Álgebra Lineal</t>
        </is>
      </c>
      <c r="K5" s="1" t="n">
        <v>3</v>
      </c>
      <c r="L5" s="1">
        <f>K5-M5</f>
        <v/>
      </c>
      <c r="M5" s="1">
        <f>COUNTIF($C$4:$G$15,I5)</f>
        <v/>
      </c>
      <c r="N5" t="inlineStr"/>
      <c r="O5" s="1" t="inlineStr">
        <is>
          <t>c 7</t>
        </is>
      </c>
    </row>
    <row r="6">
      <c r="A6" t="inlineStr"/>
      <c r="B6" s="3" t="inlineStr">
        <is>
          <t>Turno 2</t>
        </is>
      </c>
      <c r="C6" s="4" t="inlineStr"/>
      <c r="D6" s="4" t="inlineStr"/>
      <c r="E6" s="4" t="inlineStr"/>
      <c r="F6" s="4" t="inlineStr"/>
      <c r="G6" s="4" t="inlineStr"/>
      <c r="H6" t="inlineStr"/>
      <c r="I6" s="2" t="inlineStr">
        <is>
          <t>SP2</t>
        </is>
      </c>
      <c r="J6" s="1" t="inlineStr">
        <is>
          <t>Seminario de Problemas II</t>
        </is>
      </c>
      <c r="K6" s="1" t="n">
        <v>2</v>
      </c>
      <c r="L6" s="1">
        <f>K6-M6</f>
        <v/>
      </c>
      <c r="M6" s="1">
        <f>COUNTIF($C$4:$G$15,I6)</f>
        <v/>
      </c>
      <c r="N6" t="inlineStr">
        <is>
          <t>Total:</t>
        </is>
      </c>
      <c r="O6">
        <f>COUNTA(O4:O5)</f>
        <v/>
      </c>
    </row>
    <row r="7">
      <c r="A7" t="inlineStr"/>
      <c r="B7" s="5" t="n"/>
      <c r="C7" s="6" t="inlineStr"/>
      <c r="D7" s="6" t="inlineStr"/>
      <c r="E7" s="6" t="inlineStr"/>
      <c r="F7" s="6" t="inlineStr"/>
      <c r="G7" s="6" t="inlineStr"/>
      <c r="H7" t="inlineStr"/>
      <c r="I7" s="2" t="inlineStr">
        <is>
          <t>AE</t>
        </is>
      </c>
      <c r="J7" s="1" t="inlineStr">
        <is>
          <t>Asignatura Electiva I</t>
        </is>
      </c>
      <c r="K7" s="1" t="n">
        <v>2</v>
      </c>
      <c r="L7" s="1">
        <f>K7-M7</f>
        <v/>
      </c>
      <c r="M7" s="1">
        <f>COUNTIF($C$4:$G$15,I7)</f>
        <v/>
      </c>
      <c r="N7" t="inlineStr"/>
      <c r="O7" t="inlineStr"/>
    </row>
    <row r="8">
      <c r="A8" t="inlineStr"/>
      <c r="B8" s="3" t="inlineStr">
        <is>
          <t>Turno 3</t>
        </is>
      </c>
      <c r="C8" s="4" t="inlineStr">
        <is>
          <t>CAL</t>
        </is>
      </c>
      <c r="D8" s="4" t="inlineStr">
        <is>
          <t>CAL</t>
        </is>
      </c>
      <c r="E8" s="4" t="inlineStr"/>
      <c r="F8" s="4" t="inlineStr"/>
      <c r="G8" s="4" t="inlineStr"/>
      <c r="H8" t="inlineStr"/>
      <c r="I8" s="2" t="inlineStr">
        <is>
          <t>EP</t>
        </is>
      </c>
      <c r="J8" s="1" t="inlineStr">
        <is>
          <t>Economía Política</t>
        </is>
      </c>
      <c r="K8" s="1" t="n">
        <v>2</v>
      </c>
      <c r="L8" s="1">
        <f>K8-M8</f>
        <v/>
      </c>
      <c r="M8" s="1">
        <f>COUNTIF($C$4:$G$15,I8)</f>
        <v/>
      </c>
      <c r="N8" t="inlineStr"/>
      <c r="O8" t="inlineStr"/>
    </row>
    <row r="9">
      <c r="A9" t="inlineStr"/>
      <c r="B9" s="5" t="n"/>
      <c r="C9" s="6" t="inlineStr">
        <is>
          <t>c 3</t>
        </is>
      </c>
      <c r="D9" s="6" t="inlineStr">
        <is>
          <t>c 3</t>
        </is>
      </c>
      <c r="E9" s="6" t="inlineStr"/>
      <c r="F9" s="6" t="inlineStr"/>
      <c r="G9" s="6" t="inlineStr"/>
      <c r="H9" t="inlineStr"/>
      <c r="I9" s="2" t="inlineStr">
        <is>
          <t>EF</t>
        </is>
      </c>
      <c r="J9" s="1" t="inlineStr">
        <is>
          <t>Educación Física III</t>
        </is>
      </c>
      <c r="K9" s="1" t="n">
        <v>2</v>
      </c>
      <c r="L9" s="1">
        <f>K9-M9</f>
        <v/>
      </c>
      <c r="M9" s="1">
        <f>COUNTIF($C$4:$G$15,I9)</f>
        <v/>
      </c>
      <c r="N9" t="inlineStr"/>
      <c r="O9" t="inlineStr"/>
    </row>
    <row r="10">
      <c r="A10" t="inlineStr"/>
      <c r="B10" s="3" t="inlineStr">
        <is>
          <t>Turno 4</t>
        </is>
      </c>
      <c r="C10" s="4" t="inlineStr">
        <is>
          <t>FVV</t>
        </is>
      </c>
      <c r="D10" s="4" t="inlineStr">
        <is>
          <t>FVV</t>
        </is>
      </c>
      <c r="E10" s="4" t="inlineStr">
        <is>
          <t>FVV</t>
        </is>
      </c>
      <c r="F10" s="4" t="inlineStr">
        <is>
          <t>CAL</t>
        </is>
      </c>
      <c r="G10" s="4" t="inlineStr"/>
      <c r="H10" t="inlineStr"/>
      <c r="I10" t="inlineStr"/>
      <c r="J10" t="inlineStr"/>
      <c r="K10" t="inlineStr"/>
      <c r="L10" t="inlineStr">
        <is>
          <t>Total:</t>
        </is>
      </c>
      <c r="M10">
        <f>COUNTA(I4:I9)</f>
        <v/>
      </c>
      <c r="N10" t="inlineStr"/>
      <c r="O10" t="inlineStr"/>
    </row>
    <row r="11">
      <c r="A11" t="inlineStr"/>
      <c r="B11" s="5" t="n"/>
      <c r="C11" s="6" t="inlineStr">
        <is>
          <t>c 3</t>
        </is>
      </c>
      <c r="D11" s="6" t="inlineStr">
        <is>
          <t>c 3</t>
        </is>
      </c>
      <c r="E11" s="6" t="inlineStr">
        <is>
          <t>cp 3</t>
        </is>
      </c>
      <c r="F11" s="6" t="inlineStr">
        <is>
          <t>cp 3</t>
        </is>
      </c>
      <c r="G11" s="6" t="inlineStr"/>
      <c r="H11" t="inlineStr"/>
      <c r="I11" t="inlineStr"/>
      <c r="J11" t="inlineStr"/>
      <c r="K11" t="inlineStr"/>
      <c r="L11" t="inlineStr">
        <is>
          <t>Σ Frec:</t>
        </is>
      </c>
      <c r="M11">
        <f>SUM(K4:K9)</f>
        <v/>
      </c>
      <c r="N11" t="inlineStr"/>
      <c r="O11" t="inlineStr"/>
    </row>
    <row r="12">
      <c r="A12" t="inlineStr"/>
      <c r="B12" s="3" t="inlineStr">
        <is>
          <t>Turno 5</t>
        </is>
      </c>
      <c r="C12" s="4" t="inlineStr">
        <is>
          <t>EP</t>
        </is>
      </c>
      <c r="D12" s="4" t="inlineStr">
        <is>
          <t>EP</t>
        </is>
      </c>
      <c r="E12" s="4" t="inlineStr">
        <is>
          <t>FVV</t>
        </is>
      </c>
      <c r="F12" s="4" t="inlineStr"/>
      <c r="G12" s="4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/>
      <c r="B13" s="5" t="n"/>
      <c r="C13" s="6" t="inlineStr">
        <is>
          <t>c 7</t>
        </is>
      </c>
      <c r="D13" s="6" t="inlineStr">
        <is>
          <t>c 7</t>
        </is>
      </c>
      <c r="E13" s="6" t="inlineStr">
        <is>
          <t>cp 3</t>
        </is>
      </c>
      <c r="F13" s="6" t="inlineStr"/>
      <c r="G13" s="6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/>
      <c r="B14" s="3" t="inlineStr">
        <is>
          <t>Turno 6</t>
        </is>
      </c>
      <c r="C14" s="4" t="inlineStr">
        <is>
          <t>EF 4:45pm a 5:35pm</t>
        </is>
      </c>
      <c r="D14" s="4" t="inlineStr">
        <is>
          <t>SP</t>
        </is>
      </c>
      <c r="E14" s="4" t="inlineStr"/>
      <c r="F14" s="4" t="inlineStr"/>
      <c r="G14" s="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/>
      <c r="B15" s="5" t="n"/>
      <c r="C15" s="6" t="inlineStr"/>
      <c r="D15" s="6" t="inlineStr">
        <is>
          <t>2</t>
        </is>
      </c>
      <c r="E15" s="6" t="inlineStr"/>
      <c r="F15" s="6" t="inlineStr"/>
      <c r="G15" s="6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F16" t="inlineStr">
        <is>
          <t>Ocupados:</t>
        </is>
      </c>
      <c r="G16">
        <f>COUNTA(C4:G15)/2</f>
        <v/>
      </c>
    </row>
  </sheetData>
  <mergeCells count="6">
    <mergeCell ref="B4:B5"/>
    <mergeCell ref="B12:B13"/>
    <mergeCell ref="B8:B9"/>
    <mergeCell ref="B10:B11"/>
    <mergeCell ref="B6:B7"/>
    <mergeCell ref="B14:B15"/>
  </mergeCells>
  <conditionalFormatting sqref="C4">
    <cfRule type="expression" priority="1" dxfId="0" stopIfTrue="1">
      <formula>AND(C4&lt;&gt;"", COUNTIF($I4:I9,C4)=0)</formula>
    </cfRule>
  </conditionalFormatting>
  <conditionalFormatting sqref="D4">
    <cfRule type="expression" priority="2" dxfId="0" stopIfTrue="1">
      <formula>AND(D4&lt;&gt;"", COUNTIF($I4:I9,D4)=0)</formula>
    </cfRule>
  </conditionalFormatting>
  <conditionalFormatting sqref="E4">
    <cfRule type="expression" priority="3" dxfId="0" stopIfTrue="1">
      <formula>AND(E4&lt;&gt;"", COUNTIF($I4:I9,E4)=0)</formula>
    </cfRule>
  </conditionalFormatting>
  <conditionalFormatting sqref="F4">
    <cfRule type="expression" priority="4" dxfId="0" stopIfTrue="1">
      <formula>AND(F4&lt;&gt;"", COUNTIF($I4:I9,F4)=0)</formula>
    </cfRule>
  </conditionalFormatting>
  <conditionalFormatting sqref="G4">
    <cfRule type="expression" priority="5" dxfId="0" stopIfTrue="1">
      <formula>AND(G4&lt;&gt;"", COUNTIF($I4:I9,G4)=0)</formula>
    </cfRule>
  </conditionalFormatting>
  <conditionalFormatting sqref="C6">
    <cfRule type="expression" priority="6" dxfId="0" stopIfTrue="1">
      <formula>AND(C6&lt;&gt;"", COUNTIF($I4:I9,C6)=0)</formula>
    </cfRule>
  </conditionalFormatting>
  <conditionalFormatting sqref="D6">
    <cfRule type="expression" priority="7" dxfId="0" stopIfTrue="1">
      <formula>AND(D6&lt;&gt;"", COUNTIF($I4:I9,D6)=0)</formula>
    </cfRule>
  </conditionalFormatting>
  <conditionalFormatting sqref="E6">
    <cfRule type="expression" priority="8" dxfId="0" stopIfTrue="1">
      <formula>AND(E6&lt;&gt;"", COUNTIF($I4:I9,E6)=0)</formula>
    </cfRule>
  </conditionalFormatting>
  <conditionalFormatting sqref="F6">
    <cfRule type="expression" priority="9" dxfId="0" stopIfTrue="1">
      <formula>AND(F6&lt;&gt;"", COUNTIF($I4:I9,F6)=0)</formula>
    </cfRule>
  </conditionalFormatting>
  <conditionalFormatting sqref="G6">
    <cfRule type="expression" priority="10" dxfId="0" stopIfTrue="1">
      <formula>AND(G6&lt;&gt;"", COUNTIF($I4:I9,G6)=0)</formula>
    </cfRule>
  </conditionalFormatting>
  <conditionalFormatting sqref="C8">
    <cfRule type="expression" priority="11" dxfId="0" stopIfTrue="1">
      <formula>AND(C8&lt;&gt;"", COUNTIF($I4:I9,C8)=0)</formula>
    </cfRule>
  </conditionalFormatting>
  <conditionalFormatting sqref="D8">
    <cfRule type="expression" priority="12" dxfId="0" stopIfTrue="1">
      <formula>AND(D8&lt;&gt;"", COUNTIF($I4:I9,D8)=0)</formula>
    </cfRule>
  </conditionalFormatting>
  <conditionalFormatting sqref="E8">
    <cfRule type="expression" priority="13" dxfId="0" stopIfTrue="1">
      <formula>AND(E8&lt;&gt;"", COUNTIF($I4:I9,E8)=0)</formula>
    </cfRule>
  </conditionalFormatting>
  <conditionalFormatting sqref="F8">
    <cfRule type="expression" priority="14" dxfId="0" stopIfTrue="1">
      <formula>AND(F8&lt;&gt;"", COUNTIF($I4:I9,F8)=0)</formula>
    </cfRule>
  </conditionalFormatting>
  <conditionalFormatting sqref="G8">
    <cfRule type="expression" priority="15" dxfId="0" stopIfTrue="1">
      <formula>AND(G8&lt;&gt;"", COUNTIF($I4:I9,G8)=0)</formula>
    </cfRule>
  </conditionalFormatting>
  <conditionalFormatting sqref="C10">
    <cfRule type="expression" priority="16" dxfId="0" stopIfTrue="1">
      <formula>AND(C10&lt;&gt;"", COUNTIF($I4:I9,C10)=0)</formula>
    </cfRule>
  </conditionalFormatting>
  <conditionalFormatting sqref="D10">
    <cfRule type="expression" priority="17" dxfId="0" stopIfTrue="1">
      <formula>AND(D10&lt;&gt;"", COUNTIF($I4:I9,D10)=0)</formula>
    </cfRule>
  </conditionalFormatting>
  <conditionalFormatting sqref="E10">
    <cfRule type="expression" priority="18" dxfId="0" stopIfTrue="1">
      <formula>AND(E10&lt;&gt;"", COUNTIF($I4:I9,E10)=0)</formula>
    </cfRule>
  </conditionalFormatting>
  <conditionalFormatting sqref="F10">
    <cfRule type="expression" priority="19" dxfId="0" stopIfTrue="1">
      <formula>AND(F10&lt;&gt;"", COUNTIF($I4:I9,F10)=0)</formula>
    </cfRule>
  </conditionalFormatting>
  <conditionalFormatting sqref="G10">
    <cfRule type="expression" priority="20" dxfId="0" stopIfTrue="1">
      <formula>AND(G10&lt;&gt;"", COUNTIF($I4:I9,G10)=0)</formula>
    </cfRule>
  </conditionalFormatting>
  <conditionalFormatting sqref="C12">
    <cfRule type="expression" priority="21" dxfId="0" stopIfTrue="1">
      <formula>AND(C12&lt;&gt;"", COUNTIF($I4:I9,C12)=0)</formula>
    </cfRule>
  </conditionalFormatting>
  <conditionalFormatting sqref="D12">
    <cfRule type="expression" priority="22" dxfId="0" stopIfTrue="1">
      <formula>AND(D12&lt;&gt;"", COUNTIF($I4:I9,D12)=0)</formula>
    </cfRule>
  </conditionalFormatting>
  <conditionalFormatting sqref="E12">
    <cfRule type="expression" priority="23" dxfId="0" stopIfTrue="1">
      <formula>AND(E12&lt;&gt;"", COUNTIF($I4:I9,E12)=0)</formula>
    </cfRule>
  </conditionalFormatting>
  <conditionalFormatting sqref="F12">
    <cfRule type="expression" priority="24" dxfId="0" stopIfTrue="1">
      <formula>AND(F12&lt;&gt;"", COUNTIF($I4:I9,F12)=0)</formula>
    </cfRule>
  </conditionalFormatting>
  <conditionalFormatting sqref="G12">
    <cfRule type="expression" priority="25" dxfId="0" stopIfTrue="1">
      <formula>AND(G12&lt;&gt;"", COUNTIF($I4:I9,G12)=0)</formula>
    </cfRule>
  </conditionalFormatting>
  <conditionalFormatting sqref="C14">
    <cfRule type="expression" priority="26" dxfId="0" stopIfTrue="1">
      <formula>AND(C14&lt;&gt;"", COUNTIF($I4:I9,C14)=0)</formula>
    </cfRule>
  </conditionalFormatting>
  <conditionalFormatting sqref="D14">
    <cfRule type="expression" priority="27" dxfId="0" stopIfTrue="1">
      <formula>AND(D14&lt;&gt;"", COUNTIF($I4:I9,D14)=0)</formula>
    </cfRule>
  </conditionalFormatting>
  <conditionalFormatting sqref="E14">
    <cfRule type="expression" priority="28" dxfId="0" stopIfTrue="1">
      <formula>AND(E14&lt;&gt;"", COUNTIF($I4:I9,E14)=0)</formula>
    </cfRule>
  </conditionalFormatting>
  <conditionalFormatting sqref="F14">
    <cfRule type="expression" priority="29" dxfId="0" stopIfTrue="1">
      <formula>AND(F14&lt;&gt;"", COUNTIF($I4:I9,F14)=0)</formula>
    </cfRule>
  </conditionalFormatting>
  <conditionalFormatting sqref="G14">
    <cfRule type="expression" priority="30" dxfId="0" stopIfTrue="1">
      <formula>AND(G14&lt;&gt;"", COUNTIF($I4:I9,G14)=0)</formula>
    </cfRule>
  </conditionalFormatting>
  <conditionalFormatting sqref="C5">
    <cfRule type="expression" priority="31" dxfId="1" stopIfTrue="1">
      <formula>AND(C5&lt;&gt;"", COUNTIF($O4:O5,C5)=0)</formula>
    </cfRule>
    <cfRule type="expression" priority="61" dxfId="2" stopIfTrue="1">
      <formula>AND(C4&lt;&gt;"", C5="")</formula>
    </cfRule>
  </conditionalFormatting>
  <conditionalFormatting sqref="D5">
    <cfRule type="expression" priority="32" dxfId="1" stopIfTrue="1">
      <formula>AND(D5&lt;&gt;"", COUNTIF($O4:O5,D5)=0)</formula>
    </cfRule>
    <cfRule type="expression" priority="62" dxfId="2" stopIfTrue="1">
      <formula>AND(D4&lt;&gt;"", D5="")</formula>
    </cfRule>
  </conditionalFormatting>
  <conditionalFormatting sqref="E5">
    <cfRule type="expression" priority="33" dxfId="1" stopIfTrue="1">
      <formula>AND(E5&lt;&gt;"", COUNTIF($O4:O5,E5)=0)</formula>
    </cfRule>
    <cfRule type="expression" priority="63" dxfId="2" stopIfTrue="1">
      <formula>AND(E4&lt;&gt;"", E5="")</formula>
    </cfRule>
  </conditionalFormatting>
  <conditionalFormatting sqref="F5">
    <cfRule type="expression" priority="34" dxfId="1" stopIfTrue="1">
      <formula>AND(F5&lt;&gt;"", COUNTIF($O4:O5,F5)=0)</formula>
    </cfRule>
    <cfRule type="expression" priority="64" dxfId="2" stopIfTrue="1">
      <formula>AND(F4&lt;&gt;"", F5="")</formula>
    </cfRule>
  </conditionalFormatting>
  <conditionalFormatting sqref="G5">
    <cfRule type="expression" priority="35" dxfId="1" stopIfTrue="1">
      <formula>AND(G5&lt;&gt;"", COUNTIF($O4:O5,G5)=0)</formula>
    </cfRule>
    <cfRule type="expression" priority="65" dxfId="2" stopIfTrue="1">
      <formula>AND(G4&lt;&gt;"", G5="")</formula>
    </cfRule>
  </conditionalFormatting>
  <conditionalFormatting sqref="C7">
    <cfRule type="expression" priority="36" dxfId="1" stopIfTrue="1">
      <formula>AND(C7&lt;&gt;"", COUNTIF($O4:O5,C7)=0)</formula>
    </cfRule>
    <cfRule type="expression" priority="66" dxfId="2" stopIfTrue="1">
      <formula>AND(C6&lt;&gt;"", C7="")</formula>
    </cfRule>
  </conditionalFormatting>
  <conditionalFormatting sqref="D7">
    <cfRule type="expression" priority="37" dxfId="1" stopIfTrue="1">
      <formula>AND(D7&lt;&gt;"", COUNTIF($O4:O5,D7)=0)</formula>
    </cfRule>
    <cfRule type="expression" priority="67" dxfId="2" stopIfTrue="1">
      <formula>AND(D6&lt;&gt;"", D7="")</formula>
    </cfRule>
  </conditionalFormatting>
  <conditionalFormatting sqref="E7">
    <cfRule type="expression" priority="38" dxfId="1" stopIfTrue="1">
      <formula>AND(E7&lt;&gt;"", COUNTIF($O4:O5,E7)=0)</formula>
    </cfRule>
    <cfRule type="expression" priority="68" dxfId="2" stopIfTrue="1">
      <formula>AND(E6&lt;&gt;"", E7="")</formula>
    </cfRule>
  </conditionalFormatting>
  <conditionalFormatting sqref="F7">
    <cfRule type="expression" priority="39" dxfId="1" stopIfTrue="1">
      <formula>AND(F7&lt;&gt;"", COUNTIF($O4:O5,F7)=0)</formula>
    </cfRule>
    <cfRule type="expression" priority="69" dxfId="2" stopIfTrue="1">
      <formula>AND(F6&lt;&gt;"", F7="")</formula>
    </cfRule>
  </conditionalFormatting>
  <conditionalFormatting sqref="G7">
    <cfRule type="expression" priority="40" dxfId="1" stopIfTrue="1">
      <formula>AND(G7&lt;&gt;"", COUNTIF($O4:O5,G7)=0)</formula>
    </cfRule>
    <cfRule type="expression" priority="70" dxfId="2" stopIfTrue="1">
      <formula>AND(G6&lt;&gt;"", G7="")</formula>
    </cfRule>
  </conditionalFormatting>
  <conditionalFormatting sqref="C9">
    <cfRule type="expression" priority="41" dxfId="1" stopIfTrue="1">
      <formula>AND(C9&lt;&gt;"", COUNTIF($O4:O5,C9)=0)</formula>
    </cfRule>
    <cfRule type="expression" priority="71" dxfId="2" stopIfTrue="1">
      <formula>AND(C8&lt;&gt;"", C9="")</formula>
    </cfRule>
  </conditionalFormatting>
  <conditionalFormatting sqref="D9">
    <cfRule type="expression" priority="42" dxfId="1" stopIfTrue="1">
      <formula>AND(D9&lt;&gt;"", COUNTIF($O4:O5,D9)=0)</formula>
    </cfRule>
    <cfRule type="expression" priority="72" dxfId="2" stopIfTrue="1">
      <formula>AND(D8&lt;&gt;"", D9="")</formula>
    </cfRule>
  </conditionalFormatting>
  <conditionalFormatting sqref="E9">
    <cfRule type="expression" priority="43" dxfId="1" stopIfTrue="1">
      <formula>AND(E9&lt;&gt;"", COUNTIF($O4:O5,E9)=0)</formula>
    </cfRule>
    <cfRule type="expression" priority="73" dxfId="2" stopIfTrue="1">
      <formula>AND(E8&lt;&gt;"", E9="")</formula>
    </cfRule>
  </conditionalFormatting>
  <conditionalFormatting sqref="F9">
    <cfRule type="expression" priority="44" dxfId="1" stopIfTrue="1">
      <formula>AND(F9&lt;&gt;"", COUNTIF($O4:O5,F9)=0)</formula>
    </cfRule>
    <cfRule type="expression" priority="74" dxfId="2" stopIfTrue="1">
      <formula>AND(F8&lt;&gt;"", F9="")</formula>
    </cfRule>
  </conditionalFormatting>
  <conditionalFormatting sqref="G9">
    <cfRule type="expression" priority="45" dxfId="1" stopIfTrue="1">
      <formula>AND(G9&lt;&gt;"", COUNTIF($O4:O5,G9)=0)</formula>
    </cfRule>
    <cfRule type="expression" priority="75" dxfId="2" stopIfTrue="1">
      <formula>AND(G8&lt;&gt;"", G9="")</formula>
    </cfRule>
  </conditionalFormatting>
  <conditionalFormatting sqref="C11">
    <cfRule type="expression" priority="46" dxfId="1" stopIfTrue="1">
      <formula>AND(C11&lt;&gt;"", COUNTIF($O4:O5,C11)=0)</formula>
    </cfRule>
    <cfRule type="expression" priority="76" dxfId="2" stopIfTrue="1">
      <formula>AND(C10&lt;&gt;"", C11="")</formula>
    </cfRule>
  </conditionalFormatting>
  <conditionalFormatting sqref="D11">
    <cfRule type="expression" priority="47" dxfId="1" stopIfTrue="1">
      <formula>AND(D11&lt;&gt;"", COUNTIF($O4:O5,D11)=0)</formula>
    </cfRule>
    <cfRule type="expression" priority="77" dxfId="2" stopIfTrue="1">
      <formula>AND(D10&lt;&gt;"", D11="")</formula>
    </cfRule>
  </conditionalFormatting>
  <conditionalFormatting sqref="E11">
    <cfRule type="expression" priority="48" dxfId="1" stopIfTrue="1">
      <formula>AND(E11&lt;&gt;"", COUNTIF($O4:O5,E11)=0)</formula>
    </cfRule>
    <cfRule type="expression" priority="78" dxfId="2" stopIfTrue="1">
      <formula>AND(E10&lt;&gt;"", E11="")</formula>
    </cfRule>
  </conditionalFormatting>
  <conditionalFormatting sqref="F11">
    <cfRule type="expression" priority="49" dxfId="1" stopIfTrue="1">
      <formula>AND(F11&lt;&gt;"", COUNTIF($O4:O5,F11)=0)</formula>
    </cfRule>
    <cfRule type="expression" priority="79" dxfId="2" stopIfTrue="1">
      <formula>AND(F10&lt;&gt;"", F11="")</formula>
    </cfRule>
  </conditionalFormatting>
  <conditionalFormatting sqref="G11">
    <cfRule type="expression" priority="50" dxfId="1" stopIfTrue="1">
      <formula>AND(G11&lt;&gt;"", COUNTIF($O4:O5,G11)=0)</formula>
    </cfRule>
    <cfRule type="expression" priority="80" dxfId="2" stopIfTrue="1">
      <formula>AND(G10&lt;&gt;"", G11="")</formula>
    </cfRule>
  </conditionalFormatting>
  <conditionalFormatting sqref="C13">
    <cfRule type="expression" priority="51" dxfId="1" stopIfTrue="1">
      <formula>AND(C13&lt;&gt;"", COUNTIF($O4:O5,C13)=0)</formula>
    </cfRule>
    <cfRule type="expression" priority="81" dxfId="2" stopIfTrue="1">
      <formula>AND(C12&lt;&gt;"", C13="")</formula>
    </cfRule>
  </conditionalFormatting>
  <conditionalFormatting sqref="D13">
    <cfRule type="expression" priority="52" dxfId="1" stopIfTrue="1">
      <formula>AND(D13&lt;&gt;"", COUNTIF($O4:O5,D13)=0)</formula>
    </cfRule>
    <cfRule type="expression" priority="82" dxfId="2" stopIfTrue="1">
      <formula>AND(D12&lt;&gt;"", D13="")</formula>
    </cfRule>
  </conditionalFormatting>
  <conditionalFormatting sqref="E13">
    <cfRule type="expression" priority="53" dxfId="1" stopIfTrue="1">
      <formula>AND(E13&lt;&gt;"", COUNTIF($O4:O5,E13)=0)</formula>
    </cfRule>
    <cfRule type="expression" priority="83" dxfId="2" stopIfTrue="1">
      <formula>AND(E12&lt;&gt;"", E13="")</formula>
    </cfRule>
  </conditionalFormatting>
  <conditionalFormatting sqref="F13">
    <cfRule type="expression" priority="54" dxfId="1" stopIfTrue="1">
      <formula>AND(F13&lt;&gt;"", COUNTIF($O4:O5,F13)=0)</formula>
    </cfRule>
    <cfRule type="expression" priority="84" dxfId="2" stopIfTrue="1">
      <formula>AND(F12&lt;&gt;"", F13="")</formula>
    </cfRule>
  </conditionalFormatting>
  <conditionalFormatting sqref="G13">
    <cfRule type="expression" priority="55" dxfId="1" stopIfTrue="1">
      <formula>AND(G13&lt;&gt;"", COUNTIF($O4:O5,G13)=0)</formula>
    </cfRule>
    <cfRule type="expression" priority="85" dxfId="2" stopIfTrue="1">
      <formula>AND(G12&lt;&gt;"", G13="")</formula>
    </cfRule>
  </conditionalFormatting>
  <conditionalFormatting sqref="C15">
    <cfRule type="expression" priority="56" dxfId="1" stopIfTrue="1">
      <formula>AND(C15&lt;&gt;"", COUNTIF($O4:O5,C15)=0)</formula>
    </cfRule>
    <cfRule type="expression" priority="86" dxfId="2" stopIfTrue="1">
      <formula>AND(C14&lt;&gt;"", C15="")</formula>
    </cfRule>
  </conditionalFormatting>
  <conditionalFormatting sqref="D15">
    <cfRule type="expression" priority="57" dxfId="1" stopIfTrue="1">
      <formula>AND(D15&lt;&gt;"", COUNTIF($O4:O5,D15)=0)</formula>
    </cfRule>
    <cfRule type="expression" priority="87" dxfId="2" stopIfTrue="1">
      <formula>AND(D14&lt;&gt;"", D15="")</formula>
    </cfRule>
  </conditionalFormatting>
  <conditionalFormatting sqref="E15">
    <cfRule type="expression" priority="58" dxfId="1" stopIfTrue="1">
      <formula>AND(E15&lt;&gt;"", COUNTIF($O4:O5,E15)=0)</formula>
    </cfRule>
    <cfRule type="expression" priority="88" dxfId="2" stopIfTrue="1">
      <formula>AND(E14&lt;&gt;"", E15="")</formula>
    </cfRule>
  </conditionalFormatting>
  <conditionalFormatting sqref="F15">
    <cfRule type="expression" priority="59" dxfId="1" stopIfTrue="1">
      <formula>AND(F15&lt;&gt;"", COUNTIF($O4:O5,F15)=0)</formula>
    </cfRule>
    <cfRule type="expression" priority="89" dxfId="2" stopIfTrue="1">
      <formula>AND(F14&lt;&gt;"", F15="")</formula>
    </cfRule>
  </conditionalFormatting>
  <conditionalFormatting sqref="G15">
    <cfRule type="expression" priority="60" dxfId="1" stopIfTrue="1">
      <formula>AND(G15&lt;&gt;"", COUNTIF($O4:O5,G15)=0)</formula>
    </cfRule>
    <cfRule type="expression" priority="90" dxfId="2" stopIfTrue="1">
      <formula>AND(G14&lt;&gt;"", G15="")</formula>
    </cfRule>
  </conditionalFormatting>
  <conditionalFormatting sqref="J4">
    <cfRule type="expression" priority="91" dxfId="3" stopIfTrue="1">
      <formula>AND(J4&lt;&gt;"", M4&gt;0, L4=0)</formula>
    </cfRule>
    <cfRule type="expression" priority="97" dxfId="4" stopIfTrue="1">
      <formula>AND(J4&lt;&gt;"", M4&gt;0, L4&lt;0)</formula>
    </cfRule>
    <cfRule type="expression" priority="103" dxfId="5" stopIfTrue="1">
      <formula>AND(J4&lt;&gt;"", M4&gt;0, L4&gt;0, L4&lt;K4)</formula>
    </cfRule>
  </conditionalFormatting>
  <conditionalFormatting sqref="J5">
    <cfRule type="expression" priority="92" dxfId="3" stopIfTrue="1">
      <formula>AND(J5&lt;&gt;"", M5&gt;0, L5=0)</formula>
    </cfRule>
    <cfRule type="expression" priority="98" dxfId="4" stopIfTrue="1">
      <formula>AND(J5&lt;&gt;"", M5&gt;0, L5&lt;0)</formula>
    </cfRule>
    <cfRule type="expression" priority="104" dxfId="5" stopIfTrue="1">
      <formula>AND(J5&lt;&gt;"", M5&gt;0, L5&gt;0, L5&lt;K5)</formula>
    </cfRule>
  </conditionalFormatting>
  <conditionalFormatting sqref="J6">
    <cfRule type="expression" priority="93" dxfId="3" stopIfTrue="1">
      <formula>AND(J6&lt;&gt;"", M6&gt;0, L6=0)</formula>
    </cfRule>
    <cfRule type="expression" priority="99" dxfId="4" stopIfTrue="1">
      <formula>AND(J6&lt;&gt;"", M6&gt;0, L6&lt;0)</formula>
    </cfRule>
    <cfRule type="expression" priority="105" dxfId="5" stopIfTrue="1">
      <formula>AND(J6&lt;&gt;"", M6&gt;0, L6&gt;0, L6&lt;K6)</formula>
    </cfRule>
  </conditionalFormatting>
  <conditionalFormatting sqref="J7">
    <cfRule type="expression" priority="94" dxfId="3" stopIfTrue="1">
      <formula>AND(J7&lt;&gt;"", M7&gt;0, L7=0)</formula>
    </cfRule>
    <cfRule type="expression" priority="100" dxfId="4" stopIfTrue="1">
      <formula>AND(J7&lt;&gt;"", M7&gt;0, L7&lt;0)</formula>
    </cfRule>
    <cfRule type="expression" priority="106" dxfId="5" stopIfTrue="1">
      <formula>AND(J7&lt;&gt;"", M7&gt;0, L7&gt;0, L7&lt;K7)</formula>
    </cfRule>
  </conditionalFormatting>
  <conditionalFormatting sqref="J8">
    <cfRule type="expression" priority="95" dxfId="3" stopIfTrue="1">
      <formula>AND(J8&lt;&gt;"", M8&gt;0, L8=0)</formula>
    </cfRule>
    <cfRule type="expression" priority="101" dxfId="4" stopIfTrue="1">
      <formula>AND(J8&lt;&gt;"", M8&gt;0, L8&lt;0)</formula>
    </cfRule>
    <cfRule type="expression" priority="107" dxfId="5" stopIfTrue="1">
      <formula>AND(J8&lt;&gt;"", M8&gt;0, L8&gt;0, L8&lt;K8)</formula>
    </cfRule>
  </conditionalFormatting>
  <conditionalFormatting sqref="J9">
    <cfRule type="expression" priority="96" dxfId="3" stopIfTrue="1">
      <formula>AND(J9&lt;&gt;"", M9&gt;0, L9=0)</formula>
    </cfRule>
    <cfRule type="expression" priority="102" dxfId="4" stopIfTrue="1">
      <formula>AND(J9&lt;&gt;"", M9&gt;0, L9&lt;0)</formula>
    </cfRule>
    <cfRule type="expression" priority="108" dxfId="5" stopIfTrue="1">
      <formula>AND(J9&lt;&gt;"", M9&gt;0, L9&gt;0, L9&lt;K9)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 xml:space="preserve">Grupo </t>
        </is>
      </c>
      <c r="B1" t="inlineStr">
        <is>
          <t>M311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s="1" t="inlineStr"/>
      <c r="C3" s="1" t="inlineStr">
        <is>
          <t>Lunes</t>
        </is>
      </c>
      <c r="D3" s="1" t="inlineStr">
        <is>
          <t>Martes</t>
        </is>
      </c>
      <c r="E3" s="1" t="inlineStr">
        <is>
          <t>Miércoles</t>
        </is>
      </c>
      <c r="F3" s="1" t="inlineStr">
        <is>
          <t>Jueves</t>
        </is>
      </c>
      <c r="G3" s="1" t="inlineStr">
        <is>
          <t>Viernes</t>
        </is>
      </c>
      <c r="H3" t="inlineStr"/>
      <c r="I3" s="2" t="inlineStr">
        <is>
          <t>Abrev</t>
        </is>
      </c>
      <c r="J3" s="1" t="inlineStr">
        <is>
          <t>Asignaturas</t>
        </is>
      </c>
      <c r="K3" s="1" t="inlineStr">
        <is>
          <t>Frec</t>
        </is>
      </c>
      <c r="L3" s="1" t="inlineStr">
        <is>
          <t>Faltan</t>
        </is>
      </c>
      <c r="M3" s="1" t="inlineStr">
        <is>
          <t>Asignadas</t>
        </is>
      </c>
      <c r="N3" t="inlineStr"/>
      <c r="O3" t="inlineStr">
        <is>
          <t>Aulas</t>
        </is>
      </c>
    </row>
    <row r="4">
      <c r="A4" t="inlineStr"/>
      <c r="B4" s="3" t="inlineStr">
        <is>
          <t>Turno 1</t>
        </is>
      </c>
      <c r="C4" s="4" t="inlineStr">
        <is>
          <t>MN</t>
        </is>
      </c>
      <c r="D4" s="4" t="inlineStr">
        <is>
          <t>EDO</t>
        </is>
      </c>
      <c r="E4" s="4" t="inlineStr">
        <is>
          <t>MN</t>
        </is>
      </c>
      <c r="F4" s="4" t="inlineStr">
        <is>
          <t>FV</t>
        </is>
      </c>
      <c r="G4" s="4" t="inlineStr">
        <is>
          <t>FVC</t>
        </is>
      </c>
      <c r="H4" t="inlineStr"/>
      <c r="I4" s="2" t="inlineStr">
        <is>
          <t>FVC</t>
        </is>
      </c>
      <c r="J4" s="1" t="inlineStr">
        <is>
          <t>Funciones de variable Compleja</t>
        </is>
      </c>
      <c r="K4" s="1" t="n">
        <v>2</v>
      </c>
      <c r="L4" s="1">
        <f>K4-M4</f>
        <v/>
      </c>
      <c r="M4" s="1">
        <f>COUNTIF($C$4:$G$15,I4)</f>
        <v/>
      </c>
      <c r="N4" t="inlineStr"/>
      <c r="O4" s="1" t="inlineStr">
        <is>
          <t>Aula 4</t>
        </is>
      </c>
    </row>
    <row r="5">
      <c r="A5" t="inlineStr"/>
      <c r="B5" s="5" t="n"/>
      <c r="C5" s="6" t="inlineStr">
        <is>
          <t>Aula 4</t>
        </is>
      </c>
      <c r="D5" s="6" t="inlineStr">
        <is>
          <t>Aula 4</t>
        </is>
      </c>
      <c r="E5" s="6" t="inlineStr">
        <is>
          <t>4</t>
        </is>
      </c>
      <c r="F5" s="6" t="inlineStr">
        <is>
          <t>C 4</t>
        </is>
      </c>
      <c r="G5" s="6" t="inlineStr">
        <is>
          <t>Aula 4</t>
        </is>
      </c>
      <c r="H5" t="inlineStr"/>
      <c r="I5" s="2" t="inlineStr">
        <is>
          <t>IE</t>
        </is>
      </c>
      <c r="J5" s="1" t="inlineStr">
        <is>
          <t>Inferencia Estadística</t>
        </is>
      </c>
      <c r="K5" s="1" t="n">
        <v>3</v>
      </c>
      <c r="L5" s="1">
        <f>K5-M5</f>
        <v/>
      </c>
      <c r="M5" s="1">
        <f>COUNTIF($C$4:$G$15,I5)</f>
        <v/>
      </c>
      <c r="N5" t="inlineStr">
        <is>
          <t>Total:</t>
        </is>
      </c>
      <c r="O5">
        <f>COUNTA(O4:O4)</f>
        <v/>
      </c>
    </row>
    <row r="6">
      <c r="A6" t="inlineStr"/>
      <c r="B6" s="3" t="inlineStr">
        <is>
          <t>Turno 2</t>
        </is>
      </c>
      <c r="C6" s="4" t="inlineStr">
        <is>
          <t>FVC</t>
        </is>
      </c>
      <c r="D6" s="4" t="inlineStr">
        <is>
          <t>OM</t>
        </is>
      </c>
      <c r="E6" s="4" t="inlineStr">
        <is>
          <t>EDO</t>
        </is>
      </c>
      <c r="F6" s="4" t="inlineStr">
        <is>
          <t>IE</t>
        </is>
      </c>
      <c r="G6" s="4" t="inlineStr">
        <is>
          <t>EDO</t>
        </is>
      </c>
      <c r="H6" t="inlineStr"/>
      <c r="I6" s="2" t="inlineStr">
        <is>
          <t>EDO</t>
        </is>
      </c>
      <c r="J6" s="1" t="inlineStr">
        <is>
          <t>Ecuaciones Diferenciales Ordinarias</t>
        </is>
      </c>
      <c r="K6" s="1" t="n">
        <v>3</v>
      </c>
      <c r="L6" s="1">
        <f>K6-M6</f>
        <v/>
      </c>
      <c r="M6" s="1">
        <f>COUNTIF($C$4:$G$15,I6)</f>
        <v/>
      </c>
      <c r="N6" t="inlineStr"/>
      <c r="O6" t="inlineStr"/>
    </row>
    <row r="7">
      <c r="A7" t="inlineStr"/>
      <c r="B7" s="5" t="n"/>
      <c r="C7" s="6" t="inlineStr">
        <is>
          <t>Aula 4</t>
        </is>
      </c>
      <c r="D7" s="6" t="inlineStr">
        <is>
          <t>Aula 4</t>
        </is>
      </c>
      <c r="E7" s="6" t="inlineStr">
        <is>
          <t>Aula 4</t>
        </is>
      </c>
      <c r="F7" s="6" t="inlineStr">
        <is>
          <t>Aula 4</t>
        </is>
      </c>
      <c r="G7" s="6" t="inlineStr">
        <is>
          <t>Aula 4</t>
        </is>
      </c>
      <c r="H7" t="inlineStr"/>
      <c r="I7" s="2" t="inlineStr">
        <is>
          <t>MN</t>
        </is>
      </c>
      <c r="J7" s="1" t="inlineStr">
        <is>
          <t>Matemática Numérica</t>
        </is>
      </c>
      <c r="K7" s="1" t="n">
        <v>2</v>
      </c>
      <c r="L7" s="1">
        <f>K7-M7</f>
        <v/>
      </c>
      <c r="M7" s="1">
        <f>COUNTIF($C$4:$G$15,I7)</f>
        <v/>
      </c>
      <c r="N7" t="inlineStr"/>
      <c r="O7" t="inlineStr"/>
    </row>
    <row r="8">
      <c r="A8" t="inlineStr"/>
      <c r="B8" s="3" t="inlineStr">
        <is>
          <t>Turno 3</t>
        </is>
      </c>
      <c r="C8" s="4" t="inlineStr">
        <is>
          <t>IE</t>
        </is>
      </c>
      <c r="D8" s="4" t="inlineStr">
        <is>
          <t>TP</t>
        </is>
      </c>
      <c r="E8" s="4" t="inlineStr">
        <is>
          <t>IE</t>
        </is>
      </c>
      <c r="F8" s="4" t="inlineStr">
        <is>
          <t>OM</t>
        </is>
      </c>
      <c r="G8" s="4" t="inlineStr"/>
      <c r="H8" t="inlineStr"/>
      <c r="I8" s="2" t="inlineStr">
        <is>
          <t>OM</t>
        </is>
      </c>
      <c r="J8" s="1" t="inlineStr">
        <is>
          <t>Optimización Matemática I</t>
        </is>
      </c>
      <c r="K8" s="1" t="n">
        <v>2</v>
      </c>
      <c r="L8" s="1">
        <f>K8-M8</f>
        <v/>
      </c>
      <c r="M8" s="1">
        <f>COUNTIF($C$4:$G$15,I8)</f>
        <v/>
      </c>
      <c r="N8" t="inlineStr"/>
      <c r="O8" t="inlineStr"/>
    </row>
    <row r="9">
      <c r="A9" t="inlineStr"/>
      <c r="B9" s="5" t="n"/>
      <c r="C9" s="6" t="inlineStr">
        <is>
          <t>Aula 4</t>
        </is>
      </c>
      <c r="D9" s="6" t="inlineStr">
        <is>
          <t>Aula 4</t>
        </is>
      </c>
      <c r="E9" s="6" t="inlineStr">
        <is>
          <t>Aula 4</t>
        </is>
      </c>
      <c r="F9" s="6" t="inlineStr">
        <is>
          <t>Aula 4</t>
        </is>
      </c>
      <c r="G9" s="6" t="inlineStr"/>
      <c r="H9" t="inlineStr"/>
      <c r="I9" s="2" t="inlineStr">
        <is>
          <t>TP</t>
        </is>
      </c>
      <c r="J9" s="1" t="inlineStr">
        <is>
          <t>Teoría Política</t>
        </is>
      </c>
      <c r="K9" s="1" t="n">
        <v>2</v>
      </c>
      <c r="L9" s="1">
        <f>K9-M9</f>
        <v/>
      </c>
      <c r="M9" s="1">
        <f>COUNTIF($C$4:$G$15,I9)</f>
        <v/>
      </c>
      <c r="N9" t="inlineStr"/>
      <c r="O9" t="inlineStr"/>
    </row>
    <row r="10">
      <c r="A10" t="inlineStr"/>
      <c r="B10" s="3" t="inlineStr">
        <is>
          <t>Turno 4</t>
        </is>
      </c>
      <c r="C10" s="4" t="inlineStr"/>
      <c r="D10" s="4" t="inlineStr"/>
      <c r="E10" s="4" t="inlineStr"/>
      <c r="F10" s="4" t="inlineStr"/>
      <c r="G10" s="4" t="inlineStr"/>
      <c r="H10" t="inlineStr"/>
      <c r="I10" t="inlineStr"/>
      <c r="J10" t="inlineStr"/>
      <c r="K10" t="inlineStr"/>
      <c r="L10" t="inlineStr">
        <is>
          <t>Total:</t>
        </is>
      </c>
      <c r="M10">
        <f>COUNTA(I4:I9)</f>
        <v/>
      </c>
      <c r="N10" t="inlineStr"/>
      <c r="O10" t="inlineStr"/>
    </row>
    <row r="11">
      <c r="A11" t="inlineStr"/>
      <c r="B11" s="5" t="n"/>
      <c r="C11" s="6" t="inlineStr"/>
      <c r="D11" s="6" t="inlineStr"/>
      <c r="E11" s="6" t="inlineStr"/>
      <c r="F11" s="6" t="inlineStr"/>
      <c r="G11" s="6" t="inlineStr"/>
      <c r="H11" t="inlineStr"/>
      <c r="I11" t="inlineStr"/>
      <c r="J11" t="inlineStr"/>
      <c r="K11" t="inlineStr"/>
      <c r="L11" t="inlineStr">
        <is>
          <t>Σ Frec:</t>
        </is>
      </c>
      <c r="M11">
        <f>SUM(K4:K9)</f>
        <v/>
      </c>
      <c r="N11" t="inlineStr"/>
      <c r="O11" t="inlineStr"/>
    </row>
    <row r="12">
      <c r="A12" t="inlineStr"/>
      <c r="B12" s="3" t="inlineStr">
        <is>
          <t>Turno 5</t>
        </is>
      </c>
      <c r="C12" s="4" t="inlineStr"/>
      <c r="D12" s="4" t="inlineStr"/>
      <c r="E12" s="4" t="inlineStr"/>
      <c r="F12" s="4" t="inlineStr"/>
      <c r="G12" s="4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/>
      <c r="B13" s="5" t="n"/>
      <c r="C13" s="6" t="inlineStr"/>
      <c r="D13" s="6" t="inlineStr"/>
      <c r="E13" s="6" t="inlineStr"/>
      <c r="F13" s="6" t="inlineStr"/>
      <c r="G13" s="6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/>
      <c r="B14" s="3" t="inlineStr">
        <is>
          <t>Turno 6</t>
        </is>
      </c>
      <c r="C14" s="4" t="inlineStr"/>
      <c r="D14" s="4" t="inlineStr"/>
      <c r="E14" s="4" t="inlineStr"/>
      <c r="F14" s="4" t="inlineStr"/>
      <c r="G14" s="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/>
      <c r="B15" s="5" t="n"/>
      <c r="C15" s="6" t="inlineStr"/>
      <c r="D15" s="6" t="inlineStr"/>
      <c r="E15" s="6" t="inlineStr"/>
      <c r="F15" s="6" t="inlineStr"/>
      <c r="G15" s="6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F16" t="inlineStr">
        <is>
          <t>Ocupados:</t>
        </is>
      </c>
      <c r="G16">
        <f>COUNTA(C4:G15)/2</f>
        <v/>
      </c>
    </row>
  </sheetData>
  <mergeCells count="6">
    <mergeCell ref="B4:B5"/>
    <mergeCell ref="B12:B13"/>
    <mergeCell ref="B8:B9"/>
    <mergeCell ref="B10:B11"/>
    <mergeCell ref="B6:B7"/>
    <mergeCell ref="B14:B15"/>
  </mergeCells>
  <conditionalFormatting sqref="C4">
    <cfRule type="expression" priority="1" dxfId="0" stopIfTrue="1">
      <formula>AND(C4&lt;&gt;"", COUNTIF($I4:I9,C4)=0)</formula>
    </cfRule>
  </conditionalFormatting>
  <conditionalFormatting sqref="D4">
    <cfRule type="expression" priority="2" dxfId="0" stopIfTrue="1">
      <formula>AND(D4&lt;&gt;"", COUNTIF($I4:I9,D4)=0)</formula>
    </cfRule>
  </conditionalFormatting>
  <conditionalFormatting sqref="E4">
    <cfRule type="expression" priority="3" dxfId="0" stopIfTrue="1">
      <formula>AND(E4&lt;&gt;"", COUNTIF($I4:I9,E4)=0)</formula>
    </cfRule>
  </conditionalFormatting>
  <conditionalFormatting sqref="F4">
    <cfRule type="expression" priority="4" dxfId="0" stopIfTrue="1">
      <formula>AND(F4&lt;&gt;"", COUNTIF($I4:I9,F4)=0)</formula>
    </cfRule>
  </conditionalFormatting>
  <conditionalFormatting sqref="G4">
    <cfRule type="expression" priority="5" dxfId="0" stopIfTrue="1">
      <formula>AND(G4&lt;&gt;"", COUNTIF($I4:I9,G4)=0)</formula>
    </cfRule>
  </conditionalFormatting>
  <conditionalFormatting sqref="C6">
    <cfRule type="expression" priority="6" dxfId="0" stopIfTrue="1">
      <formula>AND(C6&lt;&gt;"", COUNTIF($I4:I9,C6)=0)</formula>
    </cfRule>
  </conditionalFormatting>
  <conditionalFormatting sqref="D6">
    <cfRule type="expression" priority="7" dxfId="0" stopIfTrue="1">
      <formula>AND(D6&lt;&gt;"", COUNTIF($I4:I9,D6)=0)</formula>
    </cfRule>
  </conditionalFormatting>
  <conditionalFormatting sqref="E6">
    <cfRule type="expression" priority="8" dxfId="0" stopIfTrue="1">
      <formula>AND(E6&lt;&gt;"", COUNTIF($I4:I9,E6)=0)</formula>
    </cfRule>
  </conditionalFormatting>
  <conditionalFormatting sqref="F6">
    <cfRule type="expression" priority="9" dxfId="0" stopIfTrue="1">
      <formula>AND(F6&lt;&gt;"", COUNTIF($I4:I9,F6)=0)</formula>
    </cfRule>
  </conditionalFormatting>
  <conditionalFormatting sqref="G6">
    <cfRule type="expression" priority="10" dxfId="0" stopIfTrue="1">
      <formula>AND(G6&lt;&gt;"", COUNTIF($I4:I9,G6)=0)</formula>
    </cfRule>
  </conditionalFormatting>
  <conditionalFormatting sqref="C8">
    <cfRule type="expression" priority="11" dxfId="0" stopIfTrue="1">
      <formula>AND(C8&lt;&gt;"", COUNTIF($I4:I9,C8)=0)</formula>
    </cfRule>
  </conditionalFormatting>
  <conditionalFormatting sqref="D8">
    <cfRule type="expression" priority="12" dxfId="0" stopIfTrue="1">
      <formula>AND(D8&lt;&gt;"", COUNTIF($I4:I9,D8)=0)</formula>
    </cfRule>
  </conditionalFormatting>
  <conditionalFormatting sqref="E8">
    <cfRule type="expression" priority="13" dxfId="0" stopIfTrue="1">
      <formula>AND(E8&lt;&gt;"", COUNTIF($I4:I9,E8)=0)</formula>
    </cfRule>
  </conditionalFormatting>
  <conditionalFormatting sqref="F8">
    <cfRule type="expression" priority="14" dxfId="0" stopIfTrue="1">
      <formula>AND(F8&lt;&gt;"", COUNTIF($I4:I9,F8)=0)</formula>
    </cfRule>
  </conditionalFormatting>
  <conditionalFormatting sqref="G8">
    <cfRule type="expression" priority="15" dxfId="0" stopIfTrue="1">
      <formula>AND(G8&lt;&gt;"", COUNTIF($I4:I9,G8)=0)</formula>
    </cfRule>
  </conditionalFormatting>
  <conditionalFormatting sqref="C10">
    <cfRule type="expression" priority="16" dxfId="0" stopIfTrue="1">
      <formula>AND(C10&lt;&gt;"", COUNTIF($I4:I9,C10)=0)</formula>
    </cfRule>
  </conditionalFormatting>
  <conditionalFormatting sqref="D10">
    <cfRule type="expression" priority="17" dxfId="0" stopIfTrue="1">
      <formula>AND(D10&lt;&gt;"", COUNTIF($I4:I9,D10)=0)</formula>
    </cfRule>
  </conditionalFormatting>
  <conditionalFormatting sqref="E10">
    <cfRule type="expression" priority="18" dxfId="0" stopIfTrue="1">
      <formula>AND(E10&lt;&gt;"", COUNTIF($I4:I9,E10)=0)</formula>
    </cfRule>
  </conditionalFormatting>
  <conditionalFormatting sqref="F10">
    <cfRule type="expression" priority="19" dxfId="0" stopIfTrue="1">
      <formula>AND(F10&lt;&gt;"", COUNTIF($I4:I9,F10)=0)</formula>
    </cfRule>
  </conditionalFormatting>
  <conditionalFormatting sqref="G10">
    <cfRule type="expression" priority="20" dxfId="0" stopIfTrue="1">
      <formula>AND(G10&lt;&gt;"", COUNTIF($I4:I9,G10)=0)</formula>
    </cfRule>
  </conditionalFormatting>
  <conditionalFormatting sqref="C12">
    <cfRule type="expression" priority="21" dxfId="0" stopIfTrue="1">
      <formula>AND(C12&lt;&gt;"", COUNTIF($I4:I9,C12)=0)</formula>
    </cfRule>
  </conditionalFormatting>
  <conditionalFormatting sqref="D12">
    <cfRule type="expression" priority="22" dxfId="0" stopIfTrue="1">
      <formula>AND(D12&lt;&gt;"", COUNTIF($I4:I9,D12)=0)</formula>
    </cfRule>
  </conditionalFormatting>
  <conditionalFormatting sqref="E12">
    <cfRule type="expression" priority="23" dxfId="0" stopIfTrue="1">
      <formula>AND(E12&lt;&gt;"", COUNTIF($I4:I9,E12)=0)</formula>
    </cfRule>
  </conditionalFormatting>
  <conditionalFormatting sqref="F12">
    <cfRule type="expression" priority="24" dxfId="0" stopIfTrue="1">
      <formula>AND(F12&lt;&gt;"", COUNTIF($I4:I9,F12)=0)</formula>
    </cfRule>
  </conditionalFormatting>
  <conditionalFormatting sqref="G12">
    <cfRule type="expression" priority="25" dxfId="0" stopIfTrue="1">
      <formula>AND(G12&lt;&gt;"", COUNTIF($I4:I9,G12)=0)</formula>
    </cfRule>
  </conditionalFormatting>
  <conditionalFormatting sqref="C14">
    <cfRule type="expression" priority="26" dxfId="0" stopIfTrue="1">
      <formula>AND(C14&lt;&gt;"", COUNTIF($I4:I9,C14)=0)</formula>
    </cfRule>
  </conditionalFormatting>
  <conditionalFormatting sqref="D14">
    <cfRule type="expression" priority="27" dxfId="0" stopIfTrue="1">
      <formula>AND(D14&lt;&gt;"", COUNTIF($I4:I9,D14)=0)</formula>
    </cfRule>
  </conditionalFormatting>
  <conditionalFormatting sqref="E14">
    <cfRule type="expression" priority="28" dxfId="0" stopIfTrue="1">
      <formula>AND(E14&lt;&gt;"", COUNTIF($I4:I9,E14)=0)</formula>
    </cfRule>
  </conditionalFormatting>
  <conditionalFormatting sqref="F14">
    <cfRule type="expression" priority="29" dxfId="0" stopIfTrue="1">
      <formula>AND(F14&lt;&gt;"", COUNTIF($I4:I9,F14)=0)</formula>
    </cfRule>
  </conditionalFormatting>
  <conditionalFormatting sqref="G14">
    <cfRule type="expression" priority="30" dxfId="0" stopIfTrue="1">
      <formula>AND(G14&lt;&gt;"", COUNTIF($I4:I9,G14)=0)</formula>
    </cfRule>
  </conditionalFormatting>
  <conditionalFormatting sqref="C5">
    <cfRule type="expression" priority="31" dxfId="1" stopIfTrue="1">
      <formula>AND(C5&lt;&gt;"", COUNTIF($O4:O4,C5)=0)</formula>
    </cfRule>
    <cfRule type="expression" priority="61" dxfId="2" stopIfTrue="1">
      <formula>AND(C4&lt;&gt;"", C5="")</formula>
    </cfRule>
  </conditionalFormatting>
  <conditionalFormatting sqref="D5">
    <cfRule type="expression" priority="32" dxfId="1" stopIfTrue="1">
      <formula>AND(D5&lt;&gt;"", COUNTIF($O4:O4,D5)=0)</formula>
    </cfRule>
    <cfRule type="expression" priority="62" dxfId="2" stopIfTrue="1">
      <formula>AND(D4&lt;&gt;"", D5="")</formula>
    </cfRule>
  </conditionalFormatting>
  <conditionalFormatting sqref="E5">
    <cfRule type="expression" priority="33" dxfId="1" stopIfTrue="1">
      <formula>AND(E5&lt;&gt;"", COUNTIF($O4:O4,E5)=0)</formula>
    </cfRule>
    <cfRule type="expression" priority="63" dxfId="2" stopIfTrue="1">
      <formula>AND(E4&lt;&gt;"", E5="")</formula>
    </cfRule>
  </conditionalFormatting>
  <conditionalFormatting sqref="F5">
    <cfRule type="expression" priority="34" dxfId="1" stopIfTrue="1">
      <formula>AND(F5&lt;&gt;"", COUNTIF($O4:O4,F5)=0)</formula>
    </cfRule>
    <cfRule type="expression" priority="64" dxfId="2" stopIfTrue="1">
      <formula>AND(F4&lt;&gt;"", F5="")</formula>
    </cfRule>
  </conditionalFormatting>
  <conditionalFormatting sqref="G5">
    <cfRule type="expression" priority="35" dxfId="1" stopIfTrue="1">
      <formula>AND(G5&lt;&gt;"", COUNTIF($O4:O4,G5)=0)</formula>
    </cfRule>
    <cfRule type="expression" priority="65" dxfId="2" stopIfTrue="1">
      <formula>AND(G4&lt;&gt;"", G5="")</formula>
    </cfRule>
  </conditionalFormatting>
  <conditionalFormatting sqref="C7">
    <cfRule type="expression" priority="36" dxfId="1" stopIfTrue="1">
      <formula>AND(C7&lt;&gt;"", COUNTIF($O4:O4,C7)=0)</formula>
    </cfRule>
    <cfRule type="expression" priority="66" dxfId="2" stopIfTrue="1">
      <formula>AND(C6&lt;&gt;"", C7="")</formula>
    </cfRule>
  </conditionalFormatting>
  <conditionalFormatting sqref="D7">
    <cfRule type="expression" priority="37" dxfId="1" stopIfTrue="1">
      <formula>AND(D7&lt;&gt;"", COUNTIF($O4:O4,D7)=0)</formula>
    </cfRule>
    <cfRule type="expression" priority="67" dxfId="2" stopIfTrue="1">
      <formula>AND(D6&lt;&gt;"", D7="")</formula>
    </cfRule>
  </conditionalFormatting>
  <conditionalFormatting sqref="E7">
    <cfRule type="expression" priority="38" dxfId="1" stopIfTrue="1">
      <formula>AND(E7&lt;&gt;"", COUNTIF($O4:O4,E7)=0)</formula>
    </cfRule>
    <cfRule type="expression" priority="68" dxfId="2" stopIfTrue="1">
      <formula>AND(E6&lt;&gt;"", E7="")</formula>
    </cfRule>
  </conditionalFormatting>
  <conditionalFormatting sqref="F7">
    <cfRule type="expression" priority="39" dxfId="1" stopIfTrue="1">
      <formula>AND(F7&lt;&gt;"", COUNTIF($O4:O4,F7)=0)</formula>
    </cfRule>
    <cfRule type="expression" priority="69" dxfId="2" stopIfTrue="1">
      <formula>AND(F6&lt;&gt;"", F7="")</formula>
    </cfRule>
  </conditionalFormatting>
  <conditionalFormatting sqref="G7">
    <cfRule type="expression" priority="40" dxfId="1" stopIfTrue="1">
      <formula>AND(G7&lt;&gt;"", COUNTIF($O4:O4,G7)=0)</formula>
    </cfRule>
    <cfRule type="expression" priority="70" dxfId="2" stopIfTrue="1">
      <formula>AND(G6&lt;&gt;"", G7="")</formula>
    </cfRule>
  </conditionalFormatting>
  <conditionalFormatting sqref="C9">
    <cfRule type="expression" priority="41" dxfId="1" stopIfTrue="1">
      <formula>AND(C9&lt;&gt;"", COUNTIF($O4:O4,C9)=0)</formula>
    </cfRule>
    <cfRule type="expression" priority="71" dxfId="2" stopIfTrue="1">
      <formula>AND(C8&lt;&gt;"", C9="")</formula>
    </cfRule>
  </conditionalFormatting>
  <conditionalFormatting sqref="D9">
    <cfRule type="expression" priority="42" dxfId="1" stopIfTrue="1">
      <formula>AND(D9&lt;&gt;"", COUNTIF($O4:O4,D9)=0)</formula>
    </cfRule>
    <cfRule type="expression" priority="72" dxfId="2" stopIfTrue="1">
      <formula>AND(D8&lt;&gt;"", D9="")</formula>
    </cfRule>
  </conditionalFormatting>
  <conditionalFormatting sqref="E9">
    <cfRule type="expression" priority="43" dxfId="1" stopIfTrue="1">
      <formula>AND(E9&lt;&gt;"", COUNTIF($O4:O4,E9)=0)</formula>
    </cfRule>
    <cfRule type="expression" priority="73" dxfId="2" stopIfTrue="1">
      <formula>AND(E8&lt;&gt;"", E9="")</formula>
    </cfRule>
  </conditionalFormatting>
  <conditionalFormatting sqref="F9">
    <cfRule type="expression" priority="44" dxfId="1" stopIfTrue="1">
      <formula>AND(F9&lt;&gt;"", COUNTIF($O4:O4,F9)=0)</formula>
    </cfRule>
    <cfRule type="expression" priority="74" dxfId="2" stopIfTrue="1">
      <formula>AND(F8&lt;&gt;"", F9="")</formula>
    </cfRule>
  </conditionalFormatting>
  <conditionalFormatting sqref="G9">
    <cfRule type="expression" priority="45" dxfId="1" stopIfTrue="1">
      <formula>AND(G9&lt;&gt;"", COUNTIF($O4:O4,G9)=0)</formula>
    </cfRule>
    <cfRule type="expression" priority="75" dxfId="2" stopIfTrue="1">
      <formula>AND(G8&lt;&gt;"", G9="")</formula>
    </cfRule>
  </conditionalFormatting>
  <conditionalFormatting sqref="C11">
    <cfRule type="expression" priority="46" dxfId="1" stopIfTrue="1">
      <formula>AND(C11&lt;&gt;"", COUNTIF($O4:O4,C11)=0)</formula>
    </cfRule>
    <cfRule type="expression" priority="76" dxfId="2" stopIfTrue="1">
      <formula>AND(C10&lt;&gt;"", C11="")</formula>
    </cfRule>
  </conditionalFormatting>
  <conditionalFormatting sqref="D11">
    <cfRule type="expression" priority="47" dxfId="1" stopIfTrue="1">
      <formula>AND(D11&lt;&gt;"", COUNTIF($O4:O4,D11)=0)</formula>
    </cfRule>
    <cfRule type="expression" priority="77" dxfId="2" stopIfTrue="1">
      <formula>AND(D10&lt;&gt;"", D11="")</formula>
    </cfRule>
  </conditionalFormatting>
  <conditionalFormatting sqref="E11">
    <cfRule type="expression" priority="48" dxfId="1" stopIfTrue="1">
      <formula>AND(E11&lt;&gt;"", COUNTIF($O4:O4,E11)=0)</formula>
    </cfRule>
    <cfRule type="expression" priority="78" dxfId="2" stopIfTrue="1">
      <formula>AND(E10&lt;&gt;"", E11="")</formula>
    </cfRule>
  </conditionalFormatting>
  <conditionalFormatting sqref="F11">
    <cfRule type="expression" priority="49" dxfId="1" stopIfTrue="1">
      <formula>AND(F11&lt;&gt;"", COUNTIF($O4:O4,F11)=0)</formula>
    </cfRule>
    <cfRule type="expression" priority="79" dxfId="2" stopIfTrue="1">
      <formula>AND(F10&lt;&gt;"", F11="")</formula>
    </cfRule>
  </conditionalFormatting>
  <conditionalFormatting sqref="G11">
    <cfRule type="expression" priority="50" dxfId="1" stopIfTrue="1">
      <formula>AND(G11&lt;&gt;"", COUNTIF($O4:O4,G11)=0)</formula>
    </cfRule>
    <cfRule type="expression" priority="80" dxfId="2" stopIfTrue="1">
      <formula>AND(G10&lt;&gt;"", G11="")</formula>
    </cfRule>
  </conditionalFormatting>
  <conditionalFormatting sqref="C13">
    <cfRule type="expression" priority="51" dxfId="1" stopIfTrue="1">
      <formula>AND(C13&lt;&gt;"", COUNTIF($O4:O4,C13)=0)</formula>
    </cfRule>
    <cfRule type="expression" priority="81" dxfId="2" stopIfTrue="1">
      <formula>AND(C12&lt;&gt;"", C13="")</formula>
    </cfRule>
  </conditionalFormatting>
  <conditionalFormatting sqref="D13">
    <cfRule type="expression" priority="52" dxfId="1" stopIfTrue="1">
      <formula>AND(D13&lt;&gt;"", COUNTIF($O4:O4,D13)=0)</formula>
    </cfRule>
    <cfRule type="expression" priority="82" dxfId="2" stopIfTrue="1">
      <formula>AND(D12&lt;&gt;"", D13="")</formula>
    </cfRule>
  </conditionalFormatting>
  <conditionalFormatting sqref="E13">
    <cfRule type="expression" priority="53" dxfId="1" stopIfTrue="1">
      <formula>AND(E13&lt;&gt;"", COUNTIF($O4:O4,E13)=0)</formula>
    </cfRule>
    <cfRule type="expression" priority="83" dxfId="2" stopIfTrue="1">
      <formula>AND(E12&lt;&gt;"", E13="")</formula>
    </cfRule>
  </conditionalFormatting>
  <conditionalFormatting sqref="F13">
    <cfRule type="expression" priority="54" dxfId="1" stopIfTrue="1">
      <formula>AND(F13&lt;&gt;"", COUNTIF($O4:O4,F13)=0)</formula>
    </cfRule>
    <cfRule type="expression" priority="84" dxfId="2" stopIfTrue="1">
      <formula>AND(F12&lt;&gt;"", F13="")</formula>
    </cfRule>
  </conditionalFormatting>
  <conditionalFormatting sqref="G13">
    <cfRule type="expression" priority="55" dxfId="1" stopIfTrue="1">
      <formula>AND(G13&lt;&gt;"", COUNTIF($O4:O4,G13)=0)</formula>
    </cfRule>
    <cfRule type="expression" priority="85" dxfId="2" stopIfTrue="1">
      <formula>AND(G12&lt;&gt;"", G13="")</formula>
    </cfRule>
  </conditionalFormatting>
  <conditionalFormatting sqref="C15">
    <cfRule type="expression" priority="56" dxfId="1" stopIfTrue="1">
      <formula>AND(C15&lt;&gt;"", COUNTIF($O4:O4,C15)=0)</formula>
    </cfRule>
    <cfRule type="expression" priority="86" dxfId="2" stopIfTrue="1">
      <formula>AND(C14&lt;&gt;"", C15="")</formula>
    </cfRule>
  </conditionalFormatting>
  <conditionalFormatting sqref="D15">
    <cfRule type="expression" priority="57" dxfId="1" stopIfTrue="1">
      <formula>AND(D15&lt;&gt;"", COUNTIF($O4:O4,D15)=0)</formula>
    </cfRule>
    <cfRule type="expression" priority="87" dxfId="2" stopIfTrue="1">
      <formula>AND(D14&lt;&gt;"", D15="")</formula>
    </cfRule>
  </conditionalFormatting>
  <conditionalFormatting sqref="E15">
    <cfRule type="expression" priority="58" dxfId="1" stopIfTrue="1">
      <formula>AND(E15&lt;&gt;"", COUNTIF($O4:O4,E15)=0)</formula>
    </cfRule>
    <cfRule type="expression" priority="88" dxfId="2" stopIfTrue="1">
      <formula>AND(E14&lt;&gt;"", E15="")</formula>
    </cfRule>
  </conditionalFormatting>
  <conditionalFormatting sqref="F15">
    <cfRule type="expression" priority="59" dxfId="1" stopIfTrue="1">
      <formula>AND(F15&lt;&gt;"", COUNTIF($O4:O4,F15)=0)</formula>
    </cfRule>
    <cfRule type="expression" priority="89" dxfId="2" stopIfTrue="1">
      <formula>AND(F14&lt;&gt;"", F15="")</formula>
    </cfRule>
  </conditionalFormatting>
  <conditionalFormatting sqref="G15">
    <cfRule type="expression" priority="60" dxfId="1" stopIfTrue="1">
      <formula>AND(G15&lt;&gt;"", COUNTIF($O4:O4,G15)=0)</formula>
    </cfRule>
    <cfRule type="expression" priority="90" dxfId="2" stopIfTrue="1">
      <formula>AND(G14&lt;&gt;"", G15="")</formula>
    </cfRule>
  </conditionalFormatting>
  <conditionalFormatting sqref="J4">
    <cfRule type="expression" priority="91" dxfId="3" stopIfTrue="1">
      <formula>AND(J4&lt;&gt;"", M4&gt;0, L4=0)</formula>
    </cfRule>
    <cfRule type="expression" priority="97" dxfId="4" stopIfTrue="1">
      <formula>AND(J4&lt;&gt;"", M4&gt;0, L4&lt;0)</formula>
    </cfRule>
    <cfRule type="expression" priority="103" dxfId="5" stopIfTrue="1">
      <formula>AND(J4&lt;&gt;"", M4&gt;0, L4&gt;0, L4&lt;K4)</formula>
    </cfRule>
  </conditionalFormatting>
  <conditionalFormatting sqref="J5">
    <cfRule type="expression" priority="92" dxfId="3" stopIfTrue="1">
      <formula>AND(J5&lt;&gt;"", M5&gt;0, L5=0)</formula>
    </cfRule>
    <cfRule type="expression" priority="98" dxfId="4" stopIfTrue="1">
      <formula>AND(J5&lt;&gt;"", M5&gt;0, L5&lt;0)</formula>
    </cfRule>
    <cfRule type="expression" priority="104" dxfId="5" stopIfTrue="1">
      <formula>AND(J5&lt;&gt;"", M5&gt;0, L5&gt;0, L5&lt;K5)</formula>
    </cfRule>
  </conditionalFormatting>
  <conditionalFormatting sqref="J6">
    <cfRule type="expression" priority="93" dxfId="3" stopIfTrue="1">
      <formula>AND(J6&lt;&gt;"", M6&gt;0, L6=0)</formula>
    </cfRule>
    <cfRule type="expression" priority="99" dxfId="4" stopIfTrue="1">
      <formula>AND(J6&lt;&gt;"", M6&gt;0, L6&lt;0)</formula>
    </cfRule>
    <cfRule type="expression" priority="105" dxfId="5" stopIfTrue="1">
      <formula>AND(J6&lt;&gt;"", M6&gt;0, L6&gt;0, L6&lt;K6)</formula>
    </cfRule>
  </conditionalFormatting>
  <conditionalFormatting sqref="J7">
    <cfRule type="expression" priority="94" dxfId="3" stopIfTrue="1">
      <formula>AND(J7&lt;&gt;"", M7&gt;0, L7=0)</formula>
    </cfRule>
    <cfRule type="expression" priority="100" dxfId="4" stopIfTrue="1">
      <formula>AND(J7&lt;&gt;"", M7&gt;0, L7&lt;0)</formula>
    </cfRule>
    <cfRule type="expression" priority="106" dxfId="5" stopIfTrue="1">
      <formula>AND(J7&lt;&gt;"", M7&gt;0, L7&gt;0, L7&lt;K7)</formula>
    </cfRule>
  </conditionalFormatting>
  <conditionalFormatting sqref="J8">
    <cfRule type="expression" priority="95" dxfId="3" stopIfTrue="1">
      <formula>AND(J8&lt;&gt;"", M8&gt;0, L8=0)</formula>
    </cfRule>
    <cfRule type="expression" priority="101" dxfId="4" stopIfTrue="1">
      <formula>AND(J8&lt;&gt;"", M8&gt;0, L8&lt;0)</formula>
    </cfRule>
    <cfRule type="expression" priority="107" dxfId="5" stopIfTrue="1">
      <formula>AND(J8&lt;&gt;"", M8&gt;0, L8&gt;0, L8&lt;K8)</formula>
    </cfRule>
  </conditionalFormatting>
  <conditionalFormatting sqref="J9">
    <cfRule type="expression" priority="96" dxfId="3" stopIfTrue="1">
      <formula>AND(J9&lt;&gt;"", M9&gt;0, L9=0)</formula>
    </cfRule>
    <cfRule type="expression" priority="102" dxfId="4" stopIfTrue="1">
      <formula>AND(J9&lt;&gt;"", M9&gt;0, L9&lt;0)</formula>
    </cfRule>
    <cfRule type="expression" priority="108" dxfId="5" stopIfTrue="1">
      <formula>AND(J9&lt;&gt;"", M9&gt;0, L9&gt;0, L9&lt;K9)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 xml:space="preserve">Grupo </t>
        </is>
      </c>
      <c r="B1" t="inlineStr">
        <is>
          <t>M411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s="1" t="inlineStr"/>
      <c r="C3" s="1" t="inlineStr">
        <is>
          <t>Lunes</t>
        </is>
      </c>
      <c r="D3" s="1" t="inlineStr">
        <is>
          <t>Martes</t>
        </is>
      </c>
      <c r="E3" s="1" t="inlineStr">
        <is>
          <t>Miércoles</t>
        </is>
      </c>
      <c r="F3" s="1" t="inlineStr">
        <is>
          <t>Jueves</t>
        </is>
      </c>
      <c r="G3" s="1" t="inlineStr">
        <is>
          <t>Viernes</t>
        </is>
      </c>
      <c r="H3" t="inlineStr"/>
      <c r="I3" s="2" t="inlineStr">
        <is>
          <t>Abrev</t>
        </is>
      </c>
      <c r="J3" s="1" t="inlineStr">
        <is>
          <t>Asignaturas</t>
        </is>
      </c>
      <c r="K3" s="1" t="inlineStr">
        <is>
          <t>Frec</t>
        </is>
      </c>
      <c r="L3" s="1" t="inlineStr">
        <is>
          <t>Faltan</t>
        </is>
      </c>
      <c r="M3" s="1" t="inlineStr">
        <is>
          <t>Asignadas</t>
        </is>
      </c>
      <c r="N3" t="inlineStr"/>
      <c r="O3" t="inlineStr">
        <is>
          <t>Aulas</t>
        </is>
      </c>
    </row>
    <row r="4">
      <c r="A4" t="inlineStr"/>
      <c r="B4" s="3" t="inlineStr">
        <is>
          <t>Turno 1</t>
        </is>
      </c>
      <c r="C4" s="4" t="inlineStr"/>
      <c r="D4" s="4" t="inlineStr"/>
      <c r="E4" s="4" t="inlineStr"/>
      <c r="F4" s="4" t="inlineStr"/>
      <c r="G4" s="4" t="inlineStr"/>
      <c r="H4" t="inlineStr"/>
      <c r="I4" s="2" t="inlineStr">
        <is>
          <t>MI</t>
        </is>
      </c>
      <c r="J4" s="1" t="inlineStr">
        <is>
          <t>Medida e Integración</t>
        </is>
      </c>
      <c r="K4" s="1" t="n">
        <v>2</v>
      </c>
      <c r="L4" s="1">
        <f>K4-M4</f>
        <v/>
      </c>
      <c r="M4" s="1">
        <f>COUNTIF($C$4:$G$15,I4)</f>
        <v/>
      </c>
      <c r="N4" t="inlineStr"/>
      <c r="O4" s="1" t="inlineStr"/>
    </row>
    <row r="5">
      <c r="A5" t="inlineStr"/>
      <c r="B5" s="5" t="n"/>
      <c r="C5" s="6" t="inlineStr"/>
      <c r="D5" s="6" t="inlineStr"/>
      <c r="E5" s="6" t="inlineStr"/>
      <c r="F5" s="6" t="inlineStr"/>
      <c r="G5" s="6" t="inlineStr"/>
      <c r="H5" t="inlineStr"/>
      <c r="I5" s="2" t="inlineStr">
        <is>
          <t>GD</t>
        </is>
      </c>
      <c r="J5" s="1" t="inlineStr">
        <is>
          <t>Geometría Diferencial</t>
        </is>
      </c>
      <c r="K5" s="1" t="n">
        <v>2</v>
      </c>
      <c r="L5" s="1">
        <f>K5-M5</f>
        <v/>
      </c>
      <c r="M5" s="1">
        <f>COUNTIF($C$4:$G$15,I5)</f>
        <v/>
      </c>
      <c r="N5" t="inlineStr">
        <is>
          <t>Total:</t>
        </is>
      </c>
      <c r="O5">
        <f>COUNTA(O4:O4)</f>
        <v/>
      </c>
    </row>
    <row r="6">
      <c r="A6" t="inlineStr"/>
      <c r="B6" s="3" t="inlineStr">
        <is>
          <t>Turno 2</t>
        </is>
      </c>
      <c r="C6" s="4" t="inlineStr"/>
      <c r="D6" s="4" t="inlineStr"/>
      <c r="E6" s="4" t="inlineStr"/>
      <c r="F6" s="4" t="inlineStr"/>
      <c r="G6" s="4" t="inlineStr"/>
      <c r="H6" t="inlineStr"/>
      <c r="I6" s="2" t="inlineStr">
        <is>
          <t>HM</t>
        </is>
      </c>
      <c r="J6" s="1" t="inlineStr">
        <is>
          <t>Historia de la Matemática</t>
        </is>
      </c>
      <c r="K6" s="1" t="n">
        <v>2</v>
      </c>
      <c r="L6" s="1">
        <f>K6-M6</f>
        <v/>
      </c>
      <c r="M6" s="1">
        <f>COUNTIF($C$4:$G$15,I6)</f>
        <v/>
      </c>
      <c r="N6" t="inlineStr"/>
      <c r="O6" t="inlineStr"/>
    </row>
    <row r="7">
      <c r="A7" t="inlineStr"/>
      <c r="B7" s="5" t="n"/>
      <c r="C7" s="6" t="inlineStr"/>
      <c r="D7" s="6" t="inlineStr"/>
      <c r="E7" s="6" t="inlineStr"/>
      <c r="F7" s="6" t="inlineStr"/>
      <c r="G7" s="6" t="inlineStr"/>
      <c r="H7" t="inlineStr"/>
      <c r="I7" s="2" t="inlineStr">
        <is>
          <t>ECTS</t>
        </is>
      </c>
      <c r="J7" s="1" t="inlineStr">
        <is>
          <t>Estudios de Ciencia, Tecnología y Sociedad</t>
        </is>
      </c>
      <c r="K7" s="1" t="n">
        <v>2</v>
      </c>
      <c r="L7" s="1">
        <f>K7-M7</f>
        <v/>
      </c>
      <c r="M7" s="1">
        <f>COUNTIF($C$4:$G$15,I7)</f>
        <v/>
      </c>
      <c r="N7" t="inlineStr"/>
      <c r="O7" t="inlineStr"/>
    </row>
    <row r="8">
      <c r="A8" t="inlineStr"/>
      <c r="B8" s="3" t="inlineStr">
        <is>
          <t>Turno 3</t>
        </is>
      </c>
      <c r="C8" s="4" t="inlineStr"/>
      <c r="D8" s="4" t="inlineStr"/>
      <c r="E8" s="4" t="inlineStr"/>
      <c r="F8" s="4" t="inlineStr"/>
      <c r="G8" s="4" t="inlineStr"/>
      <c r="H8" t="inlineStr"/>
      <c r="I8" s="2" t="inlineStr">
        <is>
          <t>AO2</t>
        </is>
      </c>
      <c r="J8" s="1" t="inlineStr">
        <is>
          <t>Asignatura Optativa II</t>
        </is>
      </c>
      <c r="K8" s="1" t="n">
        <v>2</v>
      </c>
      <c r="L8" s="1">
        <f>K8-M8</f>
        <v/>
      </c>
      <c r="M8" s="1">
        <f>COUNTIF($C$4:$G$15,I8)</f>
        <v/>
      </c>
      <c r="N8" t="inlineStr"/>
      <c r="O8" t="inlineStr"/>
    </row>
    <row r="9">
      <c r="A9" t="inlineStr"/>
      <c r="B9" s="5" t="n"/>
      <c r="C9" s="6" t="inlineStr"/>
      <c r="D9" s="6" t="inlineStr"/>
      <c r="E9" s="6" t="inlineStr"/>
      <c r="F9" s="6" t="inlineStr"/>
      <c r="G9" s="6" t="inlineStr"/>
      <c r="H9" t="inlineStr"/>
      <c r="I9" s="2" t="inlineStr">
        <is>
          <t>AO3</t>
        </is>
      </c>
      <c r="J9" s="1" t="inlineStr">
        <is>
          <t>Asignatura Optativa III</t>
        </is>
      </c>
      <c r="K9" s="1" t="n">
        <v>2</v>
      </c>
      <c r="L9" s="1">
        <f>K9-M9</f>
        <v/>
      </c>
      <c r="M9" s="1">
        <f>COUNTIF($C$4:$G$15,I9)</f>
        <v/>
      </c>
      <c r="N9" t="inlineStr"/>
      <c r="O9" t="inlineStr"/>
    </row>
    <row r="10">
      <c r="A10" t="inlineStr"/>
      <c r="B10" s="3" t="inlineStr">
        <is>
          <t>Turno 4</t>
        </is>
      </c>
      <c r="C10" s="4" t="inlineStr">
        <is>
          <t>GD</t>
        </is>
      </c>
      <c r="D10" s="4" t="inlineStr">
        <is>
          <t>HM</t>
        </is>
      </c>
      <c r="E10" s="4" t="inlineStr">
        <is>
          <t>MI</t>
        </is>
      </c>
      <c r="F10" s="4" t="inlineStr">
        <is>
          <t>AO</t>
        </is>
      </c>
      <c r="G10" s="4" t="inlineStr"/>
      <c r="H10" t="inlineStr"/>
      <c r="I10" t="inlineStr"/>
      <c r="J10" t="inlineStr"/>
      <c r="K10" t="inlineStr"/>
      <c r="L10" t="inlineStr">
        <is>
          <t>Total:</t>
        </is>
      </c>
      <c r="M10">
        <f>COUNTA(I4:I9)</f>
        <v/>
      </c>
      <c r="N10" t="inlineStr"/>
      <c r="O10" t="inlineStr"/>
    </row>
    <row r="11">
      <c r="A11" t="inlineStr"/>
      <c r="B11" s="5" t="n"/>
      <c r="C11" s="6" t="inlineStr">
        <is>
          <t>4</t>
        </is>
      </c>
      <c r="D11" s="6" t="inlineStr">
        <is>
          <t>4</t>
        </is>
      </c>
      <c r="E11" s="6" t="inlineStr">
        <is>
          <t>4</t>
        </is>
      </c>
      <c r="F11" s="6" t="inlineStr">
        <is>
          <t>2</t>
        </is>
      </c>
      <c r="G11" s="6" t="inlineStr"/>
      <c r="H11" t="inlineStr"/>
      <c r="I11" t="inlineStr"/>
      <c r="J11" t="inlineStr"/>
      <c r="K11" t="inlineStr"/>
      <c r="L11" t="inlineStr">
        <is>
          <t>Σ Frec:</t>
        </is>
      </c>
      <c r="M11">
        <f>SUM(K4:K9)</f>
        <v/>
      </c>
      <c r="N11" t="inlineStr"/>
      <c r="O11" t="inlineStr"/>
    </row>
    <row r="12">
      <c r="A12" t="inlineStr"/>
      <c r="B12" s="3" t="inlineStr">
        <is>
          <t>Turno 5</t>
        </is>
      </c>
      <c r="C12" s="4" t="inlineStr">
        <is>
          <t>MI</t>
        </is>
      </c>
      <c r="D12" s="4" t="inlineStr">
        <is>
          <t>HM</t>
        </is>
      </c>
      <c r="E12" s="4" t="inlineStr">
        <is>
          <t>GD</t>
        </is>
      </c>
      <c r="F12" s="4" t="inlineStr">
        <is>
          <t>AO</t>
        </is>
      </c>
      <c r="G12" s="4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/>
      <c r="B13" s="5" t="n"/>
      <c r="C13" s="6" t="inlineStr">
        <is>
          <t>4</t>
        </is>
      </c>
      <c r="D13" s="6" t="inlineStr">
        <is>
          <t>4</t>
        </is>
      </c>
      <c r="E13" s="6" t="inlineStr">
        <is>
          <t>4</t>
        </is>
      </c>
      <c r="F13" s="6" t="inlineStr">
        <is>
          <t>3</t>
        </is>
      </c>
      <c r="G13" s="6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/>
      <c r="B14" s="3" t="inlineStr">
        <is>
          <t>Turno 6</t>
        </is>
      </c>
      <c r="C14" s="4" t="inlineStr">
        <is>
          <t>ECTS 9 (Con</t>
        </is>
      </c>
      <c r="D14" s="4" t="inlineStr">
        <is>
          <t>GD</t>
        </is>
      </c>
      <c r="E14" s="4" t="inlineStr"/>
      <c r="F14" s="4" t="inlineStr"/>
      <c r="G14" s="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/>
      <c r="B15" s="5" t="n"/>
      <c r="C15" s="6" t="inlineStr">
        <is>
          <t>C4</t>
        </is>
      </c>
      <c r="D15" s="6" t="inlineStr">
        <is>
          <t>4</t>
        </is>
      </c>
      <c r="E15" s="6" t="inlineStr"/>
      <c r="F15" s="6" t="inlineStr"/>
      <c r="G15" s="6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F16" t="inlineStr">
        <is>
          <t>Ocupados:</t>
        </is>
      </c>
      <c r="G16">
        <f>COUNTA(C4:G15)/2</f>
        <v/>
      </c>
    </row>
  </sheetData>
  <mergeCells count="6">
    <mergeCell ref="B4:B5"/>
    <mergeCell ref="B12:B13"/>
    <mergeCell ref="B8:B9"/>
    <mergeCell ref="B10:B11"/>
    <mergeCell ref="B6:B7"/>
    <mergeCell ref="B14:B15"/>
  </mergeCells>
  <conditionalFormatting sqref="C4">
    <cfRule type="expression" priority="1" dxfId="0" stopIfTrue="1">
      <formula>AND(C4&lt;&gt;"", COUNTIF($I4:I9,C4)=0)</formula>
    </cfRule>
  </conditionalFormatting>
  <conditionalFormatting sqref="D4">
    <cfRule type="expression" priority="2" dxfId="0" stopIfTrue="1">
      <formula>AND(D4&lt;&gt;"", COUNTIF($I4:I9,D4)=0)</formula>
    </cfRule>
  </conditionalFormatting>
  <conditionalFormatting sqref="E4">
    <cfRule type="expression" priority="3" dxfId="0" stopIfTrue="1">
      <formula>AND(E4&lt;&gt;"", COUNTIF($I4:I9,E4)=0)</formula>
    </cfRule>
  </conditionalFormatting>
  <conditionalFormatting sqref="F4">
    <cfRule type="expression" priority="4" dxfId="0" stopIfTrue="1">
      <formula>AND(F4&lt;&gt;"", COUNTIF($I4:I9,F4)=0)</formula>
    </cfRule>
  </conditionalFormatting>
  <conditionalFormatting sqref="G4">
    <cfRule type="expression" priority="5" dxfId="0" stopIfTrue="1">
      <formula>AND(G4&lt;&gt;"", COUNTIF($I4:I9,G4)=0)</formula>
    </cfRule>
  </conditionalFormatting>
  <conditionalFormatting sqref="C6">
    <cfRule type="expression" priority="6" dxfId="0" stopIfTrue="1">
      <formula>AND(C6&lt;&gt;"", COUNTIF($I4:I9,C6)=0)</formula>
    </cfRule>
  </conditionalFormatting>
  <conditionalFormatting sqref="D6">
    <cfRule type="expression" priority="7" dxfId="0" stopIfTrue="1">
      <formula>AND(D6&lt;&gt;"", COUNTIF($I4:I9,D6)=0)</formula>
    </cfRule>
  </conditionalFormatting>
  <conditionalFormatting sqref="E6">
    <cfRule type="expression" priority="8" dxfId="0" stopIfTrue="1">
      <formula>AND(E6&lt;&gt;"", COUNTIF($I4:I9,E6)=0)</formula>
    </cfRule>
  </conditionalFormatting>
  <conditionalFormatting sqref="F6">
    <cfRule type="expression" priority="9" dxfId="0" stopIfTrue="1">
      <formula>AND(F6&lt;&gt;"", COUNTIF($I4:I9,F6)=0)</formula>
    </cfRule>
  </conditionalFormatting>
  <conditionalFormatting sqref="G6">
    <cfRule type="expression" priority="10" dxfId="0" stopIfTrue="1">
      <formula>AND(G6&lt;&gt;"", COUNTIF($I4:I9,G6)=0)</formula>
    </cfRule>
  </conditionalFormatting>
  <conditionalFormatting sqref="C8">
    <cfRule type="expression" priority="11" dxfId="0" stopIfTrue="1">
      <formula>AND(C8&lt;&gt;"", COUNTIF($I4:I9,C8)=0)</formula>
    </cfRule>
  </conditionalFormatting>
  <conditionalFormatting sqref="D8">
    <cfRule type="expression" priority="12" dxfId="0" stopIfTrue="1">
      <formula>AND(D8&lt;&gt;"", COUNTIF($I4:I9,D8)=0)</formula>
    </cfRule>
  </conditionalFormatting>
  <conditionalFormatting sqref="E8">
    <cfRule type="expression" priority="13" dxfId="0" stopIfTrue="1">
      <formula>AND(E8&lt;&gt;"", COUNTIF($I4:I9,E8)=0)</formula>
    </cfRule>
  </conditionalFormatting>
  <conditionalFormatting sqref="F8">
    <cfRule type="expression" priority="14" dxfId="0" stopIfTrue="1">
      <formula>AND(F8&lt;&gt;"", COUNTIF($I4:I9,F8)=0)</formula>
    </cfRule>
  </conditionalFormatting>
  <conditionalFormatting sqref="G8">
    <cfRule type="expression" priority="15" dxfId="0" stopIfTrue="1">
      <formula>AND(G8&lt;&gt;"", COUNTIF($I4:I9,G8)=0)</formula>
    </cfRule>
  </conditionalFormatting>
  <conditionalFormatting sqref="C10">
    <cfRule type="expression" priority="16" dxfId="0" stopIfTrue="1">
      <formula>AND(C10&lt;&gt;"", COUNTIF($I4:I9,C10)=0)</formula>
    </cfRule>
  </conditionalFormatting>
  <conditionalFormatting sqref="D10">
    <cfRule type="expression" priority="17" dxfId="0" stopIfTrue="1">
      <formula>AND(D10&lt;&gt;"", COUNTIF($I4:I9,D10)=0)</formula>
    </cfRule>
  </conditionalFormatting>
  <conditionalFormatting sqref="E10">
    <cfRule type="expression" priority="18" dxfId="0" stopIfTrue="1">
      <formula>AND(E10&lt;&gt;"", COUNTIF($I4:I9,E10)=0)</formula>
    </cfRule>
  </conditionalFormatting>
  <conditionalFormatting sqref="F10">
    <cfRule type="expression" priority="19" dxfId="0" stopIfTrue="1">
      <formula>AND(F10&lt;&gt;"", COUNTIF($I4:I9,F10)=0)</formula>
    </cfRule>
  </conditionalFormatting>
  <conditionalFormatting sqref="G10">
    <cfRule type="expression" priority="20" dxfId="0" stopIfTrue="1">
      <formula>AND(G10&lt;&gt;"", COUNTIF($I4:I9,G10)=0)</formula>
    </cfRule>
  </conditionalFormatting>
  <conditionalFormatting sqref="C12">
    <cfRule type="expression" priority="21" dxfId="0" stopIfTrue="1">
      <formula>AND(C12&lt;&gt;"", COUNTIF($I4:I9,C12)=0)</formula>
    </cfRule>
  </conditionalFormatting>
  <conditionalFormatting sqref="D12">
    <cfRule type="expression" priority="22" dxfId="0" stopIfTrue="1">
      <formula>AND(D12&lt;&gt;"", COUNTIF($I4:I9,D12)=0)</formula>
    </cfRule>
  </conditionalFormatting>
  <conditionalFormatting sqref="E12">
    <cfRule type="expression" priority="23" dxfId="0" stopIfTrue="1">
      <formula>AND(E12&lt;&gt;"", COUNTIF($I4:I9,E12)=0)</formula>
    </cfRule>
  </conditionalFormatting>
  <conditionalFormatting sqref="F12">
    <cfRule type="expression" priority="24" dxfId="0" stopIfTrue="1">
      <formula>AND(F12&lt;&gt;"", COUNTIF($I4:I9,F12)=0)</formula>
    </cfRule>
  </conditionalFormatting>
  <conditionalFormatting sqref="G12">
    <cfRule type="expression" priority="25" dxfId="0" stopIfTrue="1">
      <formula>AND(G12&lt;&gt;"", COUNTIF($I4:I9,G12)=0)</formula>
    </cfRule>
  </conditionalFormatting>
  <conditionalFormatting sqref="C14">
    <cfRule type="expression" priority="26" dxfId="0" stopIfTrue="1">
      <formula>AND(C14&lt;&gt;"", COUNTIF($I4:I9,C14)=0)</formula>
    </cfRule>
  </conditionalFormatting>
  <conditionalFormatting sqref="D14">
    <cfRule type="expression" priority="27" dxfId="0" stopIfTrue="1">
      <formula>AND(D14&lt;&gt;"", COUNTIF($I4:I9,D14)=0)</formula>
    </cfRule>
  </conditionalFormatting>
  <conditionalFormatting sqref="E14">
    <cfRule type="expression" priority="28" dxfId="0" stopIfTrue="1">
      <formula>AND(E14&lt;&gt;"", COUNTIF($I4:I9,E14)=0)</formula>
    </cfRule>
  </conditionalFormatting>
  <conditionalFormatting sqref="F14">
    <cfRule type="expression" priority="29" dxfId="0" stopIfTrue="1">
      <formula>AND(F14&lt;&gt;"", COUNTIF($I4:I9,F14)=0)</formula>
    </cfRule>
  </conditionalFormatting>
  <conditionalFormatting sqref="G14">
    <cfRule type="expression" priority="30" dxfId="0" stopIfTrue="1">
      <formula>AND(G14&lt;&gt;"", COUNTIF($I4:I9,G14)=0)</formula>
    </cfRule>
  </conditionalFormatting>
  <conditionalFormatting sqref="C5">
    <cfRule type="expression" priority="31" dxfId="1" stopIfTrue="1">
      <formula>AND(C5&lt;&gt;"", COUNTIF($O4:O4,C5)=0)</formula>
    </cfRule>
    <cfRule type="expression" priority="61" dxfId="2" stopIfTrue="1">
      <formula>AND(C4&lt;&gt;"", C5="")</formula>
    </cfRule>
  </conditionalFormatting>
  <conditionalFormatting sqref="D5">
    <cfRule type="expression" priority="32" dxfId="1" stopIfTrue="1">
      <formula>AND(D5&lt;&gt;"", COUNTIF($O4:O4,D5)=0)</formula>
    </cfRule>
    <cfRule type="expression" priority="62" dxfId="2" stopIfTrue="1">
      <formula>AND(D4&lt;&gt;"", D5="")</formula>
    </cfRule>
  </conditionalFormatting>
  <conditionalFormatting sqref="E5">
    <cfRule type="expression" priority="33" dxfId="1" stopIfTrue="1">
      <formula>AND(E5&lt;&gt;"", COUNTIF($O4:O4,E5)=0)</formula>
    </cfRule>
    <cfRule type="expression" priority="63" dxfId="2" stopIfTrue="1">
      <formula>AND(E4&lt;&gt;"", E5="")</formula>
    </cfRule>
  </conditionalFormatting>
  <conditionalFormatting sqref="F5">
    <cfRule type="expression" priority="34" dxfId="1" stopIfTrue="1">
      <formula>AND(F5&lt;&gt;"", COUNTIF($O4:O4,F5)=0)</formula>
    </cfRule>
    <cfRule type="expression" priority="64" dxfId="2" stopIfTrue="1">
      <formula>AND(F4&lt;&gt;"", F5="")</formula>
    </cfRule>
  </conditionalFormatting>
  <conditionalFormatting sqref="G5">
    <cfRule type="expression" priority="35" dxfId="1" stopIfTrue="1">
      <formula>AND(G5&lt;&gt;"", COUNTIF($O4:O4,G5)=0)</formula>
    </cfRule>
    <cfRule type="expression" priority="65" dxfId="2" stopIfTrue="1">
      <formula>AND(G4&lt;&gt;"", G5="")</formula>
    </cfRule>
  </conditionalFormatting>
  <conditionalFormatting sqref="C7">
    <cfRule type="expression" priority="36" dxfId="1" stopIfTrue="1">
      <formula>AND(C7&lt;&gt;"", COUNTIF($O4:O4,C7)=0)</formula>
    </cfRule>
    <cfRule type="expression" priority="66" dxfId="2" stopIfTrue="1">
      <formula>AND(C6&lt;&gt;"", C7="")</formula>
    </cfRule>
  </conditionalFormatting>
  <conditionalFormatting sqref="D7">
    <cfRule type="expression" priority="37" dxfId="1" stopIfTrue="1">
      <formula>AND(D7&lt;&gt;"", COUNTIF($O4:O4,D7)=0)</formula>
    </cfRule>
    <cfRule type="expression" priority="67" dxfId="2" stopIfTrue="1">
      <formula>AND(D6&lt;&gt;"", D7="")</formula>
    </cfRule>
  </conditionalFormatting>
  <conditionalFormatting sqref="E7">
    <cfRule type="expression" priority="38" dxfId="1" stopIfTrue="1">
      <formula>AND(E7&lt;&gt;"", COUNTIF($O4:O4,E7)=0)</formula>
    </cfRule>
    <cfRule type="expression" priority="68" dxfId="2" stopIfTrue="1">
      <formula>AND(E6&lt;&gt;"", E7="")</formula>
    </cfRule>
  </conditionalFormatting>
  <conditionalFormatting sqref="F7">
    <cfRule type="expression" priority="39" dxfId="1" stopIfTrue="1">
      <formula>AND(F7&lt;&gt;"", COUNTIF($O4:O4,F7)=0)</formula>
    </cfRule>
    <cfRule type="expression" priority="69" dxfId="2" stopIfTrue="1">
      <formula>AND(F6&lt;&gt;"", F7="")</formula>
    </cfRule>
  </conditionalFormatting>
  <conditionalFormatting sqref="G7">
    <cfRule type="expression" priority="40" dxfId="1" stopIfTrue="1">
      <formula>AND(G7&lt;&gt;"", COUNTIF($O4:O4,G7)=0)</formula>
    </cfRule>
    <cfRule type="expression" priority="70" dxfId="2" stopIfTrue="1">
      <formula>AND(G6&lt;&gt;"", G7="")</formula>
    </cfRule>
  </conditionalFormatting>
  <conditionalFormatting sqref="C9">
    <cfRule type="expression" priority="41" dxfId="1" stopIfTrue="1">
      <formula>AND(C9&lt;&gt;"", COUNTIF($O4:O4,C9)=0)</formula>
    </cfRule>
    <cfRule type="expression" priority="71" dxfId="2" stopIfTrue="1">
      <formula>AND(C8&lt;&gt;"", C9="")</formula>
    </cfRule>
  </conditionalFormatting>
  <conditionalFormatting sqref="D9">
    <cfRule type="expression" priority="42" dxfId="1" stopIfTrue="1">
      <formula>AND(D9&lt;&gt;"", COUNTIF($O4:O4,D9)=0)</formula>
    </cfRule>
    <cfRule type="expression" priority="72" dxfId="2" stopIfTrue="1">
      <formula>AND(D8&lt;&gt;"", D9="")</formula>
    </cfRule>
  </conditionalFormatting>
  <conditionalFormatting sqref="E9">
    <cfRule type="expression" priority="43" dxfId="1" stopIfTrue="1">
      <formula>AND(E9&lt;&gt;"", COUNTIF($O4:O4,E9)=0)</formula>
    </cfRule>
    <cfRule type="expression" priority="73" dxfId="2" stopIfTrue="1">
      <formula>AND(E8&lt;&gt;"", E9="")</formula>
    </cfRule>
  </conditionalFormatting>
  <conditionalFormatting sqref="F9">
    <cfRule type="expression" priority="44" dxfId="1" stopIfTrue="1">
      <formula>AND(F9&lt;&gt;"", COUNTIF($O4:O4,F9)=0)</formula>
    </cfRule>
    <cfRule type="expression" priority="74" dxfId="2" stopIfTrue="1">
      <formula>AND(F8&lt;&gt;"", F9="")</formula>
    </cfRule>
  </conditionalFormatting>
  <conditionalFormatting sqref="G9">
    <cfRule type="expression" priority="45" dxfId="1" stopIfTrue="1">
      <formula>AND(G9&lt;&gt;"", COUNTIF($O4:O4,G9)=0)</formula>
    </cfRule>
    <cfRule type="expression" priority="75" dxfId="2" stopIfTrue="1">
      <formula>AND(G8&lt;&gt;"", G9="")</formula>
    </cfRule>
  </conditionalFormatting>
  <conditionalFormatting sqref="C11">
    <cfRule type="expression" priority="46" dxfId="1" stopIfTrue="1">
      <formula>AND(C11&lt;&gt;"", COUNTIF($O4:O4,C11)=0)</formula>
    </cfRule>
    <cfRule type="expression" priority="76" dxfId="2" stopIfTrue="1">
      <formula>AND(C10&lt;&gt;"", C11="")</formula>
    </cfRule>
  </conditionalFormatting>
  <conditionalFormatting sqref="D11">
    <cfRule type="expression" priority="47" dxfId="1" stopIfTrue="1">
      <formula>AND(D11&lt;&gt;"", COUNTIF($O4:O4,D11)=0)</formula>
    </cfRule>
    <cfRule type="expression" priority="77" dxfId="2" stopIfTrue="1">
      <formula>AND(D10&lt;&gt;"", D11="")</formula>
    </cfRule>
  </conditionalFormatting>
  <conditionalFormatting sqref="E11">
    <cfRule type="expression" priority="48" dxfId="1" stopIfTrue="1">
      <formula>AND(E11&lt;&gt;"", COUNTIF($O4:O4,E11)=0)</formula>
    </cfRule>
    <cfRule type="expression" priority="78" dxfId="2" stopIfTrue="1">
      <formula>AND(E10&lt;&gt;"", E11="")</formula>
    </cfRule>
  </conditionalFormatting>
  <conditionalFormatting sqref="F11">
    <cfRule type="expression" priority="49" dxfId="1" stopIfTrue="1">
      <formula>AND(F11&lt;&gt;"", COUNTIF($O4:O4,F11)=0)</formula>
    </cfRule>
    <cfRule type="expression" priority="79" dxfId="2" stopIfTrue="1">
      <formula>AND(F10&lt;&gt;"", F11="")</formula>
    </cfRule>
  </conditionalFormatting>
  <conditionalFormatting sqref="G11">
    <cfRule type="expression" priority="50" dxfId="1" stopIfTrue="1">
      <formula>AND(G11&lt;&gt;"", COUNTIF($O4:O4,G11)=0)</formula>
    </cfRule>
    <cfRule type="expression" priority="80" dxfId="2" stopIfTrue="1">
      <formula>AND(G10&lt;&gt;"", G11="")</formula>
    </cfRule>
  </conditionalFormatting>
  <conditionalFormatting sqref="C13">
    <cfRule type="expression" priority="51" dxfId="1" stopIfTrue="1">
      <formula>AND(C13&lt;&gt;"", COUNTIF($O4:O4,C13)=0)</formula>
    </cfRule>
    <cfRule type="expression" priority="81" dxfId="2" stopIfTrue="1">
      <formula>AND(C12&lt;&gt;"", C13="")</formula>
    </cfRule>
  </conditionalFormatting>
  <conditionalFormatting sqref="D13">
    <cfRule type="expression" priority="52" dxfId="1" stopIfTrue="1">
      <formula>AND(D13&lt;&gt;"", COUNTIF($O4:O4,D13)=0)</formula>
    </cfRule>
    <cfRule type="expression" priority="82" dxfId="2" stopIfTrue="1">
      <formula>AND(D12&lt;&gt;"", D13="")</formula>
    </cfRule>
  </conditionalFormatting>
  <conditionalFormatting sqref="E13">
    <cfRule type="expression" priority="53" dxfId="1" stopIfTrue="1">
      <formula>AND(E13&lt;&gt;"", COUNTIF($O4:O4,E13)=0)</formula>
    </cfRule>
    <cfRule type="expression" priority="83" dxfId="2" stopIfTrue="1">
      <formula>AND(E12&lt;&gt;"", E13="")</formula>
    </cfRule>
  </conditionalFormatting>
  <conditionalFormatting sqref="F13">
    <cfRule type="expression" priority="54" dxfId="1" stopIfTrue="1">
      <formula>AND(F13&lt;&gt;"", COUNTIF($O4:O4,F13)=0)</formula>
    </cfRule>
    <cfRule type="expression" priority="84" dxfId="2" stopIfTrue="1">
      <formula>AND(F12&lt;&gt;"", F13="")</formula>
    </cfRule>
  </conditionalFormatting>
  <conditionalFormatting sqref="G13">
    <cfRule type="expression" priority="55" dxfId="1" stopIfTrue="1">
      <formula>AND(G13&lt;&gt;"", COUNTIF($O4:O4,G13)=0)</formula>
    </cfRule>
    <cfRule type="expression" priority="85" dxfId="2" stopIfTrue="1">
      <formula>AND(G12&lt;&gt;"", G13="")</formula>
    </cfRule>
  </conditionalFormatting>
  <conditionalFormatting sqref="C15">
    <cfRule type="expression" priority="56" dxfId="1" stopIfTrue="1">
      <formula>AND(C15&lt;&gt;"", COUNTIF($O4:O4,C15)=0)</formula>
    </cfRule>
    <cfRule type="expression" priority="86" dxfId="2" stopIfTrue="1">
      <formula>AND(C14&lt;&gt;"", C15="")</formula>
    </cfRule>
  </conditionalFormatting>
  <conditionalFormatting sqref="D15">
    <cfRule type="expression" priority="57" dxfId="1" stopIfTrue="1">
      <formula>AND(D15&lt;&gt;"", COUNTIF($O4:O4,D15)=0)</formula>
    </cfRule>
    <cfRule type="expression" priority="87" dxfId="2" stopIfTrue="1">
      <formula>AND(D14&lt;&gt;"", D15="")</formula>
    </cfRule>
  </conditionalFormatting>
  <conditionalFormatting sqref="E15">
    <cfRule type="expression" priority="58" dxfId="1" stopIfTrue="1">
      <formula>AND(E15&lt;&gt;"", COUNTIF($O4:O4,E15)=0)</formula>
    </cfRule>
    <cfRule type="expression" priority="88" dxfId="2" stopIfTrue="1">
      <formula>AND(E14&lt;&gt;"", E15="")</formula>
    </cfRule>
  </conditionalFormatting>
  <conditionalFormatting sqref="F15">
    <cfRule type="expression" priority="59" dxfId="1" stopIfTrue="1">
      <formula>AND(F15&lt;&gt;"", COUNTIF($O4:O4,F15)=0)</formula>
    </cfRule>
    <cfRule type="expression" priority="89" dxfId="2" stopIfTrue="1">
      <formula>AND(F14&lt;&gt;"", F15="")</formula>
    </cfRule>
  </conditionalFormatting>
  <conditionalFormatting sqref="G15">
    <cfRule type="expression" priority="60" dxfId="1" stopIfTrue="1">
      <formula>AND(G15&lt;&gt;"", COUNTIF($O4:O4,G15)=0)</formula>
    </cfRule>
    <cfRule type="expression" priority="90" dxfId="2" stopIfTrue="1">
      <formula>AND(G14&lt;&gt;"", G15="")</formula>
    </cfRule>
  </conditionalFormatting>
  <conditionalFormatting sqref="J4">
    <cfRule type="expression" priority="91" dxfId="3" stopIfTrue="1">
      <formula>AND(J4&lt;&gt;"", M4&gt;0, L4=0)</formula>
    </cfRule>
    <cfRule type="expression" priority="97" dxfId="4" stopIfTrue="1">
      <formula>AND(J4&lt;&gt;"", M4&gt;0, L4&lt;0)</formula>
    </cfRule>
    <cfRule type="expression" priority="103" dxfId="5" stopIfTrue="1">
      <formula>AND(J4&lt;&gt;"", M4&gt;0, L4&gt;0, L4&lt;K4)</formula>
    </cfRule>
  </conditionalFormatting>
  <conditionalFormatting sqref="J5">
    <cfRule type="expression" priority="92" dxfId="3" stopIfTrue="1">
      <formula>AND(J5&lt;&gt;"", M5&gt;0, L5=0)</formula>
    </cfRule>
    <cfRule type="expression" priority="98" dxfId="4" stopIfTrue="1">
      <formula>AND(J5&lt;&gt;"", M5&gt;0, L5&lt;0)</formula>
    </cfRule>
    <cfRule type="expression" priority="104" dxfId="5" stopIfTrue="1">
      <formula>AND(J5&lt;&gt;"", M5&gt;0, L5&gt;0, L5&lt;K5)</formula>
    </cfRule>
  </conditionalFormatting>
  <conditionalFormatting sqref="J6">
    <cfRule type="expression" priority="93" dxfId="3" stopIfTrue="1">
      <formula>AND(J6&lt;&gt;"", M6&gt;0, L6=0)</formula>
    </cfRule>
    <cfRule type="expression" priority="99" dxfId="4" stopIfTrue="1">
      <formula>AND(J6&lt;&gt;"", M6&gt;0, L6&lt;0)</formula>
    </cfRule>
    <cfRule type="expression" priority="105" dxfId="5" stopIfTrue="1">
      <formula>AND(J6&lt;&gt;"", M6&gt;0, L6&gt;0, L6&lt;K6)</formula>
    </cfRule>
  </conditionalFormatting>
  <conditionalFormatting sqref="J7">
    <cfRule type="expression" priority="94" dxfId="3" stopIfTrue="1">
      <formula>AND(J7&lt;&gt;"", M7&gt;0, L7=0)</formula>
    </cfRule>
    <cfRule type="expression" priority="100" dxfId="4" stopIfTrue="1">
      <formula>AND(J7&lt;&gt;"", M7&gt;0, L7&lt;0)</formula>
    </cfRule>
    <cfRule type="expression" priority="106" dxfId="5" stopIfTrue="1">
      <formula>AND(J7&lt;&gt;"", M7&gt;0, L7&gt;0, L7&lt;K7)</formula>
    </cfRule>
  </conditionalFormatting>
  <conditionalFormatting sqref="J8">
    <cfRule type="expression" priority="95" dxfId="3" stopIfTrue="1">
      <formula>AND(J8&lt;&gt;"", M8&gt;0, L8=0)</formula>
    </cfRule>
    <cfRule type="expression" priority="101" dxfId="4" stopIfTrue="1">
      <formula>AND(J8&lt;&gt;"", M8&gt;0, L8&lt;0)</formula>
    </cfRule>
    <cfRule type="expression" priority="107" dxfId="5" stopIfTrue="1">
      <formula>AND(J8&lt;&gt;"", M8&gt;0, L8&gt;0, L8&lt;K8)</formula>
    </cfRule>
  </conditionalFormatting>
  <conditionalFormatting sqref="J9">
    <cfRule type="expression" priority="96" dxfId="3" stopIfTrue="1">
      <formula>AND(J9&lt;&gt;"", M9&gt;0, L9=0)</formula>
    </cfRule>
    <cfRule type="expression" priority="102" dxfId="4" stopIfTrue="1">
      <formula>AND(J9&lt;&gt;"", M9&gt;0, L9&lt;0)</formula>
    </cfRule>
    <cfRule type="expression" priority="108" dxfId="5" stopIfTrue="1">
      <formula>AND(J9&lt;&gt;"", M9&gt;0, L9&gt;0, L9&lt;K9)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/>
      <c r="B2" t="inlineStr"/>
      <c r="C2" t="inlineStr">
        <is>
          <t>1</t>
        </is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8</t>
        </is>
      </c>
      <c r="K2" t="inlineStr">
        <is>
          <t>9</t>
        </is>
      </c>
      <c r="L2" t="inlineStr">
        <is>
          <t>Lab</t>
        </is>
      </c>
    </row>
    <row r="3">
      <c r="A3" t="inlineStr"/>
      <c r="B3" s="7" t="inlineStr">
        <is>
          <t>Lunes</t>
        </is>
      </c>
      <c r="C3" s="7" t="inlineStr">
        <is>
          <t>Aula 1</t>
        </is>
      </c>
      <c r="D3" s="7" t="inlineStr">
        <is>
          <t>Aula 2</t>
        </is>
      </c>
      <c r="E3" s="7" t="inlineStr">
        <is>
          <t>Aula 3</t>
        </is>
      </c>
      <c r="F3" s="7" t="inlineStr">
        <is>
          <t>Aula 4</t>
        </is>
      </c>
      <c r="G3" s="7" t="inlineStr">
        <is>
          <t>Aula 5</t>
        </is>
      </c>
      <c r="H3" s="7" t="inlineStr">
        <is>
          <t>Aula 6</t>
        </is>
      </c>
      <c r="I3" s="7" t="inlineStr">
        <is>
          <t>Aula 7</t>
        </is>
      </c>
      <c r="J3" s="7" t="inlineStr">
        <is>
          <t>Aula 8</t>
        </is>
      </c>
      <c r="K3" s="7" t="inlineStr">
        <is>
          <t>Aula 9</t>
        </is>
      </c>
      <c r="L3" s="7" t="inlineStr">
        <is>
          <t>Lab</t>
        </is>
      </c>
    </row>
    <row r="4">
      <c r="A4" t="inlineStr"/>
      <c r="B4" s="8" t="inlineStr">
        <is>
          <t>1ro</t>
        </is>
      </c>
      <c r="C4" s="8" t="inlineStr"/>
      <c r="D4" s="8" t="inlineStr"/>
      <c r="E4" s="8" t="inlineStr"/>
      <c r="F4" s="8" t="inlineStr"/>
      <c r="G4" s="8" t="inlineStr"/>
      <c r="H4" s="8" t="inlineStr">
        <is>
          <t>C111,C112</t>
        </is>
      </c>
      <c r="I4" s="8" t="inlineStr"/>
      <c r="J4" s="8" t="inlineStr"/>
      <c r="K4" s="8" t="inlineStr"/>
      <c r="L4" s="8" t="inlineStr">
        <is>
          <t>C113</t>
        </is>
      </c>
    </row>
    <row r="5">
      <c r="A5" t="inlineStr"/>
      <c r="B5" s="8" t="inlineStr">
        <is>
          <t>2do</t>
        </is>
      </c>
      <c r="C5" s="8" t="inlineStr"/>
      <c r="D5" s="8" t="inlineStr"/>
      <c r="E5" s="8" t="inlineStr"/>
      <c r="F5" s="8" t="inlineStr"/>
      <c r="G5" s="8" t="inlineStr">
        <is>
          <t>C112</t>
        </is>
      </c>
      <c r="H5" s="8" t="inlineStr">
        <is>
          <t>C113</t>
        </is>
      </c>
      <c r="I5" s="8" t="inlineStr"/>
      <c r="J5" s="8" t="inlineStr"/>
      <c r="K5" s="8" t="inlineStr"/>
      <c r="L5" s="8" t="inlineStr"/>
    </row>
    <row r="6">
      <c r="A6" t="inlineStr"/>
      <c r="B6" s="8" t="inlineStr">
        <is>
          <t>3ro</t>
        </is>
      </c>
      <c r="C6" s="8" t="inlineStr"/>
      <c r="D6" s="8" t="inlineStr"/>
      <c r="E6" s="8" t="inlineStr"/>
      <c r="F6" s="8" t="inlineStr"/>
      <c r="G6" s="8" t="inlineStr"/>
      <c r="H6" s="8" t="inlineStr">
        <is>
          <t>C111,C113</t>
        </is>
      </c>
      <c r="I6" s="8" t="inlineStr"/>
      <c r="J6" s="8" t="inlineStr">
        <is>
          <t>C112</t>
        </is>
      </c>
      <c r="K6" s="8" t="inlineStr"/>
      <c r="L6" s="8" t="inlineStr"/>
    </row>
    <row r="7">
      <c r="A7" t="inlineStr"/>
      <c r="B7" s="8" t="inlineStr">
        <is>
          <t>4to</t>
        </is>
      </c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</row>
    <row r="8">
      <c r="A8" t="inlineStr"/>
      <c r="B8" s="8" t="inlineStr">
        <is>
          <t>5to</t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</row>
    <row r="9">
      <c r="A9" t="inlineStr"/>
      <c r="B9" s="8" t="inlineStr">
        <is>
          <t>6to</t>
        </is>
      </c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</row>
    <row r="10">
      <c r="A10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</row>
    <row r="11">
      <c r="A11" t="inlineStr"/>
      <c r="B11" s="8" t="inlineStr">
        <is>
          <t>Martes</t>
        </is>
      </c>
      <c r="C11" s="8" t="inlineStr">
        <is>
          <t>Aula 1</t>
        </is>
      </c>
      <c r="D11" s="8" t="inlineStr">
        <is>
          <t>Aula 2</t>
        </is>
      </c>
      <c r="E11" s="8" t="inlineStr">
        <is>
          <t>Aula 3</t>
        </is>
      </c>
      <c r="F11" s="8" t="inlineStr">
        <is>
          <t>Aula 4</t>
        </is>
      </c>
      <c r="G11" s="8" t="inlineStr">
        <is>
          <t>Aula 5</t>
        </is>
      </c>
      <c r="H11" s="8" t="inlineStr">
        <is>
          <t>Aula 6</t>
        </is>
      </c>
      <c r="I11" s="8" t="inlineStr">
        <is>
          <t>Aula 7</t>
        </is>
      </c>
      <c r="J11" s="8" t="inlineStr">
        <is>
          <t>Aula 8</t>
        </is>
      </c>
      <c r="K11" s="8" t="inlineStr">
        <is>
          <t>Aula 9</t>
        </is>
      </c>
      <c r="L11" s="8" t="inlineStr">
        <is>
          <t>Lab</t>
        </is>
      </c>
    </row>
    <row r="12">
      <c r="A12" t="inlineStr"/>
      <c r="B12" s="8" t="inlineStr">
        <is>
          <t>1ro</t>
        </is>
      </c>
      <c r="C12" s="8" t="inlineStr"/>
      <c r="D12" s="8" t="inlineStr">
        <is>
          <t>C112</t>
        </is>
      </c>
      <c r="E12" s="8" t="inlineStr"/>
      <c r="F12" s="8" t="inlineStr"/>
      <c r="G12" s="8" t="inlineStr"/>
      <c r="H12" s="8" t="inlineStr">
        <is>
          <t>C111</t>
        </is>
      </c>
      <c r="I12" s="8" t="inlineStr">
        <is>
          <t>C113</t>
        </is>
      </c>
      <c r="J12" s="8" t="inlineStr"/>
      <c r="K12" s="8" t="inlineStr"/>
      <c r="L12" s="8" t="inlineStr"/>
    </row>
    <row r="13">
      <c r="A13" t="inlineStr"/>
      <c r="B13" s="8" t="inlineStr">
        <is>
          <t>2do</t>
        </is>
      </c>
      <c r="C13" s="8" t="inlineStr">
        <is>
          <t>C111</t>
        </is>
      </c>
      <c r="D13" s="8" t="inlineStr"/>
      <c r="E13" s="8" t="inlineStr"/>
      <c r="F13" s="8" t="inlineStr"/>
      <c r="G13" s="8" t="inlineStr"/>
      <c r="H13" s="8" t="inlineStr">
        <is>
          <t>C112,C113</t>
        </is>
      </c>
      <c r="I13" s="8" t="inlineStr"/>
      <c r="J13" s="8" t="inlineStr"/>
      <c r="K13" s="8" t="inlineStr"/>
      <c r="L13" s="8" t="inlineStr"/>
    </row>
    <row r="14">
      <c r="A14" t="inlineStr"/>
      <c r="B14" s="8" t="inlineStr">
        <is>
          <t>3ro</t>
        </is>
      </c>
      <c r="C14" s="8" t="inlineStr"/>
      <c r="D14" s="8" t="inlineStr"/>
      <c r="E14" s="8" t="inlineStr"/>
      <c r="F14" s="8" t="inlineStr"/>
      <c r="G14" s="8" t="inlineStr"/>
      <c r="H14" s="8" t="inlineStr">
        <is>
          <t>C111,C112,C113</t>
        </is>
      </c>
      <c r="I14" s="8" t="inlineStr"/>
      <c r="J14" s="8" t="inlineStr"/>
      <c r="K14" s="8" t="inlineStr"/>
      <c r="L14" s="8" t="inlineStr"/>
    </row>
    <row r="15">
      <c r="A15" t="inlineStr"/>
      <c r="B15" s="8" t="inlineStr">
        <is>
          <t>4to</t>
        </is>
      </c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</row>
    <row r="16">
      <c r="A16" t="inlineStr"/>
      <c r="B16" s="8" t="inlineStr">
        <is>
          <t>5to</t>
        </is>
      </c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</row>
    <row r="17">
      <c r="A17" t="inlineStr"/>
      <c r="B17" s="7" t="inlineStr">
        <is>
          <t>6to</t>
        </is>
      </c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</row>
    <row r="18">
      <c r="A18" t="inlineStr"/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</row>
    <row r="19">
      <c r="A19" t="inlineStr"/>
      <c r="B19" s="8" t="inlineStr">
        <is>
          <t>Miércoles</t>
        </is>
      </c>
      <c r="C19" s="8" t="inlineStr">
        <is>
          <t>Aula 1</t>
        </is>
      </c>
      <c r="D19" s="8" t="inlineStr">
        <is>
          <t>Aula 2</t>
        </is>
      </c>
      <c r="E19" s="8" t="inlineStr">
        <is>
          <t>Aula 3</t>
        </is>
      </c>
      <c r="F19" s="8" t="inlineStr">
        <is>
          <t>Aula 4</t>
        </is>
      </c>
      <c r="G19" s="8" t="inlineStr">
        <is>
          <t>Aula 5</t>
        </is>
      </c>
      <c r="H19" s="8" t="inlineStr">
        <is>
          <t>Aula 6</t>
        </is>
      </c>
      <c r="I19" s="8" t="inlineStr">
        <is>
          <t>Aula 7</t>
        </is>
      </c>
      <c r="J19" s="8" t="inlineStr">
        <is>
          <t>Aula 8</t>
        </is>
      </c>
      <c r="K19" s="8" t="inlineStr">
        <is>
          <t>Aula 9</t>
        </is>
      </c>
      <c r="L19" s="8" t="inlineStr">
        <is>
          <t>Lab</t>
        </is>
      </c>
    </row>
    <row r="20">
      <c r="A20" t="inlineStr"/>
      <c r="B20" s="8" t="inlineStr">
        <is>
          <t>1ro</t>
        </is>
      </c>
      <c r="C20" s="8" t="inlineStr"/>
      <c r="D20" s="8" t="inlineStr"/>
      <c r="E20" s="8" t="inlineStr"/>
      <c r="F20" s="8" t="inlineStr"/>
      <c r="G20" s="8" t="inlineStr">
        <is>
          <t>C112</t>
        </is>
      </c>
      <c r="H20" s="8" t="inlineStr">
        <is>
          <t>C111</t>
        </is>
      </c>
      <c r="I20" s="8" t="inlineStr"/>
      <c r="J20" s="8" t="inlineStr">
        <is>
          <t>C113</t>
        </is>
      </c>
      <c r="K20" s="8" t="inlineStr"/>
      <c r="L20" s="8" t="inlineStr"/>
    </row>
    <row r="21">
      <c r="A21" t="inlineStr"/>
      <c r="B21" s="8" t="inlineStr">
        <is>
          <t>2do</t>
        </is>
      </c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</row>
    <row r="22">
      <c r="A22" t="inlineStr"/>
      <c r="B22" s="8" t="inlineStr">
        <is>
          <t>3ro</t>
        </is>
      </c>
      <c r="C22" s="8" t="inlineStr"/>
      <c r="D22" s="8" t="inlineStr">
        <is>
          <t>C112</t>
        </is>
      </c>
      <c r="E22" s="8" t="inlineStr"/>
      <c r="F22" s="8" t="inlineStr"/>
      <c r="G22" s="8" t="inlineStr">
        <is>
          <t>C113</t>
        </is>
      </c>
      <c r="H22" s="8" t="inlineStr">
        <is>
          <t>C111</t>
        </is>
      </c>
      <c r="I22" s="8" t="inlineStr"/>
      <c r="J22" s="8" t="inlineStr"/>
      <c r="K22" s="8" t="inlineStr"/>
      <c r="L22" s="8" t="inlineStr"/>
    </row>
    <row r="23">
      <c r="A23" t="inlineStr"/>
      <c r="B23" s="8" t="inlineStr">
        <is>
          <t>4to</t>
        </is>
      </c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</row>
    <row r="24">
      <c r="A24" t="inlineStr"/>
      <c r="B24" s="7" t="inlineStr">
        <is>
          <t>5to</t>
        </is>
      </c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</row>
    <row r="25">
      <c r="A25" t="inlineStr"/>
      <c r="B25" s="8" t="inlineStr">
        <is>
          <t>6to</t>
        </is>
      </c>
      <c r="C25" s="8" t="inlineStr"/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</row>
    <row r="26">
      <c r="A26" t="inlineStr"/>
      <c r="B26" s="8" t="inlineStr"/>
      <c r="C26" s="8" t="inlineStr"/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/>
    </row>
    <row r="27">
      <c r="A27" t="inlineStr"/>
      <c r="B27" s="8" t="inlineStr">
        <is>
          <t>Jueves</t>
        </is>
      </c>
      <c r="C27" s="8" t="inlineStr">
        <is>
          <t>Aula 1</t>
        </is>
      </c>
      <c r="D27" s="8" t="inlineStr">
        <is>
          <t>Aula 2</t>
        </is>
      </c>
      <c r="E27" s="8" t="inlineStr">
        <is>
          <t>Aula 3</t>
        </is>
      </c>
      <c r="F27" s="8" t="inlineStr">
        <is>
          <t>Aula 4</t>
        </is>
      </c>
      <c r="G27" s="8" t="inlineStr">
        <is>
          <t>Aula 5</t>
        </is>
      </c>
      <c r="H27" s="8" t="inlineStr">
        <is>
          <t>Aula 6</t>
        </is>
      </c>
      <c r="I27" s="8" t="inlineStr">
        <is>
          <t>Aula 7</t>
        </is>
      </c>
      <c r="J27" s="8" t="inlineStr">
        <is>
          <t>Aula 8</t>
        </is>
      </c>
      <c r="K27" s="8" t="inlineStr">
        <is>
          <t>Aula 9</t>
        </is>
      </c>
      <c r="L27" s="8" t="inlineStr">
        <is>
          <t>Lab</t>
        </is>
      </c>
    </row>
    <row r="28">
      <c r="A28" t="inlineStr"/>
      <c r="B28" s="8" t="inlineStr">
        <is>
          <t>1ro</t>
        </is>
      </c>
      <c r="C28" s="8" t="inlineStr">
        <is>
          <t>C113</t>
        </is>
      </c>
      <c r="D28" s="8" t="inlineStr"/>
      <c r="E28" s="8" t="inlineStr"/>
      <c r="F28" s="8" t="inlineStr"/>
      <c r="G28" s="8" t="inlineStr">
        <is>
          <t>C112</t>
        </is>
      </c>
      <c r="H28" s="8" t="inlineStr">
        <is>
          <t>C111</t>
        </is>
      </c>
      <c r="I28" s="8" t="inlineStr"/>
      <c r="J28" s="8" t="inlineStr"/>
      <c r="K28" s="8" t="inlineStr"/>
      <c r="L28" s="8" t="inlineStr"/>
    </row>
    <row r="29">
      <c r="A29" t="inlineStr"/>
      <c r="B29" s="8" t="inlineStr">
        <is>
          <t>2do</t>
        </is>
      </c>
      <c r="C29" s="8" t="inlineStr">
        <is>
          <t>C113</t>
        </is>
      </c>
      <c r="D29" s="8" t="inlineStr"/>
      <c r="E29" s="8" t="inlineStr"/>
      <c r="F29" s="8" t="inlineStr"/>
      <c r="G29" s="8" t="inlineStr">
        <is>
          <t>C112</t>
        </is>
      </c>
      <c r="H29" s="8" t="inlineStr">
        <is>
          <t>C111</t>
        </is>
      </c>
      <c r="I29" s="8" t="inlineStr"/>
      <c r="J29" s="8" t="inlineStr"/>
      <c r="K29" s="8" t="inlineStr"/>
      <c r="L29" s="8" t="inlineStr"/>
    </row>
    <row r="30">
      <c r="A30" t="inlineStr"/>
      <c r="B30" s="8" t="inlineStr">
        <is>
          <t>3ro</t>
        </is>
      </c>
      <c r="C30" s="8" t="inlineStr">
        <is>
          <t>C113</t>
        </is>
      </c>
      <c r="D30" s="8" t="inlineStr"/>
      <c r="E30" s="8" t="inlineStr"/>
      <c r="F30" s="8" t="inlineStr"/>
      <c r="G30" s="8" t="inlineStr">
        <is>
          <t>C112</t>
        </is>
      </c>
      <c r="H30" s="8" t="inlineStr">
        <is>
          <t>C111</t>
        </is>
      </c>
      <c r="I30" s="8" t="inlineStr"/>
      <c r="J30" s="8" t="inlineStr"/>
      <c r="K30" s="8" t="inlineStr"/>
      <c r="L30" s="8" t="inlineStr"/>
    </row>
    <row r="31">
      <c r="A31" t="inlineStr"/>
      <c r="B31" s="7" t="inlineStr">
        <is>
          <t>4to</t>
        </is>
      </c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</row>
    <row r="32">
      <c r="A32" t="inlineStr"/>
      <c r="B32" s="8" t="inlineStr">
        <is>
          <t>5to</t>
        </is>
      </c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/>
    </row>
    <row r="33">
      <c r="A33" t="inlineStr"/>
      <c r="B33" s="8" t="inlineStr">
        <is>
          <t>6to</t>
        </is>
      </c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/>
    </row>
    <row r="34">
      <c r="A34" t="inlineStr"/>
      <c r="B34" s="8" t="inlineStr"/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inlineStr"/>
    </row>
    <row r="35">
      <c r="A35" t="inlineStr"/>
      <c r="B35" s="8" t="inlineStr">
        <is>
          <t>Viernes</t>
        </is>
      </c>
      <c r="C35" s="8" t="inlineStr">
        <is>
          <t>Aula 1</t>
        </is>
      </c>
      <c r="D35" s="8" t="inlineStr">
        <is>
          <t>Aula 2</t>
        </is>
      </c>
      <c r="E35" s="8" t="inlineStr">
        <is>
          <t>Aula 3</t>
        </is>
      </c>
      <c r="F35" s="8" t="inlineStr">
        <is>
          <t>Aula 4</t>
        </is>
      </c>
      <c r="G35" s="8" t="inlineStr">
        <is>
          <t>Aula 5</t>
        </is>
      </c>
      <c r="H35" s="8" t="inlineStr">
        <is>
          <t>Aula 6</t>
        </is>
      </c>
      <c r="I35" s="8" t="inlineStr">
        <is>
          <t>Aula 7</t>
        </is>
      </c>
      <c r="J35" s="8" t="inlineStr">
        <is>
          <t>Aula 8</t>
        </is>
      </c>
      <c r="K35" s="8" t="inlineStr">
        <is>
          <t>Aula 9</t>
        </is>
      </c>
      <c r="L35" s="8" t="inlineStr">
        <is>
          <t>Lab</t>
        </is>
      </c>
    </row>
    <row r="36">
      <c r="A36" t="inlineStr"/>
      <c r="B36" s="8" t="inlineStr">
        <is>
          <t>1ro</t>
        </is>
      </c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</row>
    <row r="37">
      <c r="A37" t="inlineStr"/>
      <c r="B37" s="8" t="inlineStr">
        <is>
          <t>2do</t>
        </is>
      </c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  <c r="K37" s="8" t="inlineStr"/>
      <c r="L37" s="8" t="inlineStr">
        <is>
          <t>C112</t>
        </is>
      </c>
    </row>
    <row r="38">
      <c r="A38" t="inlineStr"/>
      <c r="B38" t="inlineStr">
        <is>
          <t>3ro</t>
        </is>
      </c>
      <c r="C38" t="inlineStr"/>
      <c r="D38" t="inlineStr"/>
      <c r="E38" t="inlineStr"/>
      <c r="F38" t="inlineStr"/>
      <c r="G38" t="inlineStr">
        <is>
          <t>C111</t>
        </is>
      </c>
      <c r="H38" t="inlineStr"/>
      <c r="I38" t="inlineStr"/>
      <c r="J38" t="inlineStr"/>
      <c r="K38" t="inlineStr"/>
      <c r="L38" t="inlineStr"/>
    </row>
    <row r="39">
      <c r="A39" t="inlineStr"/>
      <c r="B39" t="inlineStr">
        <is>
          <t>4to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/>
      <c r="B40" t="inlineStr">
        <is>
          <t>5to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/>
      <c r="B41" t="inlineStr">
        <is>
          <t>6to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2026-04-02T22:55:39Z</dcterms:created>
  <dcterms:modified xmlns:dcterms="http://purl.org/dc/terms/" xmlns:xsi="http://www.w3.org/2001/XMLSchema-instance" xsi:type="dcterms:W3CDTF">2026-04-02T22:55:40Z</dcterms:modified>
</cp:coreProperties>
</file>