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es" sheetId="1" state="visible" r:id="rId1"/>
    <sheet xmlns:r="http://schemas.openxmlformats.org/officeDocument/2006/relationships" name="Martes" sheetId="2" state="visible" r:id="rId2"/>
    <sheet xmlns:r="http://schemas.openxmlformats.org/officeDocument/2006/relationships" name="Miércoles" sheetId="3" state="visible" r:id="rId3"/>
    <sheet xmlns:r="http://schemas.openxmlformats.org/officeDocument/2006/relationships" name="Jueves" sheetId="4" state="visible" r:id="rId4"/>
    <sheet xmlns:r="http://schemas.openxmlformats.org/officeDocument/2006/relationships" name="Viernes" sheetId="5" state="visible" r:id="rId5"/>
    <sheet xmlns:r="http://schemas.openxmlformats.org/officeDocument/2006/relationships" name="Sábado" sheetId="6" state="visible" r:id="rId6"/>
    <sheet xmlns:r="http://schemas.openxmlformats.org/officeDocument/2006/relationships" name="Domingo" sheetId="7" state="visible" r:id="rId7"/>
    <sheet xmlns:r="http://schemas.openxmlformats.org/officeDocument/2006/relationships" name="Resumen T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FF4A90E2"/>
        <bgColor rgb="FF4A90E2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A9D18E"/>
        <bgColor rgb="FFA9D18E"/>
      </patternFill>
    </fill>
    <fill>
      <patternFill patternType="solid">
        <fgColor rgb="FFB4C7E7"/>
        <bgColor rgb="FFB4C7E7"/>
      </patternFill>
    </fill>
    <fill>
      <patternFill patternType="solid">
        <fgColor rgb="FFFFA500"/>
        <bgColor rgb="FFFFA500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16:00</t>
        </is>
      </c>
    </row>
    <row r="3">
      <c r="A3" s="2" t="inlineStr">
        <is>
          <t>EL TIEMPO Y LA MEMORIA</t>
        </is>
      </c>
      <c r="B3" s="2" t="n">
        <v>5</v>
      </c>
      <c r="C3" s="2" t="inlineStr">
        <is>
          <t>informativo</t>
        </is>
      </c>
      <c r="D3" s="3">
        <f>IF(A3&lt;&gt;"",IF(ROW()=3,$G2,E2),"")</f>
        <v/>
      </c>
      <c r="E3" s="3">
        <f>IF(A3&lt;&gt;"",TEXT(TIMEVALUE(D3)+(IFERROR(VLOOKUP(A3,$A3:$C19,2,FALSE),0)/1440),"hh:mm"),"")</f>
        <v/>
      </c>
      <c r="F3" s="3">
        <f>IF(A3&lt;&gt;"",IFERROR(VLOOKUP(A3,$A3:$C19,3,FALSE),0),"")</f>
        <v/>
      </c>
      <c r="G3" s="2" t="n"/>
    </row>
    <row r="4">
      <c r="A4" s="2" t="inlineStr">
        <is>
          <t>COORDENADAS</t>
        </is>
      </c>
      <c r="B4" s="2" t="n">
        <v>5</v>
      </c>
      <c r="C4" s="2" t="inlineStr">
        <is>
          <t>informativo</t>
        </is>
      </c>
      <c r="D4" s="3">
        <f>IF(A4&lt;&gt;"",IF(ROW()=3,$G2,E3),"")</f>
        <v/>
      </c>
      <c r="E4" s="3">
        <f>IF(A4&lt;&gt;"",TEXT(TIMEVALUE(D4)+(IFERROR(VLOOKUP(A4,$A3:$C19,2,FALSE),0)/1440),"hh:mm"),"")</f>
        <v/>
      </c>
      <c r="F4" s="3">
        <f>IF(A4&lt;&gt;"",IFERROR(VLOOKUP(A4,$A3:$C19,3,FALSE),0),"")</f>
        <v/>
      </c>
      <c r="G4" s="2" t="n"/>
    </row>
    <row r="5">
      <c r="A5" s="2" t="inlineStr">
        <is>
          <t>REVISTA HOLA HABANA</t>
        </is>
      </c>
      <c r="B5" s="2" t="n">
        <v>50</v>
      </c>
      <c r="C5" s="2" t="inlineStr">
        <is>
          <t>revista</t>
        </is>
      </c>
      <c r="D5" s="4">
        <f>IF(A5&lt;&gt;"",IF(ROW()=3,$G2,E4),"")</f>
        <v/>
      </c>
      <c r="E5" s="4">
        <f>IF(A5&lt;&gt;"",TEXT(TIMEVALUE(D5)+(IFERROR(VLOOKUP(A5,$A3:$C19,2,FALSE),0)/1440),"hh:mm"),"")</f>
        <v/>
      </c>
      <c r="F5" s="4">
        <f>IF(A5&lt;&gt;"",IFERROR(VLOOKUP(A5,$A3:$C19,3,FALSE),0),"")</f>
        <v/>
      </c>
      <c r="G5" s="2" t="n"/>
    </row>
    <row r="6">
      <c r="A6" s="2" t="inlineStr">
        <is>
          <t>DÉCADAS MILAGROSAS</t>
        </is>
      </c>
      <c r="B6" s="2" t="n">
        <v>30</v>
      </c>
      <c r="C6" s="2" t="inlineStr">
        <is>
          <t>musical</t>
        </is>
      </c>
      <c r="D6" s="5">
        <f>IF(A6&lt;&gt;"",IF(ROW()=3,$G2,E5),"")</f>
        <v/>
      </c>
      <c r="E6" s="5">
        <f>IF(A6&lt;&gt;"",TEXT(TIMEVALUE(D6)+(IFERROR(VLOOKUP(A6,$A3:$C19,2,FALSE),0)/1440),"hh:mm"),"")</f>
        <v/>
      </c>
      <c r="F6" s="5">
        <f>IF(A6&lt;&gt;"",IFERROR(VLOOKUP(A6,$A3:$C19,3,FALSE),0),"")</f>
        <v/>
      </c>
      <c r="G6" s="2" t="n"/>
    </row>
    <row r="7">
      <c r="A7" s="2" t="inlineStr">
        <is>
          <t>HABANA NOTICIARIO</t>
        </is>
      </c>
      <c r="B7" s="2" t="n">
        <v>30</v>
      </c>
      <c r="C7" s="2" t="inlineStr">
        <is>
          <t>informativo</t>
        </is>
      </c>
      <c r="D7" s="6">
        <f>IF(A7&lt;&gt;"",IF(ROW()=3,$G2,E6),"")</f>
        <v/>
      </c>
      <c r="E7" s="6">
        <f>IF(A7&lt;&gt;"",TEXT(TIMEVALUE(D7)+(IFERROR(VLOOKUP(A7,$A3:$C19,2,FALSE),0)/1440),"hh:mm"),"")</f>
        <v/>
      </c>
      <c r="F7" s="6">
        <f>IF(A7&lt;&gt;"",IFERROR(VLOOKUP(A7,$A3:$C19,3,FALSE),0),"")</f>
        <v/>
      </c>
      <c r="G7" s="2" t="n"/>
    </row>
    <row r="8">
      <c r="A8" s="2" t="inlineStr">
        <is>
          <t>POWER RANGERS</t>
        </is>
      </c>
      <c r="B8" s="2" t="n">
        <v>30</v>
      </c>
      <c r="C8" s="2" t="inlineStr">
        <is>
          <t>infantil</t>
        </is>
      </c>
      <c r="D8" s="4">
        <f>IF(A8&lt;&gt;"",IF(ROW()=3,$G2,E7),"")</f>
        <v/>
      </c>
      <c r="E8" s="4">
        <f>IF(A8&lt;&gt;"",TEXT(TIMEVALUE(D8)+(IFERROR(VLOOKUP(A8,$A3:$C19,2,FALSE),0)/1440),"hh:mm"),"")</f>
        <v/>
      </c>
      <c r="F8" s="4">
        <f>IF(A8&lt;&gt;"",IFERROR(VLOOKUP(A8,$A3:$C19,3,FALSE),0),"")</f>
        <v/>
      </c>
      <c r="G8" s="2" t="n"/>
    </row>
    <row r="9">
      <c r="A9" s="2" t="inlineStr">
        <is>
          <t>CINECITO EN TV</t>
        </is>
      </c>
      <c r="B9" s="2" t="n">
        <v>25</v>
      </c>
      <c r="C9" s="2" t="inlineStr">
        <is>
          <t>cine</t>
        </is>
      </c>
      <c r="D9" s="4">
        <f>IF(A9&lt;&gt;"",IF(ROW()=3,$G2,E8),"")</f>
        <v/>
      </c>
      <c r="E9" s="4">
        <f>IF(A9&lt;&gt;"",TEXT(TIMEVALUE(D9)+(IFERROR(VLOOKUP(A9,$A3:$C19,2,FALSE),0)/1440),"hh:mm"),"")</f>
        <v/>
      </c>
      <c r="F9" s="4">
        <f>IF(A9&lt;&gt;"",IFERROR(VLOOKUP(A9,$A3:$C19,3,FALSE),0),"")</f>
        <v/>
      </c>
      <c r="G9" s="2" t="n"/>
    </row>
    <row r="10">
      <c r="A10" s="2" t="inlineStr">
        <is>
          <t>COORDENADAS INFANTILES</t>
        </is>
      </c>
      <c r="B10" s="2" t="n">
        <v>5</v>
      </c>
      <c r="C10" s="2" t="inlineStr">
        <is>
          <t>informativo</t>
        </is>
      </c>
      <c r="D10" s="6">
        <f>IF(A10&lt;&gt;"",IF(ROW()=3,$G2,E9),"")</f>
        <v/>
      </c>
      <c r="E10" s="6">
        <f>IF(A10&lt;&gt;"",TEXT(TIMEVALUE(D10)+(IFERROR(VLOOKUP(A10,$A3:$C19,2,FALSE),0)/1440),"hh:mm"),"")</f>
        <v/>
      </c>
      <c r="F10" s="6">
        <f>IF(A10&lt;&gt;"",IFERROR(VLOOKUP(A10,$A3:$C19,3,FALSE),0),"")</f>
        <v/>
      </c>
      <c r="G10" s="2" t="n"/>
    </row>
    <row r="11">
      <c r="A11" s="2" t="inlineStr">
        <is>
          <t>VE Y MIRA</t>
        </is>
      </c>
      <c r="B11" s="2" t="n">
        <v>30</v>
      </c>
      <c r="C11" s="2" t="inlineStr">
        <is>
          <t>cine</t>
        </is>
      </c>
      <c r="D11" s="4">
        <f>IF(A11&lt;&gt;"",IF(ROW()=3,$G2,E10),"")</f>
        <v/>
      </c>
      <c r="E11" s="4">
        <f>IF(A11&lt;&gt;"",TEXT(TIMEVALUE(D11)+(IFERROR(VLOOKUP(A11,$A3:$C19,2,FALSE),0)/1440),"hh:mm"),"")</f>
        <v/>
      </c>
      <c r="F11" s="4">
        <f>IF(A11&lt;&gt;"",IFERROR(VLOOKUP(A11,$A3:$C19,3,FALSE),0),"")</f>
        <v/>
      </c>
      <c r="G11" s="2" t="n"/>
    </row>
    <row r="12">
      <c r="A12" s="2" t="inlineStr">
        <is>
          <t>MÚSICA HABANA</t>
        </is>
      </c>
      <c r="B12" s="2" t="n">
        <v>30</v>
      </c>
      <c r="C12" s="2" t="inlineStr">
        <is>
          <t>musical</t>
        </is>
      </c>
      <c r="D12" s="5">
        <f>IF(A12&lt;&gt;"",IF(ROW()=3,$G2,E11),"")</f>
        <v/>
      </c>
      <c r="E12" s="5">
        <f>IF(A12&lt;&gt;"",TEXT(TIMEVALUE(D12)+(IFERROR(VLOOKUP(A12,$A3:$C19,2,FALSE),0)/1440),"hh:mm"),"")</f>
        <v/>
      </c>
      <c r="F12" s="5">
        <f>IF(A12&lt;&gt;"",IFERROR(VLOOKUP(A12,$A3:$C19,3,FALSE),0),"")</f>
        <v/>
      </c>
      <c r="G12" s="2" t="n"/>
    </row>
    <row r="13">
      <c r="A13" s="2" t="inlineStr">
        <is>
          <t>HABANA COLECCIÓN</t>
        </is>
      </c>
      <c r="B13" s="2" t="n">
        <v>30</v>
      </c>
      <c r="C13" s="2" t="inlineStr">
        <is>
          <t>cultural</t>
        </is>
      </c>
      <c r="D13" s="7">
        <f>IF(A13&lt;&gt;"",IF(ROW()=3,$G2,E12),"")</f>
        <v/>
      </c>
      <c r="E13" s="7">
        <f>IF(A13&lt;&gt;"",TEXT(TIMEVALUE(D13)+(IFERROR(VLOOKUP(A13,$A3:$C19,2,FALSE),0)/1440),"hh:mm"),"")</f>
        <v/>
      </c>
      <c r="F13" s="7">
        <f>IF(A13&lt;&gt;"",IFERROR(VLOOKUP(A13,$A3:$C19,3,FALSE),0),"")</f>
        <v/>
      </c>
      <c r="G13" s="2" t="n"/>
    </row>
    <row r="14">
      <c r="A14" s="2" t="inlineStr">
        <is>
          <t>MÚSICA SÍ</t>
        </is>
      </c>
      <c r="B14" s="2" t="n">
        <v>60</v>
      </c>
      <c r="C14" s="2" t="inlineStr">
        <is>
          <t>musical</t>
        </is>
      </c>
      <c r="D14" s="5">
        <f>IF(A14&lt;&gt;"",IF(ROW()=3,$G2,E13),"")</f>
        <v/>
      </c>
      <c r="E14" s="5">
        <f>IF(A14&lt;&gt;"",TEXT(TIMEVALUE(D14)+(IFERROR(VLOOKUP(A14,$A3:$C19,2,FALSE),0)/1440),"hh:mm"),"")</f>
        <v/>
      </c>
      <c r="F14" s="5">
        <f>IF(A14&lt;&gt;"",IFERROR(VLOOKUP(A14,$A3:$C19,3,FALSE),0),"")</f>
        <v/>
      </c>
      <c r="G14" s="2" t="n"/>
    </row>
    <row r="15">
      <c r="A15" s="2" t="inlineStr">
        <is>
          <t>D DISEÑO</t>
        </is>
      </c>
      <c r="B15" s="2" t="n">
        <v>15</v>
      </c>
      <c r="C15" s="2" t="inlineStr">
        <is>
          <t>cultural</t>
        </is>
      </c>
      <c r="D15" s="7">
        <f>IF(A15&lt;&gt;"",IF(ROW()=3,$G2,E14),"")</f>
        <v/>
      </c>
      <c r="E15" s="7">
        <f>IF(A15&lt;&gt;"",TEXT(TIMEVALUE(D15)+(IFERROR(VLOOKUP(A15,$A3:$C19,2,FALSE),0)/1440),"hh:mm"),"")</f>
        <v/>
      </c>
      <c r="F15" s="7">
        <f>IF(A15&lt;&gt;"",IFERROR(VLOOKUP(A15,$A3:$C19,3,FALSE),0),"")</f>
        <v/>
      </c>
      <c r="G15" s="2" t="n"/>
    </row>
    <row r="16">
      <c r="A16" s="2" t="inlineStr">
        <is>
          <t>SIN PUNTOS SUSPENSIVOS</t>
        </is>
      </c>
      <c r="B16" s="2" t="n">
        <v>15</v>
      </c>
      <c r="C16" s="2" t="inlineStr">
        <is>
          <t>entrevista</t>
        </is>
      </c>
      <c r="D16" s="4">
        <f>IF(A16&lt;&gt;"",IF(ROW()=3,$G2,E15),"")</f>
        <v/>
      </c>
      <c r="E16" s="4">
        <f>IF(A16&lt;&gt;"",TEXT(TIMEVALUE(D16)+(IFERROR(VLOOKUP(A16,$A3:$C19,2,FALSE),0)/1440),"hh:mm"),"")</f>
        <v/>
      </c>
      <c r="F16" s="4">
        <f>IF(A16&lt;&gt;"",IFERROR(VLOOKUP(A16,$A3:$C19,3,FALSE),0),"")</f>
        <v/>
      </c>
      <c r="G16" s="2" t="n"/>
    </row>
    <row r="17">
      <c r="A17" s="2" t="inlineStr">
        <is>
          <t>NOVELA “LA NIETA ELEGIDA”</t>
        </is>
      </c>
      <c r="B17" s="2" t="n">
        <v>45</v>
      </c>
      <c r="C17" s="2" t="inlineStr">
        <is>
          <t>ficción</t>
        </is>
      </c>
      <c r="D17" s="4">
        <f>IF(A17&lt;&gt;"",IF(ROW()=3,$G2,E16),"")</f>
        <v/>
      </c>
      <c r="E17" s="4">
        <f>IF(A17&lt;&gt;"",TEXT(TIMEVALUE(D17)+(IFERROR(VLOOKUP(A17,$A3:$C19,2,FALSE),0)/1440),"hh:mm"),"")</f>
        <v/>
      </c>
      <c r="F17" s="4">
        <f>IF(A17&lt;&gt;"",IFERROR(VLOOKUP(A17,$A3:$C19,3,FALSE),0),"")</f>
        <v/>
      </c>
      <c r="G17" s="2" t="n"/>
    </row>
    <row r="18">
      <c r="A18" s="2" t="inlineStr">
        <is>
          <t>HABANA NOTICIARIO</t>
        </is>
      </c>
      <c r="B18" s="2" t="n">
        <v>30</v>
      </c>
      <c r="C18" s="2" t="inlineStr">
        <is>
          <t>informativo</t>
        </is>
      </c>
      <c r="D18" s="6">
        <f>IF(A18&lt;&gt;"",IF(ROW()=3,$G2,E17),"")</f>
        <v/>
      </c>
      <c r="E18" s="6">
        <f>IF(A18&lt;&gt;"",TEXT(TIMEVALUE(D18)+(IFERROR(VLOOKUP(A18,$A3:$C19,2,FALSE),0)/1440),"hh:mm"),"")</f>
        <v/>
      </c>
      <c r="F18" s="6">
        <f>IF(A18&lt;&gt;"",IFERROR(VLOOKUP(A18,$A3:$C19,3,FALSE),0),"")</f>
        <v/>
      </c>
      <c r="G18" s="2" t="n"/>
    </row>
    <row r="19">
      <c r="A19" s="2" t="inlineStr">
        <is>
          <t>SERIE “CRÍMENES MAYORES”</t>
        </is>
      </c>
      <c r="B19" s="2" t="n">
        <v>45</v>
      </c>
      <c r="C19" s="2" t="inlineStr">
        <is>
          <t>ficción</t>
        </is>
      </c>
      <c r="D19" s="4">
        <f>IF(A19&lt;&gt;"",IF(ROW()=3,$G2,E18),"")</f>
        <v/>
      </c>
      <c r="E19" s="4">
        <f>IF(A19&lt;&gt;"",TEXT(TIMEVALUE(D19)+(IFERROR(VLOOKUP(A19,$A3:$C19,2,FALSE),0)/1440),"hh:mm"),"")</f>
        <v/>
      </c>
      <c r="F19" s="4">
        <f>IF(A19&lt;&gt;"",IFERROR(VLOOKUP(A19,$A3:$C19,3,FALSE),0),"")</f>
        <v/>
      </c>
      <c r="G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19:30</t>
        </is>
      </c>
    </row>
    <row r="3">
      <c r="A3" s="2" t="inlineStr">
        <is>
          <t>TODO POP</t>
        </is>
      </c>
      <c r="B3" s="2" t="n">
        <v>30</v>
      </c>
      <c r="C3" s="2" t="inlineStr">
        <is>
          <t>musical</t>
        </is>
      </c>
      <c r="D3" s="5">
        <f>IF(A3&lt;&gt;"",IF(ROW()=3,$G2,E2),"")</f>
        <v/>
      </c>
      <c r="E3" s="5">
        <f>IF(A3&lt;&gt;"",TEXT(TIMEVALUE(D3)+(IFERROR(VLOOKUP(A3,$A3:$C11,2,FALSE),0)/1440),"hh:mm"),"")</f>
        <v/>
      </c>
      <c r="F3" s="5">
        <f>IF(A3&lt;&gt;"",IFERROR(VLOOKUP(A3,$A3:$C11,3,FALSE),0),"")</f>
        <v/>
      </c>
      <c r="G3" s="2" t="n"/>
    </row>
    <row r="4">
      <c r="A4" s="2" t="inlineStr">
        <is>
          <t>BREVES ESTACIONES</t>
        </is>
      </c>
      <c r="B4" s="2" t="n">
        <v>30</v>
      </c>
      <c r="C4" s="2" t="inlineStr">
        <is>
          <t>cultural</t>
        </is>
      </c>
      <c r="D4" s="7">
        <f>IF(A4&lt;&gt;"",IF(ROW()=3,$G2,E3),"")</f>
        <v/>
      </c>
      <c r="E4" s="7">
        <f>IF(A4&lt;&gt;"",TEXT(TIMEVALUE(D4)+(IFERROR(VLOOKUP(A4,$A3:$C11,2,FALSE),0)/1440),"hh:mm"),"")</f>
        <v/>
      </c>
      <c r="F4" s="7">
        <f>IF(A4&lt;&gt;"",IFERROR(VLOOKUP(A4,$A3:$C11,3,FALSE),0),"")</f>
        <v/>
      </c>
      <c r="G4" s="2" t="n"/>
    </row>
    <row r="5">
      <c r="A5" s="2" t="inlineStr">
        <is>
          <t>SALUDARTE</t>
        </is>
      </c>
      <c r="B5" s="2" t="n">
        <v>15</v>
      </c>
      <c r="C5" s="2" t="inlineStr">
        <is>
          <t>salud</t>
        </is>
      </c>
      <c r="D5" s="4">
        <f>IF(A5&lt;&gt;"",IF(ROW()=3,$G2,E4),"")</f>
        <v/>
      </c>
      <c r="E5" s="4">
        <f>IF(A5&lt;&gt;"",TEXT(TIMEVALUE(D5)+(IFERROR(VLOOKUP(A5,$A3:$C11,2,FALSE),0)/1440),"hh:mm"),"")</f>
        <v/>
      </c>
      <c r="F5" s="4">
        <f>IF(A5&lt;&gt;"",IFERROR(VLOOKUP(A5,$A3:$C11,3,FALSE),0),"")</f>
        <v/>
      </c>
      <c r="G5" s="2" t="n"/>
    </row>
    <row r="6">
      <c r="A6" s="2" t="inlineStr">
        <is>
          <t>SECUENCIA</t>
        </is>
      </c>
      <c r="B6" s="2" t="n">
        <v>15</v>
      </c>
      <c r="C6" s="2" t="inlineStr">
        <is>
          <t>cultural</t>
        </is>
      </c>
      <c r="D6" s="7">
        <f>IF(A6&lt;&gt;"",IF(ROW()=3,$G2,E5),"")</f>
        <v/>
      </c>
      <c r="E6" s="7">
        <f>IF(A6&lt;&gt;"",TEXT(TIMEVALUE(D6)+(IFERROR(VLOOKUP(A6,$A3:$C11,2,FALSE),0)/1440),"hh:mm"),"")</f>
        <v/>
      </c>
      <c r="F6" s="7">
        <f>IF(A6&lt;&gt;"",IFERROR(VLOOKUP(A6,$A3:$C11,3,FALSE),0),"")</f>
        <v/>
      </c>
      <c r="G6" s="2" t="n"/>
    </row>
    <row r="7">
      <c r="A7" s="2" t="inlineStr">
        <is>
          <t>RITMO CLIP</t>
        </is>
      </c>
      <c r="B7" s="2" t="n">
        <v>30</v>
      </c>
      <c r="C7" s="2" t="inlineStr">
        <is>
          <t>musical</t>
        </is>
      </c>
      <c r="D7" s="5">
        <f>IF(A7&lt;&gt;"",IF(ROW()=3,$G2,E6),"")</f>
        <v/>
      </c>
      <c r="E7" s="5">
        <f>IF(A7&lt;&gt;"",TEXT(TIMEVALUE(D7)+(IFERROR(VLOOKUP(A7,$A3:$C11,2,FALSE),0)/1440),"hh:mm"),"")</f>
        <v/>
      </c>
      <c r="F7" s="5">
        <f>IF(A7&lt;&gt;"",IFERROR(VLOOKUP(A7,$A3:$C11,3,FALSE),0),"")</f>
        <v/>
      </c>
      <c r="G7" s="2" t="n"/>
    </row>
    <row r="8">
      <c r="A8" s="2" t="inlineStr">
        <is>
          <t>TRIANGULO DE LA CONFIANZA</t>
        </is>
      </c>
      <c r="B8" s="2" t="n">
        <v>30</v>
      </c>
      <c r="C8" s="2" t="inlineStr">
        <is>
          <t>entrevista</t>
        </is>
      </c>
      <c r="D8" s="4">
        <f>IF(A8&lt;&gt;"",IF(ROW()=3,$G2,E7),"")</f>
        <v/>
      </c>
      <c r="E8" s="4">
        <f>IF(A8&lt;&gt;"",TEXT(TIMEVALUE(D8)+(IFERROR(VLOOKUP(A8,$A3:$C11,2,FALSE),0)/1440),"hh:mm"),"")</f>
        <v/>
      </c>
      <c r="F8" s="4">
        <f>IF(A8&lt;&gt;"",IFERROR(VLOOKUP(A8,$A3:$C11,3,FALSE),0),"")</f>
        <v/>
      </c>
      <c r="G8" s="2" t="n"/>
    </row>
    <row r="9">
      <c r="A9" s="2" t="inlineStr">
        <is>
          <t>NOVELA “LA NIETA ELEGIDA”</t>
        </is>
      </c>
      <c r="B9" s="2" t="n">
        <v>45</v>
      </c>
      <c r="C9" s="2" t="inlineStr">
        <is>
          <t>ficción</t>
        </is>
      </c>
      <c r="D9" s="4">
        <f>IF(A9&lt;&gt;"",IF(ROW()=3,$G2,E8),"")</f>
        <v/>
      </c>
      <c r="E9" s="4">
        <f>IF(A9&lt;&gt;"",TEXT(TIMEVALUE(D9)+(IFERROR(VLOOKUP(A9,$A3:$C11,2,FALSE),0)/1440),"hh:mm"),"")</f>
        <v/>
      </c>
      <c r="F9" s="4">
        <f>IF(A9&lt;&gt;"",IFERROR(VLOOKUP(A9,$A3:$C11,3,FALSE),0),"")</f>
        <v/>
      </c>
      <c r="G9" s="2" t="n"/>
    </row>
    <row r="10">
      <c r="A10" s="2" t="inlineStr">
        <is>
          <t>HABANA NOTICIARIO</t>
        </is>
      </c>
      <c r="B10" s="2" t="n">
        <v>30</v>
      </c>
      <c r="C10" s="2" t="inlineStr">
        <is>
          <t>informativo</t>
        </is>
      </c>
      <c r="D10" s="6">
        <f>IF(A10&lt;&gt;"",IF(ROW()=3,$G2,E9),"")</f>
        <v/>
      </c>
      <c r="E10" s="6">
        <f>IF(A10&lt;&gt;"",TEXT(TIMEVALUE(D10)+(IFERROR(VLOOKUP(A10,$A3:$C11,2,FALSE),0)/1440),"hh:mm"),"")</f>
        <v/>
      </c>
      <c r="F10" s="6">
        <f>IF(A10&lt;&gt;"",IFERROR(VLOOKUP(A10,$A3:$C11,3,FALSE),0),"")</f>
        <v/>
      </c>
      <c r="G10" s="2" t="n"/>
    </row>
    <row r="11">
      <c r="A11" s="2" t="inlineStr">
        <is>
          <t>SERIE “CRÍMENES MAYORES”</t>
        </is>
      </c>
      <c r="B11" s="2" t="n">
        <v>45</v>
      </c>
      <c r="C11" s="2" t="inlineStr">
        <is>
          <t>ficción</t>
        </is>
      </c>
      <c r="D11" s="4">
        <f>IF(A11&lt;&gt;"",IF(ROW()=3,$G2,E10),"")</f>
        <v/>
      </c>
      <c r="E11" s="4">
        <f>IF(A11&lt;&gt;"",TEXT(TIMEVALUE(D11)+(IFERROR(VLOOKUP(A11,$A3:$C11,2,FALSE),0)/1440),"hh:mm"),"")</f>
        <v/>
      </c>
      <c r="F11" s="4">
        <f>IF(A11&lt;&gt;"",IFERROR(VLOOKUP(A11,$A3:$C11,3,FALSE),0),"")</f>
        <v/>
      </c>
      <c r="G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19:45</t>
        </is>
      </c>
    </row>
    <row r="3">
      <c r="A3" s="2" t="inlineStr">
        <is>
          <t>COSAS DEL CINE</t>
        </is>
      </c>
      <c r="B3" s="2" t="n">
        <v>15</v>
      </c>
      <c r="C3" s="2" t="inlineStr">
        <is>
          <t>cine</t>
        </is>
      </c>
      <c r="D3" s="4">
        <f>IF(A3&lt;&gt;"",IF(ROW()=3,$G2,E2),"")</f>
        <v/>
      </c>
      <c r="E3" s="4">
        <f>IF(A3&lt;&gt;"",TEXT(TIMEVALUE(D3)+(IFERROR(VLOOKUP(A3,$A3:$C9,2,FALSE),0)/1440),"hh:mm"),"")</f>
        <v/>
      </c>
      <c r="F3" s="4">
        <f>IF(A3&lt;&gt;"",IFERROR(VLOOKUP(A3,$A3:$C9,3,FALSE),0),"")</f>
        <v/>
      </c>
      <c r="G3" s="2" t="n"/>
    </row>
    <row r="4">
      <c r="A4" s="2" t="inlineStr">
        <is>
          <t>RITMO CLIP</t>
        </is>
      </c>
      <c r="B4" s="2" t="n">
        <v>30</v>
      </c>
      <c r="C4" s="2" t="inlineStr">
        <is>
          <t>musical</t>
        </is>
      </c>
      <c r="D4" s="5">
        <f>IF(A4&lt;&gt;"",IF(ROW()=3,$G2,E3),"")</f>
        <v/>
      </c>
      <c r="E4" s="5">
        <f>IF(A4&lt;&gt;"",TEXT(TIMEVALUE(D4)+(IFERROR(VLOOKUP(A4,$A3:$C9,2,FALSE),0)/1440),"hh:mm"),"")</f>
        <v/>
      </c>
      <c r="F4" s="5">
        <f>IF(A4&lt;&gt;"",IFERROR(VLOOKUP(A4,$A3:$C9,3,FALSE),0),"")</f>
        <v/>
      </c>
      <c r="G4" s="2" t="n"/>
    </row>
    <row r="5">
      <c r="A5" s="2" t="inlineStr">
        <is>
          <t>BANDA SONORA JUVENIL</t>
        </is>
      </c>
      <c r="B5" s="2" t="n">
        <v>30</v>
      </c>
      <c r="C5" s="2" t="inlineStr">
        <is>
          <t>cultural</t>
        </is>
      </c>
      <c r="D5" s="7">
        <f>IF(A5&lt;&gt;"",IF(ROW()=3,$G2,E4),"")</f>
        <v/>
      </c>
      <c r="E5" s="7">
        <f>IF(A5&lt;&gt;"",TEXT(TIMEVALUE(D5)+(IFERROR(VLOOKUP(A5,$A3:$C9,2,FALSE),0)/1440),"hh:mm"),"")</f>
        <v/>
      </c>
      <c r="F5" s="7">
        <f>IF(A5&lt;&gt;"",IFERROR(VLOOKUP(A5,$A3:$C9,3,FALSE),0),"")</f>
        <v/>
      </c>
      <c r="G5" s="2" t="n"/>
    </row>
    <row r="6">
      <c r="A6" s="2" t="inlineStr">
        <is>
          <t>VE Y MIRA</t>
        </is>
      </c>
      <c r="B6" s="2" t="n">
        <v>30</v>
      </c>
      <c r="C6" s="2" t="inlineStr">
        <is>
          <t>cine</t>
        </is>
      </c>
      <c r="D6" s="4">
        <f>IF(A6&lt;&gt;"",IF(ROW()=3,$G2,E5),"")</f>
        <v/>
      </c>
      <c r="E6" s="4">
        <f>IF(A6&lt;&gt;"",TEXT(TIMEVALUE(D6)+(IFERROR(VLOOKUP(A6,$A3:$C9,2,FALSE),0)/1440),"hh:mm"),"")</f>
        <v/>
      </c>
      <c r="F6" s="4">
        <f>IF(A6&lt;&gt;"",IFERROR(VLOOKUP(A6,$A3:$C9,3,FALSE),0),"")</f>
        <v/>
      </c>
      <c r="G6" s="2" t="n"/>
    </row>
    <row r="7">
      <c r="A7" s="2" t="inlineStr">
        <is>
          <t>MÚSICA DEL MUNDO</t>
        </is>
      </c>
      <c r="B7" s="2" t="n">
        <v>30</v>
      </c>
      <c r="C7" s="2" t="inlineStr">
        <is>
          <t>musical</t>
        </is>
      </c>
      <c r="D7" s="5">
        <f>IF(A7&lt;&gt;"",IF(ROW()=3,$G2,E6),"")</f>
        <v/>
      </c>
      <c r="E7" s="5">
        <f>IF(A7&lt;&gt;"",TEXT(TIMEVALUE(D7)+(IFERROR(VLOOKUP(A7,$A3:$C9,2,FALSE),0)/1440),"hh:mm"),"")</f>
        <v/>
      </c>
      <c r="F7" s="5">
        <f>IF(A7&lt;&gt;"",IFERROR(VLOOKUP(A7,$A3:$C9,3,FALSE),0),"")</f>
        <v/>
      </c>
      <c r="G7" s="2" t="n"/>
    </row>
    <row r="8">
      <c r="A8" s="2" t="inlineStr">
        <is>
          <t>HABANA NOTICIARIO</t>
        </is>
      </c>
      <c r="B8" s="2" t="n">
        <v>30</v>
      </c>
      <c r="C8" s="2" t="inlineStr">
        <is>
          <t>informativo</t>
        </is>
      </c>
      <c r="D8" s="6">
        <f>IF(A8&lt;&gt;"",IF(ROW()=3,$G2,E7),"")</f>
        <v/>
      </c>
      <c r="E8" s="6">
        <f>IF(A8&lt;&gt;"",TEXT(TIMEVALUE(D8)+(IFERROR(VLOOKUP(A8,$A3:$C9,2,FALSE),0)/1440),"hh:mm"),"")</f>
        <v/>
      </c>
      <c r="F8" s="6">
        <f>IF(A8&lt;&gt;"",IFERROR(VLOOKUP(A8,$A3:$C9,3,FALSE),0),"")</f>
        <v/>
      </c>
      <c r="G8" s="2" t="n"/>
    </row>
    <row r="9">
      <c r="A9" s="2" t="inlineStr">
        <is>
          <t>CINEMA HABANA</t>
        </is>
      </c>
      <c r="B9" s="2" t="n">
        <v>77</v>
      </c>
      <c r="C9" s="2" t="inlineStr">
        <is>
          <t>cine</t>
        </is>
      </c>
      <c r="D9" s="4">
        <f>IF(A9&lt;&gt;"",IF(ROW()=3,$G2,E8),"")</f>
        <v/>
      </c>
      <c r="E9" s="4">
        <f>IF(A9&lt;&gt;"",TEXT(TIMEVALUE(D9)+(IFERROR(VLOOKUP(A9,$A3:$C9,2,FALSE),0)/1440),"hh:mm"),"")</f>
        <v/>
      </c>
      <c r="F9" s="4">
        <f>IF(A9&lt;&gt;"",IFERROR(VLOOKUP(A9,$A3:$C9,3,FALSE),0),"")</f>
        <v/>
      </c>
      <c r="G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16:00</t>
        </is>
      </c>
    </row>
    <row r="3">
      <c r="A3" s="2" t="inlineStr">
        <is>
          <t>EL TIEMPO Y LA MEMORIA</t>
        </is>
      </c>
      <c r="B3" s="2" t="n">
        <v>5</v>
      </c>
      <c r="C3" s="2" t="inlineStr">
        <is>
          <t>informativo</t>
        </is>
      </c>
      <c r="D3" s="3">
        <f>IF(A3&lt;&gt;"",IF(ROW()=3,$G2,E2),"")</f>
        <v/>
      </c>
      <c r="E3" s="3">
        <f>IF(A3&lt;&gt;"",TEXT(TIMEVALUE(D3)+(IFERROR(VLOOKUP(A3,$A3:$C20,2,FALSE),0)/1440),"hh:mm"),"")</f>
        <v/>
      </c>
      <c r="F3" s="3">
        <f>IF(A3&lt;&gt;"",IFERROR(VLOOKUP(A3,$A3:$C20,3,FALSE),0),"")</f>
        <v/>
      </c>
      <c r="G3" s="2" t="n"/>
    </row>
    <row r="4">
      <c r="A4" s="2" t="inlineStr">
        <is>
          <t>COORDENADAS</t>
        </is>
      </c>
      <c r="B4" s="2" t="n">
        <v>5</v>
      </c>
      <c r="C4" s="2" t="inlineStr">
        <is>
          <t>informativo</t>
        </is>
      </c>
      <c r="D4" s="3">
        <f>IF(A4&lt;&gt;"",IF(ROW()=3,$G2,E3),"")</f>
        <v/>
      </c>
      <c r="E4" s="3">
        <f>IF(A4&lt;&gt;"",TEXT(TIMEVALUE(D4)+(IFERROR(VLOOKUP(A4,$A3:$C20,2,FALSE),0)/1440),"hh:mm"),"")</f>
        <v/>
      </c>
      <c r="F4" s="3">
        <f>IF(A4&lt;&gt;"",IFERROR(VLOOKUP(A4,$A3:$C20,3,FALSE),0),"")</f>
        <v/>
      </c>
      <c r="G4" s="2" t="n"/>
    </row>
    <row r="5">
      <c r="A5" s="2" t="inlineStr">
        <is>
          <t>REVISTA HOLA HABANA</t>
        </is>
      </c>
      <c r="B5" s="2" t="n">
        <v>50</v>
      </c>
      <c r="C5" s="2" t="inlineStr">
        <is>
          <t>revista</t>
        </is>
      </c>
      <c r="D5" s="4">
        <f>IF(A5&lt;&gt;"",IF(ROW()=3,$G2,E4),"")</f>
        <v/>
      </c>
      <c r="E5" s="4">
        <f>IF(A5&lt;&gt;"",TEXT(TIMEVALUE(D5)+(IFERROR(VLOOKUP(A5,$A3:$C20,2,FALSE),0)/1440),"hh:mm"),"")</f>
        <v/>
      </c>
      <c r="F5" s="4">
        <f>IF(A5&lt;&gt;"",IFERROR(VLOOKUP(A5,$A3:$C20,3,FALSE),0),"")</f>
        <v/>
      </c>
      <c r="G5" s="2" t="n"/>
    </row>
    <row r="6">
      <c r="A6" s="2" t="inlineStr">
        <is>
          <t>SALUDARTE</t>
        </is>
      </c>
      <c r="B6" s="2" t="n">
        <v>15</v>
      </c>
      <c r="C6" s="2" t="inlineStr">
        <is>
          <t>salud</t>
        </is>
      </c>
      <c r="D6" s="4">
        <f>IF(A6&lt;&gt;"",IF(ROW()=3,$G2,E5),"")</f>
        <v/>
      </c>
      <c r="E6" s="4">
        <f>IF(A6&lt;&gt;"",TEXT(TIMEVALUE(D6)+(IFERROR(VLOOKUP(A6,$A3:$C20,2,FALSE),0)/1440),"hh:mm"),"")</f>
        <v/>
      </c>
      <c r="F6" s="4">
        <f>IF(A6&lt;&gt;"",IFERROR(VLOOKUP(A6,$A3:$C20,3,FALSE),0),"")</f>
        <v/>
      </c>
      <c r="G6" s="2" t="n"/>
    </row>
    <row r="7">
      <c r="A7" s="2" t="inlineStr">
        <is>
          <t>SECUENCIA</t>
        </is>
      </c>
      <c r="B7" s="2" t="n">
        <v>15</v>
      </c>
      <c r="C7" s="2" t="inlineStr">
        <is>
          <t>cultural</t>
        </is>
      </c>
      <c r="D7" s="7">
        <f>IF(A7&lt;&gt;"",IF(ROW()=3,$G2,E6),"")</f>
        <v/>
      </c>
      <c r="E7" s="7">
        <f>IF(A7&lt;&gt;"",TEXT(TIMEVALUE(D7)+(IFERROR(VLOOKUP(A7,$A3:$C20,2,FALSE),0)/1440),"hh:mm"),"")</f>
        <v/>
      </c>
      <c r="F7" s="7">
        <f>IF(A7&lt;&gt;"",IFERROR(VLOOKUP(A7,$A3:$C20,3,FALSE),0),"")</f>
        <v/>
      </c>
      <c r="G7" s="2" t="n"/>
    </row>
    <row r="8">
      <c r="A8" s="2" t="inlineStr">
        <is>
          <t>HABANA NOTICIARIO</t>
        </is>
      </c>
      <c r="B8" s="2" t="n">
        <v>30</v>
      </c>
      <c r="C8" s="2" t="inlineStr">
        <is>
          <t>informativo</t>
        </is>
      </c>
      <c r="D8" s="6">
        <f>IF(A8&lt;&gt;"",IF(ROW()=3,$G2,E7),"")</f>
        <v/>
      </c>
      <c r="E8" s="6">
        <f>IF(A8&lt;&gt;"",TEXT(TIMEVALUE(D8)+(IFERROR(VLOOKUP(A8,$A3:$C20,2,FALSE),0)/1440),"hh:mm"),"")</f>
        <v/>
      </c>
      <c r="F8" s="6">
        <f>IF(A8&lt;&gt;"",IFERROR(VLOOKUP(A8,$A3:$C20,3,FALSE),0),"")</f>
        <v/>
      </c>
      <c r="G8" s="2" t="n"/>
    </row>
    <row r="9">
      <c r="A9" s="2" t="inlineStr">
        <is>
          <t>CAZADOR DE TROLES</t>
        </is>
      </c>
      <c r="B9" s="2" t="n">
        <v>30</v>
      </c>
      <c r="C9" s="2" t="inlineStr">
        <is>
          <t>infantil</t>
        </is>
      </c>
      <c r="D9" s="4">
        <f>IF(A9&lt;&gt;"",IF(ROW()=3,$G2,E8),"")</f>
        <v/>
      </c>
      <c r="E9" s="4">
        <f>IF(A9&lt;&gt;"",TEXT(TIMEVALUE(D9)+(IFERROR(VLOOKUP(A9,$A3:$C20,2,FALSE),0)/1440),"hh:mm"),"")</f>
        <v/>
      </c>
      <c r="F9" s="4">
        <f>IF(A9&lt;&gt;"",IFERROR(VLOOKUP(A9,$A3:$C20,3,FALSE),0),"")</f>
        <v/>
      </c>
      <c r="G9" s="2" t="n"/>
    </row>
    <row r="10">
      <c r="A10" s="2" t="inlineStr">
        <is>
          <t>EL MUNDO DE CRAIG</t>
        </is>
      </c>
      <c r="B10" s="2" t="n">
        <v>15</v>
      </c>
      <c r="C10" s="2" t="inlineStr">
        <is>
          <t>animacion</t>
        </is>
      </c>
      <c r="D10" s="3">
        <f>IF(A10&lt;&gt;"",IF(ROW()=3,$G2,E9),"")</f>
        <v/>
      </c>
      <c r="E10" s="3">
        <f>IF(A10&lt;&gt;"",TEXT(TIMEVALUE(D10)+(IFERROR(VLOOKUP(A10,$A3:$C20,2,FALSE),0)/1440),"hh:mm"),"")</f>
        <v/>
      </c>
      <c r="F10" s="3">
        <f>IF(A10&lt;&gt;"",IFERROR(VLOOKUP(A10,$A3:$C20,3,FALSE),0),"")</f>
        <v/>
      </c>
      <c r="G10" s="2" t="n"/>
    </row>
    <row r="11">
      <c r="A11" s="2" t="inlineStr">
        <is>
          <t>ÁNIMA</t>
        </is>
      </c>
      <c r="B11" s="2" t="n">
        <v>45</v>
      </c>
      <c r="C11" s="2" t="inlineStr">
        <is>
          <t>animacion</t>
        </is>
      </c>
      <c r="D11" s="3">
        <f>IF(A11&lt;&gt;"",IF(ROW()=3,$G2,E10),"")</f>
        <v/>
      </c>
      <c r="E11" s="3">
        <f>IF(A11&lt;&gt;"",TEXT(TIMEVALUE(D11)+(IFERROR(VLOOKUP(A11,$A3:$C20,2,FALSE),0)/1440),"hh:mm"),"")</f>
        <v/>
      </c>
      <c r="F11" s="3">
        <f>IF(A11&lt;&gt;"",IFERROR(VLOOKUP(A11,$A3:$C20,3,FALSE),0),"")</f>
        <v/>
      </c>
      <c r="G11" s="2" t="n"/>
    </row>
    <row r="12">
      <c r="A12" s="2" t="inlineStr">
        <is>
          <t>PAPEL EN BLANCO</t>
        </is>
      </c>
      <c r="B12" s="2" t="n">
        <v>30</v>
      </c>
      <c r="C12" s="2" t="inlineStr">
        <is>
          <t>cultural</t>
        </is>
      </c>
      <c r="D12" s="7">
        <f>IF(A12&lt;&gt;"",IF(ROW()=3,$G2,E11),"")</f>
        <v/>
      </c>
      <c r="E12" s="7">
        <f>IF(A12&lt;&gt;"",TEXT(TIMEVALUE(D12)+(IFERROR(VLOOKUP(A12,$A3:$C20,2,FALSE),0)/1440),"hh:mm"),"")</f>
        <v/>
      </c>
      <c r="F12" s="7">
        <f>IF(A12&lt;&gt;"",IFERROR(VLOOKUP(A12,$A3:$C20,3,FALSE),0),"")</f>
        <v/>
      </c>
      <c r="G12" s="2" t="n"/>
    </row>
    <row r="13">
      <c r="A13" s="2" t="inlineStr">
        <is>
          <t>MÚSICA DEL MUNDO</t>
        </is>
      </c>
      <c r="B13" s="2" t="n">
        <v>30</v>
      </c>
      <c r="C13" s="2" t="inlineStr">
        <is>
          <t>musical</t>
        </is>
      </c>
      <c r="D13" s="5">
        <f>IF(A13&lt;&gt;"",IF(ROW()=3,$G2,E12),"")</f>
        <v/>
      </c>
      <c r="E13" s="5">
        <f>IF(A13&lt;&gt;"",TEXT(TIMEVALUE(D13)+(IFERROR(VLOOKUP(A13,$A3:$C20,2,FALSE),0)/1440),"hh:mm"),"")</f>
        <v/>
      </c>
      <c r="F13" s="5">
        <f>IF(A13&lt;&gt;"",IFERROR(VLOOKUP(A13,$A3:$C20,3,FALSE),0),"")</f>
        <v/>
      </c>
      <c r="G13" s="2" t="n"/>
    </row>
    <row r="14">
      <c r="A14" s="2" t="inlineStr">
        <is>
          <t>TRAVESÍA</t>
        </is>
      </c>
      <c r="B14" s="2" t="n">
        <v>15</v>
      </c>
      <c r="C14" s="2" t="inlineStr">
        <is>
          <t>cultural</t>
        </is>
      </c>
      <c r="D14" s="3">
        <f>IF(A14&lt;&gt;"",IF(ROW()=3,$G2,E13),"")</f>
        <v/>
      </c>
      <c r="E14" s="3">
        <f>IF(A14&lt;&gt;"",TEXT(TIMEVALUE(D14)+(IFERROR(VLOOKUP(A14,$A3:$C20,2,FALSE),0)/1440),"hh:mm"),"")</f>
        <v/>
      </c>
      <c r="F14" s="3">
        <f>IF(A14&lt;&gt;"",IFERROR(VLOOKUP(A14,$A3:$C20,3,FALSE),0),"")</f>
        <v/>
      </c>
      <c r="G14" s="2" t="n"/>
    </row>
    <row r="15">
      <c r="A15" s="2" t="inlineStr">
        <is>
          <t>DONDE VA LA HABANA</t>
        </is>
      </c>
      <c r="B15" s="2" t="n">
        <v>15</v>
      </c>
      <c r="C15" s="2" t="inlineStr">
        <is>
          <t>cultural</t>
        </is>
      </c>
      <c r="D15" s="3">
        <f>IF(A15&lt;&gt;"",IF(ROW()=3,$G2,E14),"")</f>
        <v/>
      </c>
      <c r="E15" s="3">
        <f>IF(A15&lt;&gt;"",TEXT(TIMEVALUE(D15)+(IFERROR(VLOOKUP(A15,$A3:$C20,2,FALSE),0)/1440),"hh:mm"),"")</f>
        <v/>
      </c>
      <c r="F15" s="3">
        <f>IF(A15&lt;&gt;"",IFERROR(VLOOKUP(A15,$A3:$C20,3,FALSE),0),"")</f>
        <v/>
      </c>
      <c r="G15" s="2" t="n"/>
    </row>
    <row r="16">
      <c r="A16" s="2" t="inlineStr">
        <is>
          <t>BANDA SONORA</t>
        </is>
      </c>
      <c r="B16" s="2" t="n">
        <v>30</v>
      </c>
      <c r="C16" s="2" t="inlineStr">
        <is>
          <t>musical</t>
        </is>
      </c>
      <c r="D16" s="3">
        <f>IF(A16&lt;&gt;"",IF(ROW()=3,$G2,E15),"")</f>
        <v/>
      </c>
      <c r="E16" s="3">
        <f>IF(A16&lt;&gt;"",TEXT(TIMEVALUE(D16)+(IFERROR(VLOOKUP(A16,$A3:$C20,2,FALSE),0)/1440),"hh:mm"),"")</f>
        <v/>
      </c>
      <c r="F16" s="3">
        <f>IF(A16&lt;&gt;"",IFERROR(VLOOKUP(A16,$A3:$C20,3,FALSE),0),"")</f>
        <v/>
      </c>
      <c r="G16" s="2" t="n"/>
    </row>
    <row r="17">
      <c r="A17" s="2" t="inlineStr">
        <is>
          <t>ESTA ES MI PEÑA</t>
        </is>
      </c>
      <c r="B17" s="2" t="n">
        <v>30</v>
      </c>
      <c r="C17" s="2" t="inlineStr">
        <is>
          <t>musical</t>
        </is>
      </c>
      <c r="D17" s="3">
        <f>IF(A17&lt;&gt;"",IF(ROW()=3,$G2,E16),"")</f>
        <v/>
      </c>
      <c r="E17" s="3">
        <f>IF(A17&lt;&gt;"",TEXT(TIMEVALUE(D17)+(IFERROR(VLOOKUP(A17,$A3:$C20,2,FALSE),0)/1440),"hh:mm"),"")</f>
        <v/>
      </c>
      <c r="F17" s="3">
        <f>IF(A17&lt;&gt;"",IFERROR(VLOOKUP(A17,$A3:$C20,3,FALSE),0),"")</f>
        <v/>
      </c>
      <c r="G17" s="2" t="n"/>
    </row>
    <row r="18">
      <c r="A18" s="2" t="inlineStr">
        <is>
          <t>NOVELA “LA NIETA ELEGIDA”</t>
        </is>
      </c>
      <c r="B18" s="2" t="n">
        <v>45</v>
      </c>
      <c r="C18" s="2" t="inlineStr">
        <is>
          <t>ficción</t>
        </is>
      </c>
      <c r="D18" s="4">
        <f>IF(A18&lt;&gt;"",IF(ROW()=3,$G2,E17),"")</f>
        <v/>
      </c>
      <c r="E18" s="4">
        <f>IF(A18&lt;&gt;"",TEXT(TIMEVALUE(D18)+(IFERROR(VLOOKUP(A18,$A3:$C20,2,FALSE),0)/1440),"hh:mm"),"")</f>
        <v/>
      </c>
      <c r="F18" s="4">
        <f>IF(A18&lt;&gt;"",IFERROR(VLOOKUP(A18,$A3:$C20,3,FALSE),0),"")</f>
        <v/>
      </c>
      <c r="G18" s="2" t="n"/>
    </row>
    <row r="19">
      <c r="A19" s="2" t="inlineStr">
        <is>
          <t>HABANA NOTICIARIO</t>
        </is>
      </c>
      <c r="B19" s="2" t="n">
        <v>30</v>
      </c>
      <c r="C19" s="2" t="inlineStr">
        <is>
          <t>informativo</t>
        </is>
      </c>
      <c r="D19" s="6">
        <f>IF(A19&lt;&gt;"",IF(ROW()=3,$G2,E18),"")</f>
        <v/>
      </c>
      <c r="E19" s="6">
        <f>IF(A19&lt;&gt;"",TEXT(TIMEVALUE(D19)+(IFERROR(VLOOKUP(A19,$A3:$C20,2,FALSE),0)/1440),"hh:mm"),"")</f>
        <v/>
      </c>
      <c r="F19" s="6">
        <f>IF(A19&lt;&gt;"",IFERROR(VLOOKUP(A19,$A3:$C20,3,FALSE),0),"")</f>
        <v/>
      </c>
      <c r="G19" s="2" t="n"/>
    </row>
    <row r="20">
      <c r="A20" s="2" t="inlineStr">
        <is>
          <t>SERIE “CRÍMENES MAYORES”</t>
        </is>
      </c>
      <c r="B20" s="2" t="n">
        <v>45</v>
      </c>
      <c r="C20" s="2" t="inlineStr">
        <is>
          <t>ficción</t>
        </is>
      </c>
      <c r="D20" s="4">
        <f>IF(A20&lt;&gt;"",IF(ROW()=3,$G2,E19),"")</f>
        <v/>
      </c>
      <c r="E20" s="4">
        <f>IF(A20&lt;&gt;"",TEXT(TIMEVALUE(D20)+(IFERROR(VLOOKUP(A20,$A3:$C20,2,FALSE),0)/1440),"hh:mm"),"")</f>
        <v/>
      </c>
      <c r="F20" s="4">
        <f>IF(A20&lt;&gt;"",IFERROR(VLOOKUP(A20,$A3:$C20,3,FALSE),0),"")</f>
        <v/>
      </c>
      <c r="G2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16:30</t>
        </is>
      </c>
    </row>
    <row r="3">
      <c r="A3" s="2" t="inlineStr">
        <is>
          <t>GEN HABANERO</t>
        </is>
      </c>
      <c r="B3" s="2" t="n">
        <v>60</v>
      </c>
      <c r="C3" s="2" t="inlineStr">
        <is>
          <t>documental</t>
        </is>
      </c>
      <c r="D3" s="4">
        <f>IF(A3&lt;&gt;"",IF(ROW()=3,$G2,E2),"")</f>
        <v/>
      </c>
      <c r="E3" s="4">
        <f>IF(A3&lt;&gt;"",TEXT(TIMEVALUE(D3)+(IFERROR(VLOOKUP(A3,$A3:$C14,2,FALSE),0)/1440),"hh:mm"),"")</f>
        <v/>
      </c>
      <c r="F3" s="4">
        <f>IF(A3&lt;&gt;"",IFERROR(VLOOKUP(A3,$A3:$C14,3,FALSE),0),"")</f>
        <v/>
      </c>
      <c r="G3" s="2" t="n"/>
    </row>
    <row r="4">
      <c r="A4" s="2" t="inlineStr">
        <is>
          <t>HABANA NOTICIARIO</t>
        </is>
      </c>
      <c r="B4" s="2" t="n">
        <v>30</v>
      </c>
      <c r="C4" s="2" t="inlineStr">
        <is>
          <t>informativo</t>
        </is>
      </c>
      <c r="D4" s="6">
        <f>IF(A4&lt;&gt;"",IF(ROW()=3,$G2,E3),"")</f>
        <v/>
      </c>
      <c r="E4" s="6">
        <f>IF(A4&lt;&gt;"",TEXT(TIMEVALUE(D4)+(IFERROR(VLOOKUP(A4,$A3:$C14,2,FALSE),0)/1440),"hh:mm"),"")</f>
        <v/>
      </c>
      <c r="F4" s="6">
        <f>IF(A4&lt;&gt;"",IFERROR(VLOOKUP(A4,$A3:$C14,3,FALSE),0),"")</f>
        <v/>
      </c>
      <c r="G4" s="2" t="n"/>
    </row>
    <row r="5">
      <c r="A5" s="2" t="inlineStr">
        <is>
          <t>TIENE QUE VER</t>
        </is>
      </c>
      <c r="B5" s="2" t="n">
        <v>115</v>
      </c>
      <c r="C5" s="2" t="inlineStr">
        <is>
          <t>cine</t>
        </is>
      </c>
      <c r="D5" s="4">
        <f>IF(A5&lt;&gt;"",IF(ROW()=3,$G2,E4),"")</f>
        <v/>
      </c>
      <c r="E5" s="4">
        <f>IF(A5&lt;&gt;"",TEXT(TIMEVALUE(D5)+(IFERROR(VLOOKUP(A5,$A3:$C14,2,FALSE),0)/1440),"hh:mm"),"")</f>
        <v/>
      </c>
      <c r="F5" s="4">
        <f>IF(A5&lt;&gt;"",IFERROR(VLOOKUP(A5,$A3:$C14,3,FALSE),0),"")</f>
        <v/>
      </c>
      <c r="G5" s="2" t="n"/>
    </row>
    <row r="6">
      <c r="A6" s="2" t="inlineStr">
        <is>
          <t>COORDENADAS INFANTILES</t>
        </is>
      </c>
      <c r="B6" s="2" t="n">
        <v>5</v>
      </c>
      <c r="C6" s="2" t="inlineStr">
        <is>
          <t>informativo</t>
        </is>
      </c>
      <c r="D6" s="6">
        <f>IF(A6&lt;&gt;"",IF(ROW()=3,$G2,E5),"")</f>
        <v/>
      </c>
      <c r="E6" s="6">
        <f>IF(A6&lt;&gt;"",TEXT(TIMEVALUE(D6)+(IFERROR(VLOOKUP(A6,$A3:$C14,2,FALSE),0)/1440),"hh:mm"),"")</f>
        <v/>
      </c>
      <c r="F6" s="6">
        <f>IF(A6&lt;&gt;"",IFERROR(VLOOKUP(A6,$A3:$C14,3,FALSE),0),"")</f>
        <v/>
      </c>
      <c r="G6" s="2" t="n"/>
    </row>
    <row r="7">
      <c r="A7" s="2" t="inlineStr">
        <is>
          <t>ALGO ENTRE MANOS</t>
        </is>
      </c>
      <c r="B7" s="2" t="n">
        <v>30</v>
      </c>
      <c r="C7" s="2" t="inlineStr">
        <is>
          <t>cultural</t>
        </is>
      </c>
      <c r="D7" s="3">
        <f>IF(A7&lt;&gt;"",IF(ROW()=3,$G2,E6),"")</f>
        <v/>
      </c>
      <c r="E7" s="3">
        <f>IF(A7&lt;&gt;"",TEXT(TIMEVALUE(D7)+(IFERROR(VLOOKUP(A7,$A3:$C14,2,FALSE),0)/1440),"hh:mm"),"")</f>
        <v/>
      </c>
      <c r="F7" s="3">
        <f>IF(A7&lt;&gt;"",IFERROR(VLOOKUP(A7,$A3:$C14,3,FALSE),0),"")</f>
        <v/>
      </c>
      <c r="G7" s="2" t="n"/>
    </row>
    <row r="8">
      <c r="A8" s="2" t="inlineStr">
        <is>
          <t>BREVES ESTACIONES</t>
        </is>
      </c>
      <c r="B8" s="2" t="n">
        <v>30</v>
      </c>
      <c r="C8" s="2" t="inlineStr">
        <is>
          <t>cultural</t>
        </is>
      </c>
      <c r="D8" s="3">
        <f>IF(A8&lt;&gt;"",IF(ROW()=3,$G2,E7),"")</f>
        <v/>
      </c>
      <c r="E8" s="3">
        <f>IF(A8&lt;&gt;"",TEXT(TIMEVALUE(D8)+(IFERROR(VLOOKUP(A8,$A3:$C14,2,FALSE),0)/1440),"hh:mm"),"")</f>
        <v/>
      </c>
      <c r="F8" s="3">
        <f>IF(A8&lt;&gt;"",IFERROR(VLOOKUP(A8,$A3:$C14,3,FALSE),0),"")</f>
        <v/>
      </c>
      <c r="G8" s="2" t="n"/>
    </row>
    <row r="9">
      <c r="A9" s="2" t="inlineStr">
        <is>
          <t>DÉCADAS MILAGROSAS</t>
        </is>
      </c>
      <c r="B9" s="2" t="n">
        <v>30</v>
      </c>
      <c r="C9" s="2" t="inlineStr">
        <is>
          <t>musical</t>
        </is>
      </c>
      <c r="D9" s="5">
        <f>IF(A9&lt;&gt;"",IF(ROW()=3,$G2,E8),"")</f>
        <v/>
      </c>
      <c r="E9" s="5">
        <f>IF(A9&lt;&gt;"",TEXT(TIMEVALUE(D9)+(IFERROR(VLOOKUP(A9,$A3:$C14,2,FALSE),0)/1440),"hh:mm"),"")</f>
        <v/>
      </c>
      <c r="F9" s="5">
        <f>IF(A9&lt;&gt;"",IFERROR(VLOOKUP(A9,$A3:$C14,3,FALSE),0),"")</f>
        <v/>
      </c>
      <c r="G9" s="2" t="n"/>
    </row>
    <row r="10">
      <c r="A10" s="2" t="inlineStr">
        <is>
          <t>SIN PUNTOS SUSPENSIVOS</t>
        </is>
      </c>
      <c r="B10" s="2" t="n">
        <v>15</v>
      </c>
      <c r="C10" s="2" t="inlineStr">
        <is>
          <t>entrevista</t>
        </is>
      </c>
      <c r="D10" s="4">
        <f>IF(A10&lt;&gt;"",IF(ROW()=3,$G2,E9),"")</f>
        <v/>
      </c>
      <c r="E10" s="4">
        <f>IF(A10&lt;&gt;"",TEXT(TIMEVALUE(D10)+(IFERROR(VLOOKUP(A10,$A3:$C14,2,FALSE),0)/1440),"hh:mm"),"")</f>
        <v/>
      </c>
      <c r="F10" s="4">
        <f>IF(A10&lt;&gt;"",IFERROR(VLOOKUP(A10,$A3:$C14,3,FALSE),0),"")</f>
        <v/>
      </c>
      <c r="G10" s="2" t="n"/>
    </row>
    <row r="11">
      <c r="A11" s="2" t="inlineStr">
        <is>
          <t>YO BAILO</t>
        </is>
      </c>
      <c r="B11" s="2" t="n">
        <v>15</v>
      </c>
      <c r="C11" s="2" t="inlineStr">
        <is>
          <t>musical</t>
        </is>
      </c>
      <c r="D11" s="5">
        <f>IF(A11&lt;&gt;"",IF(ROW()=3,$G2,E10),"")</f>
        <v/>
      </c>
      <c r="E11" s="5">
        <f>IF(A11&lt;&gt;"",TEXT(TIMEVALUE(D11)+(IFERROR(VLOOKUP(A11,$A3:$C14,2,FALSE),0)/1440),"hh:mm"),"")</f>
        <v/>
      </c>
      <c r="F11" s="5">
        <f>IF(A11&lt;&gt;"",IFERROR(VLOOKUP(A11,$A3:$C14,3,FALSE),0),"")</f>
        <v/>
      </c>
      <c r="G11" s="2" t="n"/>
    </row>
    <row r="12">
      <c r="A12" s="2" t="inlineStr">
        <is>
          <t>NOVELA “LA NIETA ELEGIDA”</t>
        </is>
      </c>
      <c r="B12" s="2" t="n">
        <v>45</v>
      </c>
      <c r="C12" s="2" t="inlineStr">
        <is>
          <t>ficción</t>
        </is>
      </c>
      <c r="D12" s="4">
        <f>IF(A12&lt;&gt;"",IF(ROW()=3,$G2,E11),"")</f>
        <v/>
      </c>
      <c r="E12" s="4">
        <f>IF(A12&lt;&gt;"",TEXT(TIMEVALUE(D12)+(IFERROR(VLOOKUP(A12,$A3:$C14,2,FALSE),0)/1440),"hh:mm"),"")</f>
        <v/>
      </c>
      <c r="F12" s="4">
        <f>IF(A12&lt;&gt;"",IFERROR(VLOOKUP(A12,$A3:$C14,3,FALSE),0),"")</f>
        <v/>
      </c>
      <c r="G12" s="2" t="n"/>
    </row>
    <row r="13">
      <c r="A13" s="2" t="inlineStr">
        <is>
          <t>HABANA NOTICIARIO</t>
        </is>
      </c>
      <c r="B13" s="2" t="n">
        <v>30</v>
      </c>
      <c r="C13" s="2" t="inlineStr">
        <is>
          <t>informativo</t>
        </is>
      </c>
      <c r="D13" s="6">
        <f>IF(A13&lt;&gt;"",IF(ROW()=3,$G2,E12),"")</f>
        <v/>
      </c>
      <c r="E13" s="6">
        <f>IF(A13&lt;&gt;"",TEXT(TIMEVALUE(D13)+(IFERROR(VLOOKUP(A13,$A3:$C14,2,FALSE),0)/1440),"hh:mm"),"")</f>
        <v/>
      </c>
      <c r="F13" s="6">
        <f>IF(A13&lt;&gt;"",IFERROR(VLOOKUP(A13,$A3:$C14,3,FALSE),0),"")</f>
        <v/>
      </c>
      <c r="G13" s="2" t="n"/>
    </row>
    <row r="14">
      <c r="A14" s="2" t="inlineStr">
        <is>
          <t>SERIE “CRÍMENES MAYORES”</t>
        </is>
      </c>
      <c r="B14" s="2" t="n">
        <v>45</v>
      </c>
      <c r="C14" s="2" t="inlineStr">
        <is>
          <t>ficción</t>
        </is>
      </c>
      <c r="D14" s="4">
        <f>IF(A14&lt;&gt;"",IF(ROW()=3,$G2,E13),"")</f>
        <v/>
      </c>
      <c r="E14" s="4">
        <f>IF(A14&lt;&gt;"",TEXT(TIMEVALUE(D14)+(IFERROR(VLOOKUP(A14,$A3:$C14,2,FALSE),0)/1440),"hh:mm"),"")</f>
        <v/>
      </c>
      <c r="F14" s="4">
        <f>IF(A14&lt;&gt;"",IFERROR(VLOOKUP(A14,$A3:$C14,3,FALSE),0),"")</f>
        <v/>
      </c>
      <c r="G1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16:00</t>
        </is>
      </c>
    </row>
    <row r="3">
      <c r="A3" s="2" t="inlineStr">
        <is>
          <t>EL TIEMPO Y LA MEMORIA</t>
        </is>
      </c>
      <c r="B3" s="2" t="n">
        <v>5</v>
      </c>
      <c r="C3" s="2" t="inlineStr">
        <is>
          <t>informativo</t>
        </is>
      </c>
      <c r="D3" s="3">
        <f>IF(A3&lt;&gt;"",IF(ROW()=3,$G2,E2),"")</f>
        <v/>
      </c>
      <c r="E3" s="3">
        <f>IF(A3&lt;&gt;"",TEXT(TIMEVALUE(D3)+(IFERROR(VLOOKUP(A3,$A3:$C16,2,FALSE),0)/1440),"hh:mm"),"")</f>
        <v/>
      </c>
      <c r="F3" s="3">
        <f>IF(A3&lt;&gt;"",IFERROR(VLOOKUP(A3,$A3:$C16,3,FALSE),0),"")</f>
        <v/>
      </c>
      <c r="G3" s="2" t="n"/>
    </row>
    <row r="4">
      <c r="A4" s="2" t="inlineStr">
        <is>
          <t>COORDENADAS</t>
        </is>
      </c>
      <c r="B4" s="2" t="n">
        <v>5</v>
      </c>
      <c r="C4" s="2" t="inlineStr">
        <is>
          <t>informativo</t>
        </is>
      </c>
      <c r="D4" s="3">
        <f>IF(A4&lt;&gt;"",IF(ROW()=3,$G2,E3),"")</f>
        <v/>
      </c>
      <c r="E4" s="3">
        <f>IF(A4&lt;&gt;"",TEXT(TIMEVALUE(D4)+(IFERROR(VLOOKUP(A4,$A3:$C16,2,FALSE),0)/1440),"hh:mm"),"")</f>
        <v/>
      </c>
      <c r="F4" s="3">
        <f>IF(A4&lt;&gt;"",IFERROR(VLOOKUP(A4,$A3:$C16,3,FALSE),0),"")</f>
        <v/>
      </c>
      <c r="G4" s="2" t="n"/>
    </row>
    <row r="5">
      <c r="A5" s="2" t="inlineStr">
        <is>
          <t>CUENTAS VERDE LIMÓN</t>
        </is>
      </c>
      <c r="B5" s="2" t="n">
        <v>35</v>
      </c>
      <c r="C5" s="2" t="inlineStr">
        <is>
          <t>infantil</t>
        </is>
      </c>
      <c r="D5" s="4">
        <f>IF(A5&lt;&gt;"",IF(ROW()=3,$G2,E4),"")</f>
        <v/>
      </c>
      <c r="E5" s="4">
        <f>IF(A5&lt;&gt;"",TEXT(TIMEVALUE(D5)+(IFERROR(VLOOKUP(A5,$A3:$C16,2,FALSE),0)/1440),"hh:mm"),"")</f>
        <v/>
      </c>
      <c r="F5" s="4">
        <f>IF(A5&lt;&gt;"",IFERROR(VLOOKUP(A5,$A3:$C16,3,FALSE),0),"")</f>
        <v/>
      </c>
      <c r="G5" s="2" t="n"/>
    </row>
    <row r="6">
      <c r="A6" s="2" t="inlineStr">
        <is>
          <t>BANDA SONORA JUVENIL</t>
        </is>
      </c>
      <c r="B6" s="2" t="n">
        <v>30</v>
      </c>
      <c r="C6" s="2" t="inlineStr">
        <is>
          <t>cine</t>
        </is>
      </c>
      <c r="D6" s="4">
        <f>IF(A6&lt;&gt;"",IF(ROW()=3,$G2,E5),"")</f>
        <v/>
      </c>
      <c r="E6" s="4">
        <f>IF(A6&lt;&gt;"",TEXT(TIMEVALUE(D6)+(IFERROR(VLOOKUP(A6,$A3:$C16,2,FALSE),0)/1440),"hh:mm"),"")</f>
        <v/>
      </c>
      <c r="F6" s="4">
        <f>IF(A6&lt;&gt;"",IFERROR(VLOOKUP(A6,$A3:$C16,3,FALSE),0),"")</f>
        <v/>
      </c>
      <c r="G6" s="2" t="n"/>
    </row>
    <row r="7">
      <c r="A7" s="2" t="inlineStr">
        <is>
          <t>TRAVESÍA</t>
        </is>
      </c>
      <c r="B7" s="2" t="n">
        <v>15</v>
      </c>
      <c r="C7" s="2" t="inlineStr">
        <is>
          <t>cultural</t>
        </is>
      </c>
      <c r="D7" s="7">
        <f>IF(A7&lt;&gt;"",IF(ROW()=3,$G2,E6),"")</f>
        <v/>
      </c>
      <c r="E7" s="7">
        <f>IF(A7&lt;&gt;"",TEXT(TIMEVALUE(D7)+(IFERROR(VLOOKUP(A7,$A3:$C16,2,FALSE),0)/1440),"hh:mm"),"")</f>
        <v/>
      </c>
      <c r="F7" s="7">
        <f>IF(A7&lt;&gt;"",IFERROR(VLOOKUP(A7,$A3:$C16,3,FALSE),0),"")</f>
        <v/>
      </c>
      <c r="G7" s="2" t="n"/>
    </row>
    <row r="8">
      <c r="A8" s="2" t="inlineStr">
        <is>
          <t>TODO POP</t>
        </is>
      </c>
      <c r="B8" s="2" t="n">
        <v>30</v>
      </c>
      <c r="C8" s="2" t="inlineStr">
        <is>
          <t>musical</t>
        </is>
      </c>
      <c r="D8" s="5">
        <f>IF(A8&lt;&gt;"",IF(ROW()=3,$G2,E7),"")</f>
        <v/>
      </c>
      <c r="E8" s="5">
        <f>IF(A8&lt;&gt;"",TEXT(TIMEVALUE(D8)+(IFERROR(VLOOKUP(A8,$A3:$C16,2,FALSE),0)/1440),"hh:mm"),"")</f>
        <v/>
      </c>
      <c r="F8" s="5">
        <f>IF(A8&lt;&gt;"",IFERROR(VLOOKUP(A8,$A3:$C16,3,FALSE),0),"")</f>
        <v/>
      </c>
      <c r="G8" s="2" t="n"/>
    </row>
    <row r="9">
      <c r="A9" s="2" t="inlineStr">
        <is>
          <t>SERIE JUVENIL “SABRINA…”</t>
        </is>
      </c>
      <c r="B9" s="2" t="n">
        <v>45</v>
      </c>
      <c r="C9" s="2" t="inlineStr">
        <is>
          <t>ficción</t>
        </is>
      </c>
      <c r="D9" s="4">
        <f>IF(A9&lt;&gt;"",IF(ROW()=3,$G2,E8),"")</f>
        <v/>
      </c>
      <c r="E9" s="4">
        <f>IF(A9&lt;&gt;"",TEXT(TIMEVALUE(D9)+(IFERROR(VLOOKUP(A9,$A3:$C16,2,FALSE),0)/1440),"hh:mm"),"")</f>
        <v/>
      </c>
      <c r="F9" s="4">
        <f>IF(A9&lt;&gt;"",IFERROR(VLOOKUP(A9,$A3:$C16,3,FALSE),0),"")</f>
        <v/>
      </c>
      <c r="G9" s="2" t="n"/>
    </row>
    <row r="10">
      <c r="A10" s="2" t="inlineStr">
        <is>
          <t>LIBRE ACCESO</t>
        </is>
      </c>
      <c r="B10" s="2" t="n">
        <v>45</v>
      </c>
      <c r="C10" s="2" t="inlineStr">
        <is>
          <t>informativo</t>
        </is>
      </c>
      <c r="D10" s="6">
        <f>IF(A10&lt;&gt;"",IF(ROW()=3,$G2,E9),"")</f>
        <v/>
      </c>
      <c r="E10" s="6">
        <f>IF(A10&lt;&gt;"",TEXT(TIMEVALUE(D10)+(IFERROR(VLOOKUP(A10,$A3:$C16,2,FALSE),0)/1440),"hh:mm"),"")</f>
        <v/>
      </c>
      <c r="F10" s="6">
        <f>IF(A10&lt;&gt;"",IFERROR(VLOOKUP(A10,$A3:$C16,3,FALSE),0),"")</f>
        <v/>
      </c>
      <c r="G10" s="2" t="n"/>
    </row>
    <row r="11">
      <c r="A11" s="2" t="inlineStr">
        <is>
          <t>JUGADA PERFECTA</t>
        </is>
      </c>
      <c r="B11" s="2" t="n">
        <v>30</v>
      </c>
      <c r="C11" s="2" t="inlineStr">
        <is>
          <t>deporte</t>
        </is>
      </c>
      <c r="D11" s="8">
        <f>IF(A11&lt;&gt;"",IF(ROW()=3,$G2,E10),"")</f>
        <v/>
      </c>
      <c r="E11" s="8">
        <f>IF(A11&lt;&gt;"",TEXT(TIMEVALUE(D11)+(IFERROR(VLOOKUP(A11,$A3:$C16,2,FALSE),0)/1440),"hh:mm"),"")</f>
        <v/>
      </c>
      <c r="F11" s="8">
        <f>IF(A11&lt;&gt;"",IFERROR(VLOOKUP(A11,$A3:$C16,3,FALSE),0),"")</f>
        <v/>
      </c>
      <c r="G11" s="2" t="n"/>
    </row>
    <row r="12">
      <c r="A12" s="2" t="inlineStr">
        <is>
          <t>QUE LA MÚSICA NO FALTE</t>
        </is>
      </c>
      <c r="B12" s="2" t="n">
        <v>15</v>
      </c>
      <c r="C12" s="2" t="inlineStr">
        <is>
          <t>musical</t>
        </is>
      </c>
      <c r="D12" s="5">
        <f>IF(A12&lt;&gt;"",IF(ROW()=3,$G2,E11),"")</f>
        <v/>
      </c>
      <c r="E12" s="5">
        <f>IF(A12&lt;&gt;"",TEXT(TIMEVALUE(D12)+(IFERROR(VLOOKUP(A12,$A3:$C16,2,FALSE),0)/1440),"hh:mm"),"")</f>
        <v/>
      </c>
      <c r="F12" s="5">
        <f>IF(A12&lt;&gt;"",IFERROR(VLOOKUP(A12,$A3:$C16,3,FALSE),0),"")</f>
        <v/>
      </c>
      <c r="G12" s="2" t="n"/>
    </row>
    <row r="13">
      <c r="A13" s="2" t="inlineStr">
        <is>
          <t>COSAS DEL CINE</t>
        </is>
      </c>
      <c r="B13" s="2" t="n">
        <v>15</v>
      </c>
      <c r="C13" s="2" t="inlineStr">
        <is>
          <t>cine</t>
        </is>
      </c>
      <c r="D13" s="4">
        <f>IF(A13&lt;&gt;"",IF(ROW()=3,$G2,E12),"")</f>
        <v/>
      </c>
      <c r="E13" s="4">
        <f>IF(A13&lt;&gt;"",TEXT(TIMEVALUE(D13)+(IFERROR(VLOOKUP(A13,$A3:$C16,2,FALSE),0)/1440),"hh:mm"),"")</f>
        <v/>
      </c>
      <c r="F13" s="4">
        <f>IF(A13&lt;&gt;"",IFERROR(VLOOKUP(A13,$A3:$C16,3,FALSE),0),"")</f>
        <v/>
      </c>
      <c r="G13" s="2" t="n"/>
    </row>
    <row r="14">
      <c r="A14" s="2" t="inlineStr">
        <is>
          <t>MÚSICA HABANA</t>
        </is>
      </c>
      <c r="B14" s="2" t="n">
        <v>30</v>
      </c>
      <c r="C14" s="2" t="inlineStr">
        <is>
          <t>musical</t>
        </is>
      </c>
      <c r="D14" s="5">
        <f>IF(A14&lt;&gt;"",IF(ROW()=3,$G2,E13),"")</f>
        <v/>
      </c>
      <c r="E14" s="5">
        <f>IF(A14&lt;&gt;"",TEXT(TIMEVALUE(D14)+(IFERROR(VLOOKUP(A14,$A3:$C16,2,FALSE),0)/1440),"hh:mm"),"")</f>
        <v/>
      </c>
      <c r="F14" s="5">
        <f>IF(A14&lt;&gt;"",IFERROR(VLOOKUP(A14,$A3:$C16,3,FALSE),0),"")</f>
        <v/>
      </c>
      <c r="G14" s="2" t="n"/>
    </row>
    <row r="15">
      <c r="A15" s="2" t="inlineStr">
        <is>
          <t>X DISTANTE</t>
        </is>
      </c>
      <c r="B15" s="2" t="n">
        <v>90</v>
      </c>
      <c r="C15" s="2" t="inlineStr">
        <is>
          <t>animacion</t>
        </is>
      </c>
      <c r="D15" s="4">
        <f>IF(A15&lt;&gt;"",IF(ROW()=3,$G2,E14),"")</f>
        <v/>
      </c>
      <c r="E15" s="4">
        <f>IF(A15&lt;&gt;"",TEXT(TIMEVALUE(D15)+(IFERROR(VLOOKUP(A15,$A3:$C16,2,FALSE),0)/1440),"hh:mm"),"")</f>
        <v/>
      </c>
      <c r="F15" s="4">
        <f>IF(A15&lt;&gt;"",IFERROR(VLOOKUP(A15,$A3:$C16,3,FALSE),0),"")</f>
        <v/>
      </c>
      <c r="G15" s="2" t="n"/>
    </row>
    <row r="16">
      <c r="A16" s="2" t="inlineStr">
        <is>
          <t>MÚSICA SI</t>
        </is>
      </c>
      <c r="B16" s="2" t="n">
        <v>90</v>
      </c>
      <c r="C16" s="2" t="inlineStr">
        <is>
          <t>musical</t>
        </is>
      </c>
      <c r="D16" s="5">
        <f>IF(A16&lt;&gt;"",IF(ROW()=3,$G2,E15),"")</f>
        <v/>
      </c>
      <c r="E16" s="5">
        <f>IF(A16&lt;&gt;"",TEXT(TIMEVALUE(D16)+(IFERROR(VLOOKUP(A16,$A3:$C16,2,FALSE),0)/1440),"hh:mm"),"")</f>
        <v/>
      </c>
      <c r="F16" s="5">
        <f>IF(A16&lt;&gt;"",IFERROR(VLOOKUP(A16,$A3:$C16,3,FALSE),0),"")</f>
        <v/>
      </c>
      <c r="G1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Programa</t>
        </is>
      </c>
      <c r="B1" s="1" t="inlineStr">
        <is>
          <t>Duración (min)</t>
        </is>
      </c>
      <c r="C1" s="1" t="inlineStr">
        <is>
          <t>Tipo</t>
        </is>
      </c>
      <c r="D1" s="1" t="inlineStr">
        <is>
          <t>Hora Inicio</t>
        </is>
      </c>
      <c r="E1" s="1" t="inlineStr">
        <is>
          <t>Hora Terminación</t>
        </is>
      </c>
      <c r="F1" s="1" t="inlineStr">
        <is>
          <t>Tipo Calc</t>
        </is>
      </c>
      <c r="G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02:00</t>
        </is>
      </c>
    </row>
    <row r="3">
      <c r="A3" s="2" t="inlineStr">
        <is>
          <t>EL TIEMPO Y LA MEMORIA</t>
        </is>
      </c>
      <c r="B3" s="2" t="n">
        <v>5</v>
      </c>
      <c r="C3" s="2" t="inlineStr">
        <is>
          <t>informativo</t>
        </is>
      </c>
      <c r="D3" s="3">
        <f>IF(A3&lt;&gt;"",IF(ROW()=3,$G2,E2),"")</f>
        <v/>
      </c>
      <c r="E3" s="3">
        <f>IF(A3&lt;&gt;"",TEXT(TIMEVALUE(D3)+(IFERROR(VLOOKUP(A3,$A3:$C13,2,FALSE),0)/1440),"hh:mm"),"")</f>
        <v/>
      </c>
      <c r="F3" s="3">
        <f>IF(A3&lt;&gt;"",IFERROR(VLOOKUP(A3,$A3:$C13,3,FALSE),0),"")</f>
        <v/>
      </c>
      <c r="G3" s="2" t="n"/>
    </row>
    <row r="4">
      <c r="A4" s="2" t="inlineStr">
        <is>
          <t>COORDENADAS</t>
        </is>
      </c>
      <c r="B4" s="2" t="n">
        <v>5</v>
      </c>
      <c r="C4" s="2" t="inlineStr">
        <is>
          <t>informativo</t>
        </is>
      </c>
      <c r="D4" s="3">
        <f>IF(A4&lt;&gt;"",IF(ROW()=3,$G2,E3),"")</f>
        <v/>
      </c>
      <c r="E4" s="3">
        <f>IF(A4&lt;&gt;"",TEXT(TIMEVALUE(D4)+(IFERROR(VLOOKUP(A4,$A3:$C13,2,FALSE),0)/1440),"hh:mm"),"")</f>
        <v/>
      </c>
      <c r="F4" s="3">
        <f>IF(A4&lt;&gt;"",IFERROR(VLOOKUP(A4,$A3:$C13,3,FALSE),0),"")</f>
        <v/>
      </c>
      <c r="G4" s="2" t="n"/>
    </row>
    <row r="5">
      <c r="A5" s="2" t="inlineStr">
        <is>
          <t>CANAL HABANA DEPORTES</t>
        </is>
      </c>
      <c r="B5" s="2" t="n">
        <v>890</v>
      </c>
      <c r="C5" s="2" t="inlineStr">
        <is>
          <t>deporte</t>
        </is>
      </c>
      <c r="D5" s="8">
        <f>IF(A5&lt;&gt;"",IF(ROW()=3,$G2,E4),"")</f>
        <v/>
      </c>
      <c r="E5" s="8">
        <f>IF(A5&lt;&gt;"",TEXT(TIMEVALUE(D5)+(IFERROR(VLOOKUP(A5,$A3:$C13,2,FALSE),0)/1440),"hh:mm"),"")</f>
        <v/>
      </c>
      <c r="F5" s="8">
        <f>IF(A5&lt;&gt;"",IFERROR(VLOOKUP(A5,$A3:$C13,3,FALSE),0),"")</f>
        <v/>
      </c>
      <c r="G5" s="2" t="n"/>
    </row>
    <row r="6">
      <c r="A6" s="2" t="inlineStr">
        <is>
          <t>LATINOS</t>
        </is>
      </c>
      <c r="B6" s="2" t="n">
        <v>60</v>
      </c>
      <c r="C6" s="2" t="inlineStr">
        <is>
          <t>musical</t>
        </is>
      </c>
      <c r="D6" s="5">
        <f>IF(A6&lt;&gt;"",IF(ROW()=3,$G2,E5),"")</f>
        <v/>
      </c>
      <c r="E6" s="5">
        <f>IF(A6&lt;&gt;"",TEXT(TIMEVALUE(D6)+(IFERROR(VLOOKUP(A6,$A3:$C13,2,FALSE),0)/1440),"hh:mm"),"")</f>
        <v/>
      </c>
      <c r="F6" s="5">
        <f>IF(A6&lt;&gt;"",IFERROR(VLOOKUP(A6,$A3:$C13,3,FALSE),0),"")</f>
        <v/>
      </c>
      <c r="G6" s="2" t="n"/>
    </row>
    <row r="7">
      <c r="A7" s="2" t="inlineStr">
        <is>
          <t>PAPEL EN BLANCO</t>
        </is>
      </c>
      <c r="B7" s="2" t="n">
        <v>30</v>
      </c>
      <c r="C7" s="2" t="inlineStr">
        <is>
          <t>cultural</t>
        </is>
      </c>
      <c r="D7" s="3">
        <f>IF(A7&lt;&gt;"",IF(ROW()=3,$G2,E6),"")</f>
        <v/>
      </c>
      <c r="E7" s="3">
        <f>IF(A7&lt;&gt;"",TEXT(TIMEVALUE(D7)+(IFERROR(VLOOKUP(A7,$A3:$C13,2,FALSE),0)/1440),"hh:mm"),"")</f>
        <v/>
      </c>
      <c r="F7" s="3">
        <f>IF(A7&lt;&gt;"",IFERROR(VLOOKUP(A7,$A3:$C13,3,FALSE),0),"")</f>
        <v/>
      </c>
      <c r="G7" s="2" t="n"/>
    </row>
    <row r="8">
      <c r="A8" s="2" t="inlineStr">
        <is>
          <t>ALGO ENTRE MANOS</t>
        </is>
      </c>
      <c r="B8" s="2" t="n">
        <v>30</v>
      </c>
      <c r="C8" s="2" t="inlineStr">
        <is>
          <t>cultural</t>
        </is>
      </c>
      <c r="D8" s="3">
        <f>IF(A8&lt;&gt;"",IF(ROW()=3,$G2,E7),"")</f>
        <v/>
      </c>
      <c r="E8" s="3">
        <f>IF(A8&lt;&gt;"",TEXT(TIMEVALUE(D8)+(IFERROR(VLOOKUP(A8,$A3:$C13,2,FALSE),0)/1440),"hh:mm"),"")</f>
        <v/>
      </c>
      <c r="F8" s="3">
        <f>IF(A8&lt;&gt;"",IFERROR(VLOOKUP(A8,$A3:$C13,3,FALSE),0),"")</f>
        <v/>
      </c>
      <c r="G8" s="2" t="n"/>
    </row>
    <row r="9">
      <c r="A9" s="2" t="inlineStr">
        <is>
          <t>VERDE HABANA</t>
        </is>
      </c>
      <c r="B9" s="2" t="n">
        <v>15</v>
      </c>
      <c r="C9" s="2" t="inlineStr">
        <is>
          <t>documental</t>
        </is>
      </c>
      <c r="D9" s="3">
        <f>IF(A9&lt;&gt;"",IF(ROW()=3,$G2,E8),"")</f>
        <v/>
      </c>
      <c r="E9" s="3">
        <f>IF(A9&lt;&gt;"",TEXT(TIMEVALUE(D9)+(IFERROR(VLOOKUP(A9,$A3:$C13,2,FALSE),0)/1440),"hh:mm"),"")</f>
        <v/>
      </c>
      <c r="F9" s="3">
        <f>IF(A9&lt;&gt;"",IFERROR(VLOOKUP(A9,$A3:$C13,3,FALSE),0),"")</f>
        <v/>
      </c>
      <c r="G9" s="2" t="n"/>
    </row>
    <row r="10">
      <c r="A10" s="2" t="inlineStr">
        <is>
          <t>GEN HABANERO</t>
        </is>
      </c>
      <c r="B10" s="2" t="n">
        <v>15</v>
      </c>
      <c r="C10" s="2" t="inlineStr">
        <is>
          <t>documental</t>
        </is>
      </c>
      <c r="D10" s="3">
        <f>IF(A10&lt;&gt;"",IF(ROW()=3,$G2,E9),"")</f>
        <v/>
      </c>
      <c r="E10" s="3">
        <f>IF(A10&lt;&gt;"",TEXT(TIMEVALUE(D10)+(IFERROR(VLOOKUP(A10,$A3:$C13,2,FALSE),0)/1440),"hh:mm"),"")</f>
        <v/>
      </c>
      <c r="F10" s="3">
        <f>IF(A10&lt;&gt;"",IFERROR(VLOOKUP(A10,$A3:$C13,3,FALSE),0),"")</f>
        <v/>
      </c>
      <c r="G10" s="2" t="n"/>
    </row>
    <row r="11">
      <c r="A11" s="2" t="inlineStr">
        <is>
          <t>TRIANGULO DE LA CONFIANZA</t>
        </is>
      </c>
      <c r="B11" s="2" t="n">
        <v>30</v>
      </c>
      <c r="C11" s="2" t="inlineStr">
        <is>
          <t>entrevista</t>
        </is>
      </c>
      <c r="D11" s="4">
        <f>IF(A11&lt;&gt;"",IF(ROW()=3,$G2,E10),"")</f>
        <v/>
      </c>
      <c r="E11" s="4">
        <f>IF(A11&lt;&gt;"",TEXT(TIMEVALUE(D11)+(IFERROR(VLOOKUP(A11,$A3:$C13,2,FALSE),0)/1440),"hh:mm"),"")</f>
        <v/>
      </c>
      <c r="F11" s="4">
        <f>IF(A11&lt;&gt;"",IFERROR(VLOOKUP(A11,$A3:$C13,3,FALSE),0),"")</f>
        <v/>
      </c>
      <c r="G11" s="2" t="n"/>
    </row>
    <row r="12">
      <c r="A12" s="2" t="inlineStr">
        <is>
          <t>BANDA SONORA</t>
        </is>
      </c>
      <c r="B12" s="2" t="n">
        <v>30</v>
      </c>
      <c r="C12" s="2" t="inlineStr">
        <is>
          <t>musical</t>
        </is>
      </c>
      <c r="D12" s="5">
        <f>IF(A12&lt;&gt;"",IF(ROW()=3,$G2,E11),"")</f>
        <v/>
      </c>
      <c r="E12" s="5">
        <f>IF(A12&lt;&gt;"",TEXT(TIMEVALUE(D12)+(IFERROR(VLOOKUP(A12,$A3:$C13,2,FALSE),0)/1440),"hh:mm"),"")</f>
        <v/>
      </c>
      <c r="F12" s="5">
        <f>IF(A12&lt;&gt;"",IFERROR(VLOOKUP(A12,$A3:$C13,3,FALSE),0),"")</f>
        <v/>
      </c>
      <c r="G12" s="2" t="n"/>
    </row>
    <row r="13">
      <c r="A13" s="2" t="inlineStr">
        <is>
          <t>CINE +</t>
        </is>
      </c>
      <c r="B13" s="2" t="n">
        <v>205</v>
      </c>
      <c r="C13" s="2" t="inlineStr">
        <is>
          <t>cine</t>
        </is>
      </c>
      <c r="D13" s="4">
        <f>IF(A13&lt;&gt;"",IF(ROW()=3,$G2,E12),"")</f>
        <v/>
      </c>
      <c r="E13" s="4">
        <f>IF(A13&lt;&gt;"",TEXT(TIMEVALUE(D13)+(IFERROR(VLOOKUP(A13,$A3:$C13,2,FALSE),0)/1440),"hh:mm"),"")</f>
        <v/>
      </c>
      <c r="F13" s="4">
        <f>IF(A13&lt;&gt;"",IFERROR(VLOOKUP(A13,$A3:$C13,3,FALSE),0),"")</f>
        <v/>
      </c>
      <c r="G1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Día</t>
        </is>
      </c>
      <c r="B1" s="1" t="inlineStr">
        <is>
          <t>Programas</t>
        </is>
      </c>
      <c r="C1" s="1" t="inlineStr">
        <is>
          <t>Minutos</t>
        </is>
      </c>
      <c r="D1" s="1" t="inlineStr">
        <is>
          <t>Inicio</t>
        </is>
      </c>
      <c r="E1" s="1" t="inlineStr">
        <is>
          <t>Fin</t>
        </is>
      </c>
    </row>
    <row r="2">
      <c r="A2" s="2" t="inlineStr">
        <is>
          <t>Lunes</t>
        </is>
      </c>
      <c r="B2" s="2" t="n">
        <v>17</v>
      </c>
      <c r="C2" s="2" t="n">
        <v>480</v>
      </c>
      <c r="D2" s="2" t="inlineStr">
        <is>
          <t>16:00</t>
        </is>
      </c>
      <c r="E2" s="2" t="inlineStr"/>
    </row>
    <row r="3">
      <c r="A3" s="2" t="inlineStr">
        <is>
          <t>Martes</t>
        </is>
      </c>
      <c r="B3" s="2" t="n">
        <v>9</v>
      </c>
      <c r="C3" s="2" t="n">
        <v>270</v>
      </c>
      <c r="D3" s="2" t="inlineStr">
        <is>
          <t>19:30</t>
        </is>
      </c>
      <c r="E3" s="2" t="inlineStr"/>
    </row>
    <row r="4">
      <c r="A4" s="2" t="inlineStr">
        <is>
          <t>Miércoles</t>
        </is>
      </c>
      <c r="B4" s="2" t="n">
        <v>7</v>
      </c>
      <c r="C4" s="2" t="n">
        <v>242</v>
      </c>
      <c r="D4" s="2" t="inlineStr">
        <is>
          <t>19:45</t>
        </is>
      </c>
      <c r="E4" s="2" t="inlineStr"/>
    </row>
    <row r="5">
      <c r="A5" s="2" t="inlineStr">
        <is>
          <t>Jueves</t>
        </is>
      </c>
      <c r="B5" s="2" t="n">
        <v>18</v>
      </c>
      <c r="C5" s="2" t="n">
        <v>480</v>
      </c>
      <c r="D5" s="2" t="inlineStr">
        <is>
          <t>16:00</t>
        </is>
      </c>
      <c r="E5" s="2" t="inlineStr"/>
    </row>
    <row r="6">
      <c r="A6" s="2" t="inlineStr">
        <is>
          <t>Viernes</t>
        </is>
      </c>
      <c r="B6" s="2" t="n">
        <v>12</v>
      </c>
      <c r="C6" s="2" t="n">
        <v>450</v>
      </c>
      <c r="D6" s="2" t="inlineStr">
        <is>
          <t>16:30</t>
        </is>
      </c>
      <c r="E6" s="2" t="inlineStr"/>
    </row>
    <row r="7">
      <c r="A7" s="2" t="inlineStr">
        <is>
          <t>Sábado</t>
        </is>
      </c>
      <c r="B7" s="2" t="n">
        <v>14</v>
      </c>
      <c r="C7" s="2" t="n">
        <v>480</v>
      </c>
      <c r="D7" s="2" t="inlineStr">
        <is>
          <t>16:00</t>
        </is>
      </c>
      <c r="E7" s="2" t="inlineStr"/>
    </row>
    <row r="8">
      <c r="A8" s="2" t="inlineStr">
        <is>
          <t>Domingo</t>
        </is>
      </c>
      <c r="B8" s="2" t="n">
        <v>11</v>
      </c>
      <c r="C8" s="2" t="n">
        <v>1315</v>
      </c>
      <c r="D8" s="2" t="inlineStr">
        <is>
          <t>02:00</t>
        </is>
      </c>
      <c r="E8" s="2" t="inlineStr"/>
    </row>
    <row r="9">
      <c r="A9" s="2" t="inlineStr">
        <is>
          <t>TOTAL</t>
        </is>
      </c>
      <c r="B9" s="2" t="n">
        <v>88</v>
      </c>
      <c r="C9" s="2" t="n">
        <v>3717</v>
      </c>
      <c r="D9" s="2" t="inlineStr"/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2026-06-02T04:13:06Z</dcterms:created>
  <dcterms:modified xmlns:dcterms="http://purl.org/dc/terms/" xmlns:xsi="http://www.w3.org/2001/XMLSchema-instance" xsi:type="dcterms:W3CDTF">2026-06-02T04:13:07Z</dcterms:modified>
</cp:coreProperties>
</file>