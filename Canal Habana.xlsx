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unes" sheetId="1" state="visible" r:id="rId1"/>
    <sheet xmlns:r="http://schemas.openxmlformats.org/officeDocument/2006/relationships" name="Martes" sheetId="2" state="visible" r:id="rId2"/>
    <sheet xmlns:r="http://schemas.openxmlformats.org/officeDocument/2006/relationships" name="Miércoles" sheetId="3" state="visible" r:id="rId3"/>
    <sheet xmlns:r="http://schemas.openxmlformats.org/officeDocument/2006/relationships" name="Jueves" sheetId="4" state="visible" r:id="rId4"/>
    <sheet xmlns:r="http://schemas.openxmlformats.org/officeDocument/2006/relationships" name="Viernes" sheetId="5" state="visible" r:id="rId5"/>
    <sheet xmlns:r="http://schemas.openxmlformats.org/officeDocument/2006/relationships" name="Sábado" sheetId="6" state="visible" r:id="rId6"/>
    <sheet xmlns:r="http://schemas.openxmlformats.org/officeDocument/2006/relationships" name="Domingo" sheetId="7" state="visible" r:id="rId7"/>
    <sheet xmlns:r="http://schemas.openxmlformats.org/officeDocument/2006/relationships" name="Resumen T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Lunes</t>
        </is>
      </c>
    </row>
    <row r="2">
      <c r="H2" s="2" t="inlineStr">
        <is>
          <t>Hora inicio 1ra fila</t>
        </is>
      </c>
      <c r="I2" s="2">
        <f>1+1</f>
        <v/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D3" s="4" t="n"/>
      <c r="E3" s="3" t="inlineStr">
        <is>
          <t>Hora de inicio</t>
        </is>
      </c>
      <c r="F3" s="3" t="inlineStr">
        <is>
          <t>Hora de terminacion</t>
        </is>
      </c>
      <c r="G3" s="3" t="inlineStr">
        <is>
          <t>Programa</t>
        </is>
      </c>
      <c r="H3" s="4" t="inlineStr">
        <is>
          <t>Tipo calc</t>
        </is>
      </c>
      <c r="I3" s="4" t="n"/>
    </row>
    <row r="4">
      <c r="A4" s="2" t="inlineStr">
        <is>
          <t>EL TIEMPO Y LA MEMORIA</t>
        </is>
      </c>
      <c r="B4" s="2" t="n">
        <v>5</v>
      </c>
      <c r="C4" s="2" t="inlineStr">
        <is>
          <t>informativo</t>
        </is>
      </c>
      <c r="E4" s="2">
        <f>IF(G4&lt;&gt;"",TIME(HOUR($I$2),MINUTE($I$2),0),"")</f>
        <v/>
      </c>
      <c r="F4" s="2">
        <f>IF(G4&lt;&gt;"",TEXT(TIME(HOUR(E4),MINUTE(E4),0)+IFERROR(VLOOKUP(G4,$A$4:$C$20,2,FALSE),0)/1440,"hh:mm"),"")</f>
        <v/>
      </c>
      <c r="G4" s="2" t="inlineStr">
        <is>
          <t>EL TIEMPO Y LA MEMORIA</t>
        </is>
      </c>
      <c r="H4">
        <f>IF(G4&lt;&gt;"",IFERROR(VLOOKUP(G4,$A$4:$C$20,3,FALSE),""),"")</f>
        <v/>
      </c>
    </row>
    <row r="5">
      <c r="A5" s="2" t="inlineStr">
        <is>
          <t>COORDENADAS</t>
        </is>
      </c>
      <c r="B5" s="2" t="n">
        <v>5</v>
      </c>
      <c r="C5" s="2" t="inlineStr">
        <is>
          <t>informativo</t>
        </is>
      </c>
      <c r="E5" s="2">
        <f>IF(G5&lt;&gt;"",F4,"")</f>
        <v/>
      </c>
      <c r="F5" s="2">
        <f>IF(G5&lt;&gt;"",TEXT(TIME(HOUR(E5),MINUTE(E5),0)+IFERROR(VLOOKUP(G5,$A$4:$C$20,2,FALSE),0)/1440,"hh:mm"),"")</f>
        <v/>
      </c>
      <c r="G5" s="2" t="inlineStr">
        <is>
          <t>COORDENADAS</t>
        </is>
      </c>
      <c r="H5">
        <f>IF(G5&lt;&gt;"",IFERROR(VLOOKUP(G5,$A$4:$C$20,3,FALSE),""),"")</f>
        <v/>
      </c>
    </row>
    <row r="6">
      <c r="A6" s="2" t="inlineStr">
        <is>
          <t>REVISTA HOLA HABANA</t>
        </is>
      </c>
      <c r="B6" s="2" t="n">
        <v>50</v>
      </c>
      <c r="C6" s="2" t="inlineStr">
        <is>
          <t>revista</t>
        </is>
      </c>
      <c r="E6" s="2">
        <f>IF(G6&lt;&gt;"",F5,"")</f>
        <v/>
      </c>
      <c r="F6" s="2">
        <f>IF(G6&lt;&gt;"",TEXT(TIME(HOUR(E6),MINUTE(E6),0)+IFERROR(VLOOKUP(G6,$A$4:$C$20,2,FALSE),0)/1440,"hh:mm"),"")</f>
        <v/>
      </c>
      <c r="G6" s="2" t="inlineStr">
        <is>
          <t>REVISTA HOLA HABANA</t>
        </is>
      </c>
      <c r="H6">
        <f>IF(G6&lt;&gt;"",IFERROR(VLOOKUP(G6,$A$4:$C$20,3,FALSE),""),"")</f>
        <v/>
      </c>
    </row>
    <row r="7">
      <c r="A7" s="2" t="inlineStr">
        <is>
          <t>DÉCADAS MILAGROSAS</t>
        </is>
      </c>
      <c r="B7" s="2" t="n">
        <v>30</v>
      </c>
      <c r="C7" s="2" t="inlineStr">
        <is>
          <t>musical</t>
        </is>
      </c>
      <c r="E7" s="2">
        <f>IF(G7&lt;&gt;"",F6,"")</f>
        <v/>
      </c>
      <c r="F7" s="2">
        <f>IF(G7&lt;&gt;"",TEXT(TIME(HOUR(E7),MINUTE(E7),0)+IFERROR(VLOOKUP(G7,$A$4:$C$20,2,FALSE),0)/1440,"hh:mm"),"")</f>
        <v/>
      </c>
      <c r="G7" s="2" t="inlineStr">
        <is>
          <t>DÉCADAS MILAGROSAS</t>
        </is>
      </c>
      <c r="H7">
        <f>IF(G7&lt;&gt;"",IFERROR(VLOOKUP(G7,$A$4:$C$20,3,FALSE),""),"")</f>
        <v/>
      </c>
    </row>
    <row r="8">
      <c r="A8" s="2" t="inlineStr">
        <is>
          <t>HABANA NOTICIARIO</t>
        </is>
      </c>
      <c r="B8" s="2" t="n">
        <v>30</v>
      </c>
      <c r="C8" s="2" t="inlineStr">
        <is>
          <t>informativo</t>
        </is>
      </c>
      <c r="E8" s="2">
        <f>IF(G8&lt;&gt;"",F7,"")</f>
        <v/>
      </c>
      <c r="F8" s="2">
        <f>IF(G8&lt;&gt;"",TEXT(TIME(HOUR(E8),MINUTE(E8),0)+IFERROR(VLOOKUP(G8,$A$4:$C$20,2,FALSE),0)/1440,"hh:mm"),"")</f>
        <v/>
      </c>
      <c r="G8" s="2" t="inlineStr">
        <is>
          <t>HABANA NOTICIARIO</t>
        </is>
      </c>
      <c r="H8">
        <f>IF(G8&lt;&gt;"",IFERROR(VLOOKUP(G8,$A$4:$C$20,3,FALSE),""),"")</f>
        <v/>
      </c>
    </row>
    <row r="9">
      <c r="A9" s="2" t="inlineStr">
        <is>
          <t>POWER RANGERS</t>
        </is>
      </c>
      <c r="B9" s="2" t="n">
        <v>30</v>
      </c>
      <c r="C9" s="2" t="inlineStr">
        <is>
          <t>infantil</t>
        </is>
      </c>
      <c r="E9" s="2">
        <f>IF(G9&lt;&gt;"",F8,"")</f>
        <v/>
      </c>
      <c r="F9" s="2">
        <f>IF(G9&lt;&gt;"",TEXT(TIME(HOUR(E9),MINUTE(E9),0)+IFERROR(VLOOKUP(G9,$A$4:$C$20,2,FALSE),0)/1440,"hh:mm"),"")</f>
        <v/>
      </c>
      <c r="G9" s="2" t="inlineStr">
        <is>
          <t>POWER RANGERS</t>
        </is>
      </c>
      <c r="H9">
        <f>IF(G9&lt;&gt;"",IFERROR(VLOOKUP(G9,$A$4:$C$20,3,FALSE),""),"")</f>
        <v/>
      </c>
    </row>
    <row r="10">
      <c r="A10" s="2" t="inlineStr">
        <is>
          <t>CINECITO EN TV</t>
        </is>
      </c>
      <c r="B10" s="2" t="n">
        <v>25</v>
      </c>
      <c r="C10" s="2" t="inlineStr">
        <is>
          <t>cine</t>
        </is>
      </c>
      <c r="E10" s="2">
        <f>IF(G10&lt;&gt;"",F9,"")</f>
        <v/>
      </c>
      <c r="F10" s="2">
        <f>IF(G10&lt;&gt;"",TEXT(TIME(HOUR(E10),MINUTE(E10),0)+IFERROR(VLOOKUP(G10,$A$4:$C$20,2,FALSE),0)/1440,"hh:mm"),"")</f>
        <v/>
      </c>
      <c r="G10" s="2" t="inlineStr">
        <is>
          <t>CINECITO EN TV</t>
        </is>
      </c>
      <c r="H10">
        <f>IF(G10&lt;&gt;"",IFERROR(VLOOKUP(G10,$A$4:$C$20,3,FALSE),""),"")</f>
        <v/>
      </c>
    </row>
    <row r="11">
      <c r="A11" s="2" t="inlineStr">
        <is>
          <t>COORDENADAS INFANTILES</t>
        </is>
      </c>
      <c r="B11" s="2" t="n">
        <v>5</v>
      </c>
      <c r="C11" s="2" t="inlineStr">
        <is>
          <t>informativo</t>
        </is>
      </c>
      <c r="E11" s="2">
        <f>IF(G11&lt;&gt;"",F10,"")</f>
        <v/>
      </c>
      <c r="F11" s="2">
        <f>IF(G11&lt;&gt;"",TEXT(TIME(HOUR(E11),MINUTE(E11),0)+IFERROR(VLOOKUP(G11,$A$4:$C$20,2,FALSE),0)/1440,"hh:mm"),"")</f>
        <v/>
      </c>
      <c r="G11" s="2" t="inlineStr">
        <is>
          <t>COORDENADAS INFANTILES</t>
        </is>
      </c>
      <c r="H11">
        <f>IF(G11&lt;&gt;"",IFERROR(VLOOKUP(G11,$A$4:$C$20,3,FALSE),""),"")</f>
        <v/>
      </c>
    </row>
    <row r="12">
      <c r="A12" s="2" t="inlineStr">
        <is>
          <t>VE Y MIRA</t>
        </is>
      </c>
      <c r="B12" s="2" t="n">
        <v>30</v>
      </c>
      <c r="C12" s="2" t="inlineStr">
        <is>
          <t>cine</t>
        </is>
      </c>
      <c r="E12" s="2">
        <f>IF(G12&lt;&gt;"",F11,"")</f>
        <v/>
      </c>
      <c r="F12" s="2">
        <f>IF(G12&lt;&gt;"",TEXT(TIME(HOUR(E12),MINUTE(E12),0)+IFERROR(VLOOKUP(G12,$A$4:$C$20,2,FALSE),0)/1440,"hh:mm"),"")</f>
        <v/>
      </c>
      <c r="G12" s="2" t="inlineStr">
        <is>
          <t>VE Y MIRA</t>
        </is>
      </c>
      <c r="H12">
        <f>IF(G12&lt;&gt;"",IFERROR(VLOOKUP(G12,$A$4:$C$20,3,FALSE),""),"")</f>
        <v/>
      </c>
    </row>
    <row r="13">
      <c r="A13" s="2" t="inlineStr">
        <is>
          <t>MÚSICA HABANA</t>
        </is>
      </c>
      <c r="B13" s="2" t="n">
        <v>30</v>
      </c>
      <c r="C13" s="2" t="inlineStr">
        <is>
          <t>musical</t>
        </is>
      </c>
      <c r="E13" s="2">
        <f>IF(G13&lt;&gt;"",F12,"")</f>
        <v/>
      </c>
      <c r="F13" s="2">
        <f>IF(G13&lt;&gt;"",TEXT(TIME(HOUR(E13),MINUTE(E13),0)+IFERROR(VLOOKUP(G13,$A$4:$C$20,2,FALSE),0)/1440,"hh:mm"),"")</f>
        <v/>
      </c>
      <c r="G13" s="2" t="inlineStr">
        <is>
          <t>MÚSICA HABANA</t>
        </is>
      </c>
      <c r="H13">
        <f>IF(G13&lt;&gt;"",IFERROR(VLOOKUP(G13,$A$4:$C$20,3,FALSE),""),"")</f>
        <v/>
      </c>
    </row>
    <row r="14">
      <c r="A14" s="2" t="inlineStr">
        <is>
          <t>HABANA COLECCIÓN</t>
        </is>
      </c>
      <c r="B14" s="2" t="n">
        <v>30</v>
      </c>
      <c r="C14" s="2" t="inlineStr">
        <is>
          <t>cultural</t>
        </is>
      </c>
      <c r="E14" s="2">
        <f>IF(G14&lt;&gt;"",F13,"")</f>
        <v/>
      </c>
      <c r="F14" s="2">
        <f>IF(G14&lt;&gt;"",TEXT(TIME(HOUR(E14),MINUTE(E14),0)+IFERROR(VLOOKUP(G14,$A$4:$C$20,2,FALSE),0)/1440,"hh:mm"),"")</f>
        <v/>
      </c>
      <c r="G14" s="2" t="inlineStr">
        <is>
          <t>HABANA COLECCIÓN</t>
        </is>
      </c>
      <c r="H14">
        <f>IF(G14&lt;&gt;"",IFERROR(VLOOKUP(G14,$A$4:$C$20,3,FALSE),""),"")</f>
        <v/>
      </c>
    </row>
    <row r="15">
      <c r="A15" s="2" t="inlineStr">
        <is>
          <t>MÚSICA SÍ</t>
        </is>
      </c>
      <c r="B15" s="2" t="n">
        <v>60</v>
      </c>
      <c r="C15" s="2" t="inlineStr">
        <is>
          <t>musical</t>
        </is>
      </c>
      <c r="E15" s="2">
        <f>IF(G15&lt;&gt;"",F14,"")</f>
        <v/>
      </c>
      <c r="F15" s="2">
        <f>IF(G15&lt;&gt;"",TEXT(TIME(HOUR(E15),MINUTE(E15),0)+IFERROR(VLOOKUP(G15,$A$4:$C$20,2,FALSE),0)/1440,"hh:mm"),"")</f>
        <v/>
      </c>
      <c r="G15" s="2" t="inlineStr">
        <is>
          <t>MÚSICA SÍ</t>
        </is>
      </c>
      <c r="H15">
        <f>IF(G15&lt;&gt;"",IFERROR(VLOOKUP(G15,$A$4:$C$20,3,FALSE),""),"")</f>
        <v/>
      </c>
    </row>
    <row r="16">
      <c r="A16" s="2" t="inlineStr">
        <is>
          <t>D DISEÑO</t>
        </is>
      </c>
      <c r="B16" s="2" t="n">
        <v>15</v>
      </c>
      <c r="C16" s="2" t="inlineStr">
        <is>
          <t>cultural</t>
        </is>
      </c>
      <c r="E16" s="2">
        <f>IF(G16&lt;&gt;"",F15,"")</f>
        <v/>
      </c>
      <c r="F16" s="2">
        <f>IF(G16&lt;&gt;"",TEXT(TIME(HOUR(E16),MINUTE(E16),0)+IFERROR(VLOOKUP(G16,$A$4:$C$20,2,FALSE),0)/1440,"hh:mm"),"")</f>
        <v/>
      </c>
      <c r="G16" s="2" t="inlineStr">
        <is>
          <t>D DISEÑO</t>
        </is>
      </c>
      <c r="H16">
        <f>IF(G16&lt;&gt;"",IFERROR(VLOOKUP(G16,$A$4:$C$20,3,FALSE),""),"")</f>
        <v/>
      </c>
    </row>
    <row r="17">
      <c r="A17" s="2" t="inlineStr">
        <is>
          <t>SIN PUNTOS SUSPENSIVOS</t>
        </is>
      </c>
      <c r="B17" s="2" t="n">
        <v>15</v>
      </c>
      <c r="C17" s="2" t="inlineStr">
        <is>
          <t>entrevista</t>
        </is>
      </c>
      <c r="E17" s="2">
        <f>IF(G17&lt;&gt;"",F16,"")</f>
        <v/>
      </c>
      <c r="F17" s="2">
        <f>IF(G17&lt;&gt;"",TEXT(TIME(HOUR(E17),MINUTE(E17),0)+IFERROR(VLOOKUP(G17,$A$4:$C$20,2,FALSE),0)/1440,"hh:mm"),"")</f>
        <v/>
      </c>
      <c r="G17" s="2" t="inlineStr">
        <is>
          <t>SIN PUNTOS SUSPENSIVOS</t>
        </is>
      </c>
      <c r="H17">
        <f>IF(G17&lt;&gt;"",IFERROR(VLOOKUP(G17,$A$4:$C$20,3,FALSE),""),"")</f>
        <v/>
      </c>
    </row>
    <row r="18">
      <c r="A18" s="2" t="inlineStr">
        <is>
          <t>NOVELA “LA NIETA ELEGIDA”</t>
        </is>
      </c>
      <c r="B18" s="2" t="n">
        <v>45</v>
      </c>
      <c r="C18" s="2" t="inlineStr">
        <is>
          <t>ficción</t>
        </is>
      </c>
      <c r="E18" s="2">
        <f>IF(G18&lt;&gt;"",F17,"")</f>
        <v/>
      </c>
      <c r="F18" s="2">
        <f>IF(G18&lt;&gt;"",TEXT(TIME(HOUR(E18),MINUTE(E18),0)+IFERROR(VLOOKUP(G18,$A$4:$C$20,2,FALSE),0)/1440,"hh:mm"),"")</f>
        <v/>
      </c>
      <c r="G18" s="2" t="inlineStr">
        <is>
          <t>NOVELA “LA NIETA ELEGIDA”</t>
        </is>
      </c>
      <c r="H18">
        <f>IF(G18&lt;&gt;"",IFERROR(VLOOKUP(G18,$A$4:$C$20,3,FALSE),""),"")</f>
        <v/>
      </c>
    </row>
    <row r="19">
      <c r="A19" s="2" t="inlineStr">
        <is>
          <t>HABANA NOTICIARIO</t>
        </is>
      </c>
      <c r="B19" s="2" t="n">
        <v>30</v>
      </c>
      <c r="C19" s="2" t="inlineStr">
        <is>
          <t>informativo</t>
        </is>
      </c>
      <c r="E19" s="2">
        <f>IF(G19&lt;&gt;"",F18,"")</f>
        <v/>
      </c>
      <c r="F19" s="2">
        <f>IF(G19&lt;&gt;"",TEXT(TIME(HOUR(E19),MINUTE(E19),0)+IFERROR(VLOOKUP(G19,$A$4:$C$20,2,FALSE),0)/1440,"hh:mm"),"")</f>
        <v/>
      </c>
      <c r="G19" s="2" t="inlineStr">
        <is>
          <t>HABANA NOTICIARIO</t>
        </is>
      </c>
      <c r="H19">
        <f>IF(G19&lt;&gt;"",IFERROR(VLOOKUP(G19,$A$4:$C$20,3,FALSE),""),"")</f>
        <v/>
      </c>
    </row>
    <row r="20">
      <c r="A20" s="2" t="inlineStr">
        <is>
          <t>SERIE “CRÍMENES MAYORES”</t>
        </is>
      </c>
      <c r="B20" s="2" t="n">
        <v>45</v>
      </c>
      <c r="C20" s="2" t="inlineStr">
        <is>
          <t>ficción</t>
        </is>
      </c>
      <c r="E20" s="2">
        <f>IF(G20&lt;&gt;"",F19,"")</f>
        <v/>
      </c>
      <c r="F20" s="2">
        <f>IF(G20&lt;&gt;"",TEXT(TIME(HOUR(E20),MINUTE(E20),0)+IFERROR(VLOOKUP(G20,$A$4:$C$20,2,FALSE),0)/1440,"hh:mm"),"")</f>
        <v/>
      </c>
      <c r="G20" s="2" t="inlineStr">
        <is>
          <t>SERIE “CRÍMENES MAYORES”</t>
        </is>
      </c>
      <c r="H20">
        <f>IF(G20&lt;&gt;"",IFERROR(VLOOKUP(G20,$A$4:$C$20,3,FALSE),""),"")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Martes</t>
        </is>
      </c>
    </row>
    <row r="2">
      <c r="H2" s="2" t="inlineStr">
        <is>
          <t>Hora inicio 1ra fila</t>
        </is>
      </c>
      <c r="I2" s="2">
        <f>1+1</f>
        <v/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D3" s="4" t="n"/>
      <c r="E3" s="3" t="inlineStr">
        <is>
          <t>Hora de inicio</t>
        </is>
      </c>
      <c r="F3" s="3" t="inlineStr">
        <is>
          <t>Hora de terminacion</t>
        </is>
      </c>
      <c r="G3" s="3" t="inlineStr">
        <is>
          <t>Programa</t>
        </is>
      </c>
      <c r="H3" s="4" t="inlineStr">
        <is>
          <t>Tipo calc</t>
        </is>
      </c>
      <c r="I3" s="4" t="n"/>
    </row>
    <row r="4">
      <c r="A4" s="2" t="inlineStr">
        <is>
          <t>TODO POP</t>
        </is>
      </c>
      <c r="B4" s="2" t="n">
        <v>30</v>
      </c>
      <c r="C4" s="2" t="inlineStr">
        <is>
          <t>musical</t>
        </is>
      </c>
      <c r="E4" s="2">
        <f>IF(G4&lt;&gt;"",TIME(HOUR($I$2),MINUTE($I$2),0),"")</f>
        <v/>
      </c>
      <c r="F4" s="2">
        <f>IF(G4&lt;&gt;"",TEXT(TIME(HOUR(E4),MINUTE(E4),0)+IFERROR(VLOOKUP(G4,$A$4:$C$12,2,FALSE),0)/1440,"hh:mm"),"")</f>
        <v/>
      </c>
      <c r="G4" s="2" t="inlineStr">
        <is>
          <t>TODO POP</t>
        </is>
      </c>
      <c r="H4">
        <f>IF(G4&lt;&gt;"",IFERROR(VLOOKUP(G4,$A$4:$C$12,3,FALSE),""),"")</f>
        <v/>
      </c>
    </row>
    <row r="5">
      <c r="A5" s="2" t="inlineStr">
        <is>
          <t>BREVES ESTACIONES</t>
        </is>
      </c>
      <c r="B5" s="2" t="n">
        <v>30</v>
      </c>
      <c r="C5" s="2" t="inlineStr">
        <is>
          <t>cultural</t>
        </is>
      </c>
      <c r="E5" s="2">
        <f>IF(G5&lt;&gt;"",F4,"")</f>
        <v/>
      </c>
      <c r="F5" s="2">
        <f>IF(G5&lt;&gt;"",TEXT(TIME(HOUR(E5),MINUTE(E5),0)+IFERROR(VLOOKUP(G5,$A$4:$C$12,2,FALSE),0)/1440,"hh:mm"),"")</f>
        <v/>
      </c>
      <c r="G5" s="2" t="inlineStr">
        <is>
          <t>BREVES ESTACIONES</t>
        </is>
      </c>
      <c r="H5">
        <f>IF(G5&lt;&gt;"",IFERROR(VLOOKUP(G5,$A$4:$C$12,3,FALSE),""),"")</f>
        <v/>
      </c>
    </row>
    <row r="6">
      <c r="A6" s="2" t="inlineStr">
        <is>
          <t>SALUDARTE</t>
        </is>
      </c>
      <c r="B6" s="2" t="n">
        <v>15</v>
      </c>
      <c r="C6" s="2" t="inlineStr">
        <is>
          <t>salud</t>
        </is>
      </c>
      <c r="E6" s="2">
        <f>IF(G6&lt;&gt;"",F5,"")</f>
        <v/>
      </c>
      <c r="F6" s="2">
        <f>IF(G6&lt;&gt;"",TEXT(TIME(HOUR(E6),MINUTE(E6),0)+IFERROR(VLOOKUP(G6,$A$4:$C$12,2,FALSE),0)/1440,"hh:mm"),"")</f>
        <v/>
      </c>
      <c r="G6" s="2" t="inlineStr">
        <is>
          <t>SALUDARTE</t>
        </is>
      </c>
      <c r="H6">
        <f>IF(G6&lt;&gt;"",IFERROR(VLOOKUP(G6,$A$4:$C$12,3,FALSE),""),"")</f>
        <v/>
      </c>
    </row>
    <row r="7">
      <c r="A7" s="2" t="inlineStr">
        <is>
          <t>SECUENCIA</t>
        </is>
      </c>
      <c r="B7" s="2" t="n">
        <v>15</v>
      </c>
      <c r="C7" s="2" t="inlineStr">
        <is>
          <t>cultural</t>
        </is>
      </c>
      <c r="E7" s="2">
        <f>IF(G7&lt;&gt;"",F6,"")</f>
        <v/>
      </c>
      <c r="F7" s="2">
        <f>IF(G7&lt;&gt;"",TEXT(TIME(HOUR(E7),MINUTE(E7),0)+IFERROR(VLOOKUP(G7,$A$4:$C$12,2,FALSE),0)/1440,"hh:mm"),"")</f>
        <v/>
      </c>
      <c r="G7" s="2" t="inlineStr">
        <is>
          <t>SECUENCIA</t>
        </is>
      </c>
      <c r="H7">
        <f>IF(G7&lt;&gt;"",IFERROR(VLOOKUP(G7,$A$4:$C$12,3,FALSE),""),"")</f>
        <v/>
      </c>
    </row>
    <row r="8">
      <c r="A8" s="2" t="inlineStr">
        <is>
          <t>RITMO CLIP</t>
        </is>
      </c>
      <c r="B8" s="2" t="n">
        <v>30</v>
      </c>
      <c r="C8" s="2" t="inlineStr">
        <is>
          <t>musical</t>
        </is>
      </c>
      <c r="E8" s="2">
        <f>IF(G8&lt;&gt;"",F7,"")</f>
        <v/>
      </c>
      <c r="F8" s="2">
        <f>IF(G8&lt;&gt;"",TEXT(TIME(HOUR(E8),MINUTE(E8),0)+IFERROR(VLOOKUP(G8,$A$4:$C$12,2,FALSE),0)/1440,"hh:mm"),"")</f>
        <v/>
      </c>
      <c r="G8" s="2" t="inlineStr">
        <is>
          <t>RITMO CLIP</t>
        </is>
      </c>
      <c r="H8">
        <f>IF(G8&lt;&gt;"",IFERROR(VLOOKUP(G8,$A$4:$C$12,3,FALSE),""),"")</f>
        <v/>
      </c>
    </row>
    <row r="9">
      <c r="A9" s="2" t="inlineStr">
        <is>
          <t>TRIANGULO DE LA CONFIANZA</t>
        </is>
      </c>
      <c r="B9" s="2" t="n">
        <v>30</v>
      </c>
      <c r="C9" s="2" t="inlineStr">
        <is>
          <t>entrevista</t>
        </is>
      </c>
      <c r="E9" s="2">
        <f>IF(G9&lt;&gt;"",F8,"")</f>
        <v/>
      </c>
      <c r="F9" s="2">
        <f>IF(G9&lt;&gt;"",TEXT(TIME(HOUR(E9),MINUTE(E9),0)+IFERROR(VLOOKUP(G9,$A$4:$C$12,2,FALSE),0)/1440,"hh:mm"),"")</f>
        <v/>
      </c>
      <c r="G9" s="2" t="inlineStr">
        <is>
          <t>TRIANGULO DE LA CONFIANZA</t>
        </is>
      </c>
      <c r="H9">
        <f>IF(G9&lt;&gt;"",IFERROR(VLOOKUP(G9,$A$4:$C$12,3,FALSE),""),"")</f>
        <v/>
      </c>
    </row>
    <row r="10">
      <c r="A10" s="2" t="inlineStr">
        <is>
          <t>NOVELA “LA NIETA ELEGIDA”</t>
        </is>
      </c>
      <c r="B10" s="2" t="n">
        <v>45</v>
      </c>
      <c r="C10" s="2" t="inlineStr">
        <is>
          <t>ficción</t>
        </is>
      </c>
      <c r="E10" s="2">
        <f>IF(G10&lt;&gt;"",F9,"")</f>
        <v/>
      </c>
      <c r="F10" s="2">
        <f>IF(G10&lt;&gt;"",TEXT(TIME(HOUR(E10),MINUTE(E10),0)+IFERROR(VLOOKUP(G10,$A$4:$C$12,2,FALSE),0)/1440,"hh:mm"),"")</f>
        <v/>
      </c>
      <c r="G10" s="2" t="inlineStr">
        <is>
          <t>NOVELA “LA NIETA ELEGIDA”</t>
        </is>
      </c>
      <c r="H10">
        <f>IF(G10&lt;&gt;"",IFERROR(VLOOKUP(G10,$A$4:$C$12,3,FALSE),""),"")</f>
        <v/>
      </c>
    </row>
    <row r="11">
      <c r="A11" s="2" t="inlineStr">
        <is>
          <t>HABANA NOTICIARIO</t>
        </is>
      </c>
      <c r="B11" s="2" t="n">
        <v>30</v>
      </c>
      <c r="C11" s="2" t="inlineStr">
        <is>
          <t>informativo</t>
        </is>
      </c>
      <c r="E11" s="2">
        <f>IF(G11&lt;&gt;"",F10,"")</f>
        <v/>
      </c>
      <c r="F11" s="2">
        <f>IF(G11&lt;&gt;"",TEXT(TIME(HOUR(E11),MINUTE(E11),0)+IFERROR(VLOOKUP(G11,$A$4:$C$12,2,FALSE),0)/1440,"hh:mm"),"")</f>
        <v/>
      </c>
      <c r="G11" s="2" t="inlineStr">
        <is>
          <t>HABANA NOTICIARIO</t>
        </is>
      </c>
      <c r="H11">
        <f>IF(G11&lt;&gt;"",IFERROR(VLOOKUP(G11,$A$4:$C$12,3,FALSE),""),"")</f>
        <v/>
      </c>
    </row>
    <row r="12">
      <c r="A12" s="2" t="inlineStr">
        <is>
          <t>SERIE “CRÍMENES MAYORES”</t>
        </is>
      </c>
      <c r="B12" s="2" t="n">
        <v>45</v>
      </c>
      <c r="C12" s="2" t="inlineStr">
        <is>
          <t>ficción</t>
        </is>
      </c>
      <c r="E12" s="2">
        <f>IF(G12&lt;&gt;"",F11,"")</f>
        <v/>
      </c>
      <c r="F12" s="2">
        <f>IF(G12&lt;&gt;"",TEXT(TIME(HOUR(E12),MINUTE(E12),0)+IFERROR(VLOOKUP(G12,$A$4:$C$12,2,FALSE),0)/1440,"hh:mm"),"")</f>
        <v/>
      </c>
      <c r="G12" s="2" t="inlineStr">
        <is>
          <t>SERIE “CRÍMENES MAYORES”</t>
        </is>
      </c>
      <c r="H12">
        <f>IF(G12&lt;&gt;"",IFERROR(VLOOKUP(G12,$A$4:$C$12,3,FALSE),""),"")</f>
        <v/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Miercoles</t>
        </is>
      </c>
    </row>
    <row r="2">
      <c r="H2" s="2" t="inlineStr">
        <is>
          <t>Hora inicio 1ra fila</t>
        </is>
      </c>
      <c r="I2" s="2">
        <f>1+1</f>
        <v/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D3" s="4" t="n"/>
      <c r="E3" s="3" t="inlineStr">
        <is>
          <t>Hora de inicio</t>
        </is>
      </c>
      <c r="F3" s="3" t="inlineStr">
        <is>
          <t>Hora de terminacion</t>
        </is>
      </c>
      <c r="G3" s="3" t="inlineStr">
        <is>
          <t>Programa</t>
        </is>
      </c>
      <c r="H3" s="4" t="inlineStr">
        <is>
          <t>Tipo calc</t>
        </is>
      </c>
      <c r="I3" s="4" t="n"/>
    </row>
    <row r="4">
      <c r="A4" s="2" t="inlineStr">
        <is>
          <t>COSAS DEL CINE</t>
        </is>
      </c>
      <c r="B4" s="2" t="n">
        <v>15</v>
      </c>
      <c r="C4" s="2" t="inlineStr">
        <is>
          <t>cine</t>
        </is>
      </c>
      <c r="E4" s="2">
        <f>IF(G4&lt;&gt;"",TIME(HOUR($I$2),MINUTE($I$2),0),"")</f>
        <v/>
      </c>
      <c r="F4" s="2">
        <f>IF(G4&lt;&gt;"",TEXT(TIME(HOUR(E4),MINUTE(E4),0)+IFERROR(VLOOKUP(G4,$A$4:$C$10,2,FALSE),0)/1440,"hh:mm"),"")</f>
        <v/>
      </c>
      <c r="G4" s="2" t="inlineStr">
        <is>
          <t>COSAS DEL CINE</t>
        </is>
      </c>
      <c r="H4">
        <f>IF(G4&lt;&gt;"",IFERROR(VLOOKUP(G4,$A$4:$C$10,3,FALSE),""),"")</f>
        <v/>
      </c>
    </row>
    <row r="5">
      <c r="A5" s="2" t="inlineStr">
        <is>
          <t>RITMO CLIP</t>
        </is>
      </c>
      <c r="B5" s="2" t="n">
        <v>30</v>
      </c>
      <c r="C5" s="2" t="inlineStr">
        <is>
          <t>musical</t>
        </is>
      </c>
      <c r="E5" s="2">
        <f>IF(G5&lt;&gt;"",F4,"")</f>
        <v/>
      </c>
      <c r="F5" s="2">
        <f>IF(G5&lt;&gt;"",TEXT(TIME(HOUR(E5),MINUTE(E5),0)+IFERROR(VLOOKUP(G5,$A$4:$C$10,2,FALSE),0)/1440,"hh:mm"),"")</f>
        <v/>
      </c>
      <c r="G5" s="2" t="inlineStr">
        <is>
          <t>RITMO CLIP</t>
        </is>
      </c>
      <c r="H5">
        <f>IF(G5&lt;&gt;"",IFERROR(VLOOKUP(G5,$A$4:$C$10,3,FALSE),""),"")</f>
        <v/>
      </c>
    </row>
    <row r="6">
      <c r="A6" s="2" t="inlineStr">
        <is>
          <t>BANDA SONORA JUVENIL</t>
        </is>
      </c>
      <c r="B6" s="2" t="n">
        <v>30</v>
      </c>
      <c r="C6" s="2" t="inlineStr">
        <is>
          <t>cultural</t>
        </is>
      </c>
      <c r="E6" s="2">
        <f>IF(G6&lt;&gt;"",F5,"")</f>
        <v/>
      </c>
      <c r="F6" s="2">
        <f>IF(G6&lt;&gt;"",TEXT(TIME(HOUR(E6),MINUTE(E6),0)+IFERROR(VLOOKUP(G6,$A$4:$C$10,2,FALSE),0)/1440,"hh:mm"),"")</f>
        <v/>
      </c>
      <c r="G6" s="2" t="inlineStr">
        <is>
          <t>BANDA SONORA JUVENIL</t>
        </is>
      </c>
      <c r="H6">
        <f>IF(G6&lt;&gt;"",IFERROR(VLOOKUP(G6,$A$4:$C$10,3,FALSE),""),"")</f>
        <v/>
      </c>
    </row>
    <row r="7">
      <c r="A7" s="2" t="inlineStr">
        <is>
          <t>VE Y MIRA</t>
        </is>
      </c>
      <c r="B7" s="2" t="n">
        <v>30</v>
      </c>
      <c r="C7" s="2" t="inlineStr">
        <is>
          <t>cine</t>
        </is>
      </c>
      <c r="E7" s="2">
        <f>IF(G7&lt;&gt;"",F6,"")</f>
        <v/>
      </c>
      <c r="F7" s="2">
        <f>IF(G7&lt;&gt;"",TEXT(TIME(HOUR(E7),MINUTE(E7),0)+IFERROR(VLOOKUP(G7,$A$4:$C$10,2,FALSE),0)/1440,"hh:mm"),"")</f>
        <v/>
      </c>
      <c r="G7" s="2" t="inlineStr">
        <is>
          <t>VE Y MIRA</t>
        </is>
      </c>
      <c r="H7">
        <f>IF(G7&lt;&gt;"",IFERROR(VLOOKUP(G7,$A$4:$C$10,3,FALSE),""),"")</f>
        <v/>
      </c>
    </row>
    <row r="8">
      <c r="A8" s="2" t="inlineStr">
        <is>
          <t>MÚSICA DEL MUNDO</t>
        </is>
      </c>
      <c r="B8" s="2" t="n">
        <v>30</v>
      </c>
      <c r="C8" s="2" t="inlineStr">
        <is>
          <t>musical</t>
        </is>
      </c>
      <c r="E8" s="2">
        <f>IF(G8&lt;&gt;"",F7,"")</f>
        <v/>
      </c>
      <c r="F8" s="2">
        <f>IF(G8&lt;&gt;"",TEXT(TIME(HOUR(E8),MINUTE(E8),0)+IFERROR(VLOOKUP(G8,$A$4:$C$10,2,FALSE),0)/1440,"hh:mm"),"")</f>
        <v/>
      </c>
      <c r="G8" s="2" t="inlineStr">
        <is>
          <t>MÚSICA DEL MUNDO</t>
        </is>
      </c>
      <c r="H8">
        <f>IF(G8&lt;&gt;"",IFERROR(VLOOKUP(G8,$A$4:$C$10,3,FALSE),""),"")</f>
        <v/>
      </c>
    </row>
    <row r="9">
      <c r="A9" s="2" t="inlineStr">
        <is>
          <t>HABANA NOTICIARIO</t>
        </is>
      </c>
      <c r="B9" s="2" t="n">
        <v>30</v>
      </c>
      <c r="C9" s="2" t="inlineStr">
        <is>
          <t>informativo</t>
        </is>
      </c>
      <c r="E9" s="2">
        <f>IF(G9&lt;&gt;"",F8,"")</f>
        <v/>
      </c>
      <c r="F9" s="2">
        <f>IF(G9&lt;&gt;"",TEXT(TIME(HOUR(E9),MINUTE(E9),0)+IFERROR(VLOOKUP(G9,$A$4:$C$10,2,FALSE),0)/1440,"hh:mm"),"")</f>
        <v/>
      </c>
      <c r="G9" s="2" t="inlineStr">
        <is>
          <t>HABANA NOTICIARIO</t>
        </is>
      </c>
      <c r="H9">
        <f>IF(G9&lt;&gt;"",IFERROR(VLOOKUP(G9,$A$4:$C$10,3,FALSE),""),"")</f>
        <v/>
      </c>
    </row>
    <row r="10">
      <c r="A10" s="2" t="inlineStr">
        <is>
          <t>CINEMA HABANA</t>
        </is>
      </c>
      <c r="B10" s="2" t="n">
        <v>77</v>
      </c>
      <c r="C10" s="2" t="inlineStr">
        <is>
          <t>cine</t>
        </is>
      </c>
      <c r="E10" s="2">
        <f>IF(G10&lt;&gt;"",F9,"")</f>
        <v/>
      </c>
      <c r="F10" s="2">
        <f>IF(G10&lt;&gt;"",TEXT(TIME(HOUR(E10),MINUTE(E10),0)+IFERROR(VLOOKUP(G10,$A$4:$C$10,2,FALSE),0)/1440,"hh:mm"),"")</f>
        <v/>
      </c>
      <c r="G10" s="2" t="inlineStr">
        <is>
          <t>CINEMA HABANA</t>
        </is>
      </c>
      <c r="H10">
        <f>IF(G10&lt;&gt;"",IFERROR(VLOOKUP(G10,$A$4:$C$10,3,FALSE),""),"")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Jueves</t>
        </is>
      </c>
    </row>
    <row r="2">
      <c r="H2" s="2" t="inlineStr">
        <is>
          <t>Hora inicio 1ra fila</t>
        </is>
      </c>
      <c r="I2" s="2">
        <f>1+1</f>
        <v/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D3" s="4" t="n"/>
      <c r="E3" s="3" t="inlineStr">
        <is>
          <t>Hora de inicio</t>
        </is>
      </c>
      <c r="F3" s="3" t="inlineStr">
        <is>
          <t>Hora de terminacion</t>
        </is>
      </c>
      <c r="G3" s="3" t="inlineStr">
        <is>
          <t>Programa</t>
        </is>
      </c>
      <c r="H3" s="4" t="inlineStr">
        <is>
          <t>Tipo calc</t>
        </is>
      </c>
      <c r="I3" s="4" t="n"/>
    </row>
    <row r="4">
      <c r="A4" s="2" t="inlineStr">
        <is>
          <t>EL TIEMPO Y LA MEMORIA</t>
        </is>
      </c>
      <c r="B4" s="2" t="n">
        <v>5</v>
      </c>
      <c r="C4" s="2" t="inlineStr">
        <is>
          <t>informativo</t>
        </is>
      </c>
      <c r="E4" s="2">
        <f>IF(G4&lt;&gt;"",TIME(HOUR($I$2),MINUTE($I$2),0),"")</f>
        <v/>
      </c>
      <c r="F4" s="2">
        <f>IF(G4&lt;&gt;"",TEXT(TIME(HOUR(E4),MINUTE(E4),0)+IFERROR(VLOOKUP(G4,$A$4:$C$21,2,FALSE),0)/1440,"hh:mm"),"")</f>
        <v/>
      </c>
      <c r="G4" s="2" t="inlineStr">
        <is>
          <t>EL TIEMPO Y LA MEMORIA</t>
        </is>
      </c>
      <c r="H4">
        <f>IF(G4&lt;&gt;"",IFERROR(VLOOKUP(G4,$A$4:$C$21,3,FALSE),""),"")</f>
        <v/>
      </c>
    </row>
    <row r="5">
      <c r="A5" s="2" t="inlineStr">
        <is>
          <t>COORDENADAS</t>
        </is>
      </c>
      <c r="B5" s="2" t="n">
        <v>5</v>
      </c>
      <c r="C5" s="2" t="inlineStr">
        <is>
          <t>informativo</t>
        </is>
      </c>
      <c r="E5" s="2">
        <f>IF(G5&lt;&gt;"",F4,"")</f>
        <v/>
      </c>
      <c r="F5" s="2">
        <f>IF(G5&lt;&gt;"",TEXT(TIME(HOUR(E5),MINUTE(E5),0)+IFERROR(VLOOKUP(G5,$A$4:$C$21,2,FALSE),0)/1440,"hh:mm"),"")</f>
        <v/>
      </c>
      <c r="G5" s="2" t="inlineStr">
        <is>
          <t>COORDENADAS</t>
        </is>
      </c>
      <c r="H5">
        <f>IF(G5&lt;&gt;"",IFERROR(VLOOKUP(G5,$A$4:$C$21,3,FALSE),""),"")</f>
        <v/>
      </c>
    </row>
    <row r="6">
      <c r="A6" s="2" t="inlineStr">
        <is>
          <t>REVISTA HOLA HABANA</t>
        </is>
      </c>
      <c r="B6" s="2" t="n">
        <v>50</v>
      </c>
      <c r="C6" s="2" t="inlineStr">
        <is>
          <t>revista</t>
        </is>
      </c>
      <c r="E6" s="2">
        <f>IF(G6&lt;&gt;"",F5,"")</f>
        <v/>
      </c>
      <c r="F6" s="2">
        <f>IF(G6&lt;&gt;"",TEXT(TIME(HOUR(E6),MINUTE(E6),0)+IFERROR(VLOOKUP(G6,$A$4:$C$21,2,FALSE),0)/1440,"hh:mm"),"")</f>
        <v/>
      </c>
      <c r="G6" s="2" t="inlineStr">
        <is>
          <t>REVISTA HOLA HABANA</t>
        </is>
      </c>
      <c r="H6">
        <f>IF(G6&lt;&gt;"",IFERROR(VLOOKUP(G6,$A$4:$C$21,3,FALSE),""),"")</f>
        <v/>
      </c>
    </row>
    <row r="7">
      <c r="A7" s="2" t="inlineStr">
        <is>
          <t>SALUDARTE</t>
        </is>
      </c>
      <c r="B7" s="2" t="n">
        <v>15</v>
      </c>
      <c r="C7" s="2" t="inlineStr">
        <is>
          <t>salud</t>
        </is>
      </c>
      <c r="E7" s="2">
        <f>IF(G7&lt;&gt;"",F6,"")</f>
        <v/>
      </c>
      <c r="F7" s="2">
        <f>IF(G7&lt;&gt;"",TEXT(TIME(HOUR(E7),MINUTE(E7),0)+IFERROR(VLOOKUP(G7,$A$4:$C$21,2,FALSE),0)/1440,"hh:mm"),"")</f>
        <v/>
      </c>
      <c r="G7" s="2" t="inlineStr">
        <is>
          <t>SALUDARTE</t>
        </is>
      </c>
      <c r="H7">
        <f>IF(G7&lt;&gt;"",IFERROR(VLOOKUP(G7,$A$4:$C$21,3,FALSE),""),"")</f>
        <v/>
      </c>
    </row>
    <row r="8">
      <c r="A8" s="2" t="inlineStr">
        <is>
          <t>SECUENCIA</t>
        </is>
      </c>
      <c r="B8" s="2" t="n">
        <v>15</v>
      </c>
      <c r="C8" s="2" t="inlineStr">
        <is>
          <t>cultural</t>
        </is>
      </c>
      <c r="E8" s="2">
        <f>IF(G8&lt;&gt;"",F7,"")</f>
        <v/>
      </c>
      <c r="F8" s="2">
        <f>IF(G8&lt;&gt;"",TEXT(TIME(HOUR(E8),MINUTE(E8),0)+IFERROR(VLOOKUP(G8,$A$4:$C$21,2,FALSE),0)/1440,"hh:mm"),"")</f>
        <v/>
      </c>
      <c r="G8" s="2" t="inlineStr">
        <is>
          <t>SECUENCIA</t>
        </is>
      </c>
      <c r="H8">
        <f>IF(G8&lt;&gt;"",IFERROR(VLOOKUP(G8,$A$4:$C$21,3,FALSE),""),"")</f>
        <v/>
      </c>
    </row>
    <row r="9">
      <c r="A9" s="2" t="inlineStr">
        <is>
          <t>HABANA NOTICIARIO</t>
        </is>
      </c>
      <c r="B9" s="2" t="n">
        <v>30</v>
      </c>
      <c r="C9" s="2" t="inlineStr">
        <is>
          <t>informativo</t>
        </is>
      </c>
      <c r="E9" s="2">
        <f>IF(G9&lt;&gt;"",F8,"")</f>
        <v/>
      </c>
      <c r="F9" s="2">
        <f>IF(G9&lt;&gt;"",TEXT(TIME(HOUR(E9),MINUTE(E9),0)+IFERROR(VLOOKUP(G9,$A$4:$C$21,2,FALSE),0)/1440,"hh:mm"),"")</f>
        <v/>
      </c>
      <c r="G9" s="2" t="inlineStr">
        <is>
          <t>HABANA NOTICIARIO</t>
        </is>
      </c>
      <c r="H9">
        <f>IF(G9&lt;&gt;"",IFERROR(VLOOKUP(G9,$A$4:$C$21,3,FALSE),""),"")</f>
        <v/>
      </c>
    </row>
    <row r="10">
      <c r="A10" s="2" t="inlineStr">
        <is>
          <t>CAZADOR DE TROLES</t>
        </is>
      </c>
      <c r="B10" s="2" t="n">
        <v>30</v>
      </c>
      <c r="C10" s="2" t="inlineStr">
        <is>
          <t>infantil</t>
        </is>
      </c>
      <c r="E10" s="2">
        <f>IF(G10&lt;&gt;"",F9,"")</f>
        <v/>
      </c>
      <c r="F10" s="2">
        <f>IF(G10&lt;&gt;"",TEXT(TIME(HOUR(E10),MINUTE(E10),0)+IFERROR(VLOOKUP(G10,$A$4:$C$21,2,FALSE),0)/1440,"hh:mm"),"")</f>
        <v/>
      </c>
      <c r="G10" s="2" t="inlineStr">
        <is>
          <t>CAZADOR DE TROLES</t>
        </is>
      </c>
      <c r="H10">
        <f>IF(G10&lt;&gt;"",IFERROR(VLOOKUP(G10,$A$4:$C$21,3,FALSE),""),"")</f>
        <v/>
      </c>
    </row>
    <row r="11">
      <c r="A11" s="2" t="inlineStr">
        <is>
          <t>EL MUNDO DE CRAIG</t>
        </is>
      </c>
      <c r="B11" s="2" t="n">
        <v>15</v>
      </c>
      <c r="C11" s="2" t="inlineStr">
        <is>
          <t>animacion</t>
        </is>
      </c>
      <c r="E11" s="2">
        <f>IF(G11&lt;&gt;"",F10,"")</f>
        <v/>
      </c>
      <c r="F11" s="2">
        <f>IF(G11&lt;&gt;"",TEXT(TIME(HOUR(E11),MINUTE(E11),0)+IFERROR(VLOOKUP(G11,$A$4:$C$21,2,FALSE),0)/1440,"hh:mm"),"")</f>
        <v/>
      </c>
      <c r="G11" s="2" t="inlineStr">
        <is>
          <t>EL MUNDO DE CRAIG</t>
        </is>
      </c>
      <c r="H11">
        <f>IF(G11&lt;&gt;"",IFERROR(VLOOKUP(G11,$A$4:$C$21,3,FALSE),""),"")</f>
        <v/>
      </c>
    </row>
    <row r="12">
      <c r="A12" s="2" t="inlineStr">
        <is>
          <t>ÁNIMA</t>
        </is>
      </c>
      <c r="B12" s="2" t="n">
        <v>45</v>
      </c>
      <c r="C12" s="2" t="inlineStr">
        <is>
          <t>animacion</t>
        </is>
      </c>
      <c r="E12" s="2">
        <f>IF(G12&lt;&gt;"",F11,"")</f>
        <v/>
      </c>
      <c r="F12" s="2">
        <f>IF(G12&lt;&gt;"",TEXT(TIME(HOUR(E12),MINUTE(E12),0)+IFERROR(VLOOKUP(G12,$A$4:$C$21,2,FALSE),0)/1440,"hh:mm"),"")</f>
        <v/>
      </c>
      <c r="G12" s="2" t="inlineStr">
        <is>
          <t>ÁNIMA</t>
        </is>
      </c>
      <c r="H12">
        <f>IF(G12&lt;&gt;"",IFERROR(VLOOKUP(G12,$A$4:$C$21,3,FALSE),""),"")</f>
        <v/>
      </c>
    </row>
    <row r="13">
      <c r="A13" s="2" t="inlineStr">
        <is>
          <t>PAPEL EN BLANCO</t>
        </is>
      </c>
      <c r="B13" s="2" t="n">
        <v>30</v>
      </c>
      <c r="C13" s="2" t="inlineStr">
        <is>
          <t>cultural</t>
        </is>
      </c>
      <c r="E13" s="2">
        <f>IF(G13&lt;&gt;"",F12,"")</f>
        <v/>
      </c>
      <c r="F13" s="2">
        <f>IF(G13&lt;&gt;"",TEXT(TIME(HOUR(E13),MINUTE(E13),0)+IFERROR(VLOOKUP(G13,$A$4:$C$21,2,FALSE),0)/1440,"hh:mm"),"")</f>
        <v/>
      </c>
      <c r="G13" s="2" t="inlineStr">
        <is>
          <t>PAPEL EN BLANCO</t>
        </is>
      </c>
      <c r="H13">
        <f>IF(G13&lt;&gt;"",IFERROR(VLOOKUP(G13,$A$4:$C$21,3,FALSE),""),"")</f>
        <v/>
      </c>
    </row>
    <row r="14">
      <c r="A14" s="2" t="inlineStr">
        <is>
          <t>MÚSICA DEL MUNDO</t>
        </is>
      </c>
      <c r="B14" s="2" t="n">
        <v>30</v>
      </c>
      <c r="C14" s="2" t="inlineStr">
        <is>
          <t>musical</t>
        </is>
      </c>
      <c r="E14" s="2">
        <f>IF(G14&lt;&gt;"",F13,"")</f>
        <v/>
      </c>
      <c r="F14" s="2">
        <f>IF(G14&lt;&gt;"",TEXT(TIME(HOUR(E14),MINUTE(E14),0)+IFERROR(VLOOKUP(G14,$A$4:$C$21,2,FALSE),0)/1440,"hh:mm"),"")</f>
        <v/>
      </c>
      <c r="G14" s="2" t="inlineStr">
        <is>
          <t>MÚSICA DEL MUNDO</t>
        </is>
      </c>
      <c r="H14">
        <f>IF(G14&lt;&gt;"",IFERROR(VLOOKUP(G14,$A$4:$C$21,3,FALSE),""),"")</f>
        <v/>
      </c>
    </row>
    <row r="15">
      <c r="A15" s="2" t="inlineStr">
        <is>
          <t>TRAVESÍA</t>
        </is>
      </c>
      <c r="B15" s="2" t="n">
        <v>15</v>
      </c>
      <c r="C15" s="2" t="inlineStr">
        <is>
          <t>cultural</t>
        </is>
      </c>
      <c r="E15" s="2">
        <f>IF(G15&lt;&gt;"",F14,"")</f>
        <v/>
      </c>
      <c r="F15" s="2">
        <f>IF(G15&lt;&gt;"",TEXT(TIME(HOUR(E15),MINUTE(E15),0)+IFERROR(VLOOKUP(G15,$A$4:$C$21,2,FALSE),0)/1440,"hh:mm"),"")</f>
        <v/>
      </c>
      <c r="G15" s="2" t="inlineStr">
        <is>
          <t>TRAVESÍA</t>
        </is>
      </c>
      <c r="H15">
        <f>IF(G15&lt;&gt;"",IFERROR(VLOOKUP(G15,$A$4:$C$21,3,FALSE),""),"")</f>
        <v/>
      </c>
    </row>
    <row r="16">
      <c r="A16" s="2" t="inlineStr">
        <is>
          <t>DONDE VA LA HABANA</t>
        </is>
      </c>
      <c r="B16" s="2" t="n">
        <v>15</v>
      </c>
      <c r="C16" s="2" t="inlineStr">
        <is>
          <t>cultural</t>
        </is>
      </c>
      <c r="E16" s="2">
        <f>IF(G16&lt;&gt;"",F15,"")</f>
        <v/>
      </c>
      <c r="F16" s="2">
        <f>IF(G16&lt;&gt;"",TEXT(TIME(HOUR(E16),MINUTE(E16),0)+IFERROR(VLOOKUP(G16,$A$4:$C$21,2,FALSE),0)/1440,"hh:mm"),"")</f>
        <v/>
      </c>
      <c r="G16" s="2" t="inlineStr">
        <is>
          <t>DONDE VA LA HABANA</t>
        </is>
      </c>
      <c r="H16">
        <f>IF(G16&lt;&gt;"",IFERROR(VLOOKUP(G16,$A$4:$C$21,3,FALSE),""),"")</f>
        <v/>
      </c>
    </row>
    <row r="17">
      <c r="A17" s="2" t="inlineStr">
        <is>
          <t>BANDA SONORA</t>
        </is>
      </c>
      <c r="B17" s="2" t="n">
        <v>30</v>
      </c>
      <c r="C17" s="2" t="inlineStr">
        <is>
          <t>musical</t>
        </is>
      </c>
      <c r="E17" s="2">
        <f>IF(G17&lt;&gt;"",F16,"")</f>
        <v/>
      </c>
      <c r="F17" s="2">
        <f>IF(G17&lt;&gt;"",TEXT(TIME(HOUR(E17),MINUTE(E17),0)+IFERROR(VLOOKUP(G17,$A$4:$C$21,2,FALSE),0)/1440,"hh:mm"),"")</f>
        <v/>
      </c>
      <c r="G17" s="2" t="inlineStr">
        <is>
          <t>BANDA SONORA</t>
        </is>
      </c>
      <c r="H17">
        <f>IF(G17&lt;&gt;"",IFERROR(VLOOKUP(G17,$A$4:$C$21,3,FALSE),""),"")</f>
        <v/>
      </c>
    </row>
    <row r="18">
      <c r="A18" s="2" t="inlineStr">
        <is>
          <t>ESTA ES MI PEÑA</t>
        </is>
      </c>
      <c r="B18" s="2" t="n">
        <v>30</v>
      </c>
      <c r="C18" s="2" t="inlineStr">
        <is>
          <t>musical</t>
        </is>
      </c>
      <c r="E18" s="2">
        <f>IF(G18&lt;&gt;"",F17,"")</f>
        <v/>
      </c>
      <c r="F18" s="2">
        <f>IF(G18&lt;&gt;"",TEXT(TIME(HOUR(E18),MINUTE(E18),0)+IFERROR(VLOOKUP(G18,$A$4:$C$21,2,FALSE),0)/1440,"hh:mm"),"")</f>
        <v/>
      </c>
      <c r="G18" s="2" t="inlineStr">
        <is>
          <t>ESTA ES MI PEÑA</t>
        </is>
      </c>
      <c r="H18">
        <f>IF(G18&lt;&gt;"",IFERROR(VLOOKUP(G18,$A$4:$C$21,3,FALSE),""),"")</f>
        <v/>
      </c>
    </row>
    <row r="19">
      <c r="A19" s="2" t="inlineStr">
        <is>
          <t>NOVELA “LA NIETA ELEGIDA”</t>
        </is>
      </c>
      <c r="B19" s="2" t="n">
        <v>45</v>
      </c>
      <c r="C19" s="2" t="inlineStr">
        <is>
          <t>ficción</t>
        </is>
      </c>
      <c r="E19" s="2">
        <f>IF(G19&lt;&gt;"",F18,"")</f>
        <v/>
      </c>
      <c r="F19" s="2">
        <f>IF(G19&lt;&gt;"",TEXT(TIME(HOUR(E19),MINUTE(E19),0)+IFERROR(VLOOKUP(G19,$A$4:$C$21,2,FALSE),0)/1440,"hh:mm"),"")</f>
        <v/>
      </c>
      <c r="G19" s="2" t="inlineStr">
        <is>
          <t>NOVELA “LA NIETA ELEGIDA”</t>
        </is>
      </c>
      <c r="H19">
        <f>IF(G19&lt;&gt;"",IFERROR(VLOOKUP(G19,$A$4:$C$21,3,FALSE),""),"")</f>
        <v/>
      </c>
    </row>
    <row r="20">
      <c r="A20" s="2" t="inlineStr">
        <is>
          <t>HABANA NOTICIARIO</t>
        </is>
      </c>
      <c r="B20" s="2" t="n">
        <v>30</v>
      </c>
      <c r="C20" s="2" t="inlineStr">
        <is>
          <t>informativo</t>
        </is>
      </c>
      <c r="E20" s="2">
        <f>IF(G20&lt;&gt;"",F19,"")</f>
        <v/>
      </c>
      <c r="F20" s="2">
        <f>IF(G20&lt;&gt;"",TEXT(TIME(HOUR(E20),MINUTE(E20),0)+IFERROR(VLOOKUP(G20,$A$4:$C$21,2,FALSE),0)/1440,"hh:mm"),"")</f>
        <v/>
      </c>
      <c r="G20" s="2" t="inlineStr">
        <is>
          <t>HABANA NOTICIARIO</t>
        </is>
      </c>
      <c r="H20">
        <f>IF(G20&lt;&gt;"",IFERROR(VLOOKUP(G20,$A$4:$C$21,3,FALSE),""),"")</f>
        <v/>
      </c>
    </row>
    <row r="21">
      <c r="A21" s="2" t="inlineStr">
        <is>
          <t>SERIE “CRÍMENES MAYORES”</t>
        </is>
      </c>
      <c r="B21" s="2" t="n">
        <v>45</v>
      </c>
      <c r="C21" s="2" t="inlineStr">
        <is>
          <t>ficción</t>
        </is>
      </c>
      <c r="E21" s="2">
        <f>IF(G21&lt;&gt;"",F20,"")</f>
        <v/>
      </c>
      <c r="F21" s="2">
        <f>IF(G21&lt;&gt;"",TEXT(TIME(HOUR(E21),MINUTE(E21),0)+IFERROR(VLOOKUP(G21,$A$4:$C$21,2,FALSE),0)/1440,"hh:mm"),"")</f>
        <v/>
      </c>
      <c r="G21" s="2" t="inlineStr">
        <is>
          <t>SERIE “CRÍMENES MAYORES”</t>
        </is>
      </c>
      <c r="H21">
        <f>IF(G21&lt;&gt;"",IFERROR(VLOOKUP(G21,$A$4:$C$21,3,FALSE),""),"")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Viernes</t>
        </is>
      </c>
    </row>
    <row r="2">
      <c r="H2" s="2" t="inlineStr">
        <is>
          <t>Hora inicio 1ra fila</t>
        </is>
      </c>
      <c r="I2" s="2">
        <f>1+1</f>
        <v/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D3" s="4" t="n"/>
      <c r="E3" s="3" t="inlineStr">
        <is>
          <t>Hora de inicio</t>
        </is>
      </c>
      <c r="F3" s="3" t="inlineStr">
        <is>
          <t>Hora de terminacion</t>
        </is>
      </c>
      <c r="G3" s="3" t="inlineStr">
        <is>
          <t>Programa</t>
        </is>
      </c>
      <c r="H3" s="4" t="inlineStr">
        <is>
          <t>Tipo calc</t>
        </is>
      </c>
      <c r="I3" s="4" t="n"/>
    </row>
    <row r="4">
      <c r="A4" s="2" t="inlineStr">
        <is>
          <t>GEN HABANERO</t>
        </is>
      </c>
      <c r="B4" s="2" t="n">
        <v>60</v>
      </c>
      <c r="C4" s="2" t="inlineStr">
        <is>
          <t>documental</t>
        </is>
      </c>
      <c r="E4" s="2">
        <f>IF(G4&lt;&gt;"",TIME(HOUR($I$2),MINUTE($I$2),0),"")</f>
        <v/>
      </c>
      <c r="F4" s="2">
        <f>IF(G4&lt;&gt;"",TEXT(TIME(HOUR(E4),MINUTE(E4),0)+IFERROR(VLOOKUP(G4,$A$4:$C$15,2,FALSE),0)/1440,"hh:mm"),"")</f>
        <v/>
      </c>
      <c r="G4" s="2" t="inlineStr">
        <is>
          <t>GEN HABANERO</t>
        </is>
      </c>
      <c r="H4">
        <f>IF(G4&lt;&gt;"",IFERROR(VLOOKUP(G4,$A$4:$C$15,3,FALSE),""),"")</f>
        <v/>
      </c>
    </row>
    <row r="5">
      <c r="A5" s="2" t="inlineStr">
        <is>
          <t>HABANA NOTICIARIO</t>
        </is>
      </c>
      <c r="B5" s="2" t="n">
        <v>30</v>
      </c>
      <c r="C5" s="2" t="inlineStr">
        <is>
          <t>informativo</t>
        </is>
      </c>
      <c r="E5" s="2">
        <f>IF(G5&lt;&gt;"",F4,"")</f>
        <v/>
      </c>
      <c r="F5" s="2">
        <f>IF(G5&lt;&gt;"",TEXT(TIME(HOUR(E5),MINUTE(E5),0)+IFERROR(VLOOKUP(G5,$A$4:$C$15,2,FALSE),0)/1440,"hh:mm"),"")</f>
        <v/>
      </c>
      <c r="G5" s="2" t="inlineStr">
        <is>
          <t>HABANA NOTICIARIO</t>
        </is>
      </c>
      <c r="H5">
        <f>IF(G5&lt;&gt;"",IFERROR(VLOOKUP(G5,$A$4:$C$15,3,FALSE),""),"")</f>
        <v/>
      </c>
    </row>
    <row r="6">
      <c r="A6" s="2" t="inlineStr">
        <is>
          <t>TIENE QUE VER</t>
        </is>
      </c>
      <c r="B6" s="2" t="n">
        <v>115</v>
      </c>
      <c r="C6" s="2" t="inlineStr">
        <is>
          <t>cine</t>
        </is>
      </c>
      <c r="E6" s="2">
        <f>IF(G6&lt;&gt;"",F5,"")</f>
        <v/>
      </c>
      <c r="F6" s="2">
        <f>IF(G6&lt;&gt;"",TEXT(TIME(HOUR(E6),MINUTE(E6),0)+IFERROR(VLOOKUP(G6,$A$4:$C$15,2,FALSE),0)/1440,"hh:mm"),"")</f>
        <v/>
      </c>
      <c r="G6" s="2" t="inlineStr">
        <is>
          <t>TIENE QUE VER</t>
        </is>
      </c>
      <c r="H6">
        <f>IF(G6&lt;&gt;"",IFERROR(VLOOKUP(G6,$A$4:$C$15,3,FALSE),""),"")</f>
        <v/>
      </c>
    </row>
    <row r="7">
      <c r="A7" s="2" t="inlineStr">
        <is>
          <t>COORDENADAS INFANTILES</t>
        </is>
      </c>
      <c r="B7" s="2" t="n">
        <v>5</v>
      </c>
      <c r="C7" s="2" t="inlineStr">
        <is>
          <t>informativo</t>
        </is>
      </c>
      <c r="E7" s="2">
        <f>IF(G7&lt;&gt;"",F6,"")</f>
        <v/>
      </c>
      <c r="F7" s="2">
        <f>IF(G7&lt;&gt;"",TEXT(TIME(HOUR(E7),MINUTE(E7),0)+IFERROR(VLOOKUP(G7,$A$4:$C$15,2,FALSE),0)/1440,"hh:mm"),"")</f>
        <v/>
      </c>
      <c r="G7" s="2" t="inlineStr">
        <is>
          <t>COORDENADAS INFANTILES</t>
        </is>
      </c>
      <c r="H7">
        <f>IF(G7&lt;&gt;"",IFERROR(VLOOKUP(G7,$A$4:$C$15,3,FALSE),""),"")</f>
        <v/>
      </c>
    </row>
    <row r="8">
      <c r="A8" s="2" t="inlineStr">
        <is>
          <t>ALGO ENTRE MANOS</t>
        </is>
      </c>
      <c r="B8" s="2" t="n">
        <v>30</v>
      </c>
      <c r="C8" s="2" t="inlineStr">
        <is>
          <t>cultural</t>
        </is>
      </c>
      <c r="E8" s="2">
        <f>IF(G8&lt;&gt;"",F7,"")</f>
        <v/>
      </c>
      <c r="F8" s="2">
        <f>IF(G8&lt;&gt;"",TEXT(TIME(HOUR(E8),MINUTE(E8),0)+IFERROR(VLOOKUP(G8,$A$4:$C$15,2,FALSE),0)/1440,"hh:mm"),"")</f>
        <v/>
      </c>
      <c r="G8" s="2" t="inlineStr">
        <is>
          <t>ALGO ENTRE MANOS</t>
        </is>
      </c>
      <c r="H8">
        <f>IF(G8&lt;&gt;"",IFERROR(VLOOKUP(G8,$A$4:$C$15,3,FALSE),""),"")</f>
        <v/>
      </c>
    </row>
    <row r="9">
      <c r="A9" s="2" t="inlineStr">
        <is>
          <t>BREVES ESTACIONES</t>
        </is>
      </c>
      <c r="B9" s="2" t="n">
        <v>30</v>
      </c>
      <c r="C9" s="2" t="inlineStr">
        <is>
          <t>cultural</t>
        </is>
      </c>
      <c r="E9" s="2">
        <f>IF(G9&lt;&gt;"",F8,"")</f>
        <v/>
      </c>
      <c r="F9" s="2">
        <f>IF(G9&lt;&gt;"",TEXT(TIME(HOUR(E9),MINUTE(E9),0)+IFERROR(VLOOKUP(G9,$A$4:$C$15,2,FALSE),0)/1440,"hh:mm"),"")</f>
        <v/>
      </c>
      <c r="G9" s="2" t="inlineStr">
        <is>
          <t>BREVES ESTACIONES</t>
        </is>
      </c>
      <c r="H9">
        <f>IF(G9&lt;&gt;"",IFERROR(VLOOKUP(G9,$A$4:$C$15,3,FALSE),""),"")</f>
        <v/>
      </c>
    </row>
    <row r="10">
      <c r="A10" s="2" t="inlineStr">
        <is>
          <t>DÉCADAS MILAGROSAS</t>
        </is>
      </c>
      <c r="B10" s="2" t="n">
        <v>30</v>
      </c>
      <c r="C10" s="2" t="inlineStr">
        <is>
          <t>musical</t>
        </is>
      </c>
      <c r="E10" s="2">
        <f>IF(G10&lt;&gt;"",F9,"")</f>
        <v/>
      </c>
      <c r="F10" s="2">
        <f>IF(G10&lt;&gt;"",TEXT(TIME(HOUR(E10),MINUTE(E10),0)+IFERROR(VLOOKUP(G10,$A$4:$C$15,2,FALSE),0)/1440,"hh:mm"),"")</f>
        <v/>
      </c>
      <c r="G10" s="2" t="inlineStr">
        <is>
          <t>DÉCADAS MILAGROSAS</t>
        </is>
      </c>
      <c r="H10">
        <f>IF(G10&lt;&gt;"",IFERROR(VLOOKUP(G10,$A$4:$C$15,3,FALSE),""),"")</f>
        <v/>
      </c>
    </row>
    <row r="11">
      <c r="A11" s="2" t="inlineStr">
        <is>
          <t>SIN PUNTOS SUSPENSIVOS</t>
        </is>
      </c>
      <c r="B11" s="2" t="n">
        <v>15</v>
      </c>
      <c r="C11" s="2" t="inlineStr">
        <is>
          <t>entrevista</t>
        </is>
      </c>
      <c r="E11" s="2">
        <f>IF(G11&lt;&gt;"",F10,"")</f>
        <v/>
      </c>
      <c r="F11" s="2">
        <f>IF(G11&lt;&gt;"",TEXT(TIME(HOUR(E11),MINUTE(E11),0)+IFERROR(VLOOKUP(G11,$A$4:$C$15,2,FALSE),0)/1440,"hh:mm"),"")</f>
        <v/>
      </c>
      <c r="G11" s="2" t="inlineStr">
        <is>
          <t>SIN PUNTOS SUSPENSIVOS</t>
        </is>
      </c>
      <c r="H11">
        <f>IF(G11&lt;&gt;"",IFERROR(VLOOKUP(G11,$A$4:$C$15,3,FALSE),""),"")</f>
        <v/>
      </c>
    </row>
    <row r="12">
      <c r="A12" s="2" t="inlineStr">
        <is>
          <t>YO BAILO</t>
        </is>
      </c>
      <c r="B12" s="2" t="n">
        <v>15</v>
      </c>
      <c r="C12" s="2" t="inlineStr">
        <is>
          <t>musical</t>
        </is>
      </c>
      <c r="E12" s="2">
        <f>IF(G12&lt;&gt;"",F11,"")</f>
        <v/>
      </c>
      <c r="F12" s="2">
        <f>IF(G12&lt;&gt;"",TEXT(TIME(HOUR(E12),MINUTE(E12),0)+IFERROR(VLOOKUP(G12,$A$4:$C$15,2,FALSE),0)/1440,"hh:mm"),"")</f>
        <v/>
      </c>
      <c r="G12" s="2" t="inlineStr">
        <is>
          <t>YO BAILO</t>
        </is>
      </c>
      <c r="H12">
        <f>IF(G12&lt;&gt;"",IFERROR(VLOOKUP(G12,$A$4:$C$15,3,FALSE),""),"")</f>
        <v/>
      </c>
    </row>
    <row r="13">
      <c r="A13" s="2" t="inlineStr">
        <is>
          <t>NOVELA “LA NIETA ELEGIDA”</t>
        </is>
      </c>
      <c r="B13" s="2" t="n">
        <v>45</v>
      </c>
      <c r="C13" s="2" t="inlineStr">
        <is>
          <t>ficción</t>
        </is>
      </c>
      <c r="E13" s="2">
        <f>IF(G13&lt;&gt;"",F12,"")</f>
        <v/>
      </c>
      <c r="F13" s="2">
        <f>IF(G13&lt;&gt;"",TEXT(TIME(HOUR(E13),MINUTE(E13),0)+IFERROR(VLOOKUP(G13,$A$4:$C$15,2,FALSE),0)/1440,"hh:mm"),"")</f>
        <v/>
      </c>
      <c r="G13" s="2" t="inlineStr">
        <is>
          <t>NOVELA “LA NIETA ELEGIDA”</t>
        </is>
      </c>
      <c r="H13">
        <f>IF(G13&lt;&gt;"",IFERROR(VLOOKUP(G13,$A$4:$C$15,3,FALSE),""),"")</f>
        <v/>
      </c>
    </row>
    <row r="14">
      <c r="A14" s="2" t="inlineStr">
        <is>
          <t>HABANA NOTICIARIO</t>
        </is>
      </c>
      <c r="B14" s="2" t="n">
        <v>30</v>
      </c>
      <c r="C14" s="2" t="inlineStr">
        <is>
          <t>informativo</t>
        </is>
      </c>
      <c r="E14" s="2">
        <f>IF(G14&lt;&gt;"",F13,"")</f>
        <v/>
      </c>
      <c r="F14" s="2">
        <f>IF(G14&lt;&gt;"",TEXT(TIME(HOUR(E14),MINUTE(E14),0)+IFERROR(VLOOKUP(G14,$A$4:$C$15,2,FALSE),0)/1440,"hh:mm"),"")</f>
        <v/>
      </c>
      <c r="G14" s="2" t="inlineStr">
        <is>
          <t>HABANA NOTICIARIO</t>
        </is>
      </c>
      <c r="H14">
        <f>IF(G14&lt;&gt;"",IFERROR(VLOOKUP(G14,$A$4:$C$15,3,FALSE),""),"")</f>
        <v/>
      </c>
    </row>
    <row r="15">
      <c r="A15" s="2" t="inlineStr">
        <is>
          <t>SERIE “CRÍMENES MAYORES”</t>
        </is>
      </c>
      <c r="B15" s="2" t="n">
        <v>45</v>
      </c>
      <c r="C15" s="2" t="inlineStr">
        <is>
          <t>ficción</t>
        </is>
      </c>
      <c r="E15" s="2">
        <f>IF(G15&lt;&gt;"",F14,"")</f>
        <v/>
      </c>
      <c r="F15" s="2">
        <f>IF(G15&lt;&gt;"",TEXT(TIME(HOUR(E15),MINUTE(E15),0)+IFERROR(VLOOKUP(G15,$A$4:$C$15,2,FALSE),0)/1440,"hh:mm"),"")</f>
        <v/>
      </c>
      <c r="G15" s="2" t="inlineStr">
        <is>
          <t>SERIE “CRÍMENES MAYORES”</t>
        </is>
      </c>
      <c r="H15">
        <f>IF(G15&lt;&gt;"",IFERROR(VLOOKUP(G15,$A$4:$C$15,3,FALSE),""),"")</f>
        <v/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Sabado</t>
        </is>
      </c>
    </row>
    <row r="2">
      <c r="H2" s="2" t="inlineStr">
        <is>
          <t>Hora inicio 1ra fila</t>
        </is>
      </c>
      <c r="I2" s="2">
        <f>1+1</f>
        <v/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D3" s="4" t="n"/>
      <c r="E3" s="3" t="inlineStr">
        <is>
          <t>Hora de inicio</t>
        </is>
      </c>
      <c r="F3" s="3" t="inlineStr">
        <is>
          <t>Hora de terminacion</t>
        </is>
      </c>
      <c r="G3" s="3" t="inlineStr">
        <is>
          <t>Programa</t>
        </is>
      </c>
      <c r="H3" s="4" t="inlineStr">
        <is>
          <t>Tipo calc</t>
        </is>
      </c>
      <c r="I3" s="4" t="n"/>
    </row>
    <row r="4">
      <c r="A4" s="2" t="inlineStr">
        <is>
          <t>EL TIEMPO Y LA MEMORIA</t>
        </is>
      </c>
      <c r="B4" s="2" t="n">
        <v>5</v>
      </c>
      <c r="C4" s="2" t="inlineStr">
        <is>
          <t>informativo</t>
        </is>
      </c>
      <c r="E4" s="2">
        <f>IF(G4&lt;&gt;"",TIME(HOUR($I$2),MINUTE($I$2),0),"")</f>
        <v/>
      </c>
      <c r="F4" s="2">
        <f>IF(G4&lt;&gt;"",TEXT(TIME(HOUR(E4),MINUTE(E4),0)+IFERROR(VLOOKUP(G4,$A$4:$C$17,2,FALSE),0)/1440,"hh:mm"),"")</f>
        <v/>
      </c>
      <c r="G4" s="2" t="inlineStr">
        <is>
          <t>EL TIEMPO Y LA MEMORIA</t>
        </is>
      </c>
      <c r="H4">
        <f>IF(G4&lt;&gt;"",IFERROR(VLOOKUP(G4,$A$4:$C$17,3,FALSE),""),"")</f>
        <v/>
      </c>
    </row>
    <row r="5">
      <c r="A5" s="2" t="inlineStr">
        <is>
          <t>COORDENADAS</t>
        </is>
      </c>
      <c r="B5" s="2" t="n">
        <v>5</v>
      </c>
      <c r="C5" s="2" t="inlineStr">
        <is>
          <t>informativo</t>
        </is>
      </c>
      <c r="E5" s="2">
        <f>IF(G5&lt;&gt;"",F4,"")</f>
        <v/>
      </c>
      <c r="F5" s="2">
        <f>IF(G5&lt;&gt;"",TEXT(TIME(HOUR(E5),MINUTE(E5),0)+IFERROR(VLOOKUP(G5,$A$4:$C$17,2,FALSE),0)/1440,"hh:mm"),"")</f>
        <v/>
      </c>
      <c r="G5" s="2" t="inlineStr">
        <is>
          <t>COORDENADAS</t>
        </is>
      </c>
      <c r="H5">
        <f>IF(G5&lt;&gt;"",IFERROR(VLOOKUP(G5,$A$4:$C$17,3,FALSE),""),"")</f>
        <v/>
      </c>
    </row>
    <row r="6">
      <c r="A6" s="2" t="inlineStr">
        <is>
          <t>CUENTAS VERDE LIMÓN</t>
        </is>
      </c>
      <c r="B6" s="2" t="n">
        <v>35</v>
      </c>
      <c r="C6" s="2" t="inlineStr">
        <is>
          <t>infantil</t>
        </is>
      </c>
      <c r="E6" s="2">
        <f>IF(G6&lt;&gt;"",F5,"")</f>
        <v/>
      </c>
      <c r="F6" s="2">
        <f>IF(G6&lt;&gt;"",TEXT(TIME(HOUR(E6),MINUTE(E6),0)+IFERROR(VLOOKUP(G6,$A$4:$C$17,2,FALSE),0)/1440,"hh:mm"),"")</f>
        <v/>
      </c>
      <c r="G6" s="2" t="inlineStr">
        <is>
          <t>CUENTAS VERDE LIMÓN</t>
        </is>
      </c>
      <c r="H6">
        <f>IF(G6&lt;&gt;"",IFERROR(VLOOKUP(G6,$A$4:$C$17,3,FALSE),""),"")</f>
        <v/>
      </c>
    </row>
    <row r="7">
      <c r="A7" s="2" t="inlineStr">
        <is>
          <t>BANDA SONORA JUVENIL</t>
        </is>
      </c>
      <c r="B7" s="2" t="n">
        <v>30</v>
      </c>
      <c r="C7" s="2" t="inlineStr">
        <is>
          <t>cine</t>
        </is>
      </c>
      <c r="E7" s="2">
        <f>IF(G7&lt;&gt;"",F6,"")</f>
        <v/>
      </c>
      <c r="F7" s="2">
        <f>IF(G7&lt;&gt;"",TEXT(TIME(HOUR(E7),MINUTE(E7),0)+IFERROR(VLOOKUP(G7,$A$4:$C$17,2,FALSE),0)/1440,"hh:mm"),"")</f>
        <v/>
      </c>
      <c r="G7" s="2" t="inlineStr">
        <is>
          <t>BANDA SONORA JUVENIL</t>
        </is>
      </c>
      <c r="H7">
        <f>IF(G7&lt;&gt;"",IFERROR(VLOOKUP(G7,$A$4:$C$17,3,FALSE),""),"")</f>
        <v/>
      </c>
    </row>
    <row r="8">
      <c r="A8" s="2" t="inlineStr">
        <is>
          <t>TRAVESÍA</t>
        </is>
      </c>
      <c r="B8" s="2" t="n">
        <v>15</v>
      </c>
      <c r="C8" s="2" t="inlineStr">
        <is>
          <t>cultural</t>
        </is>
      </c>
      <c r="E8" s="2">
        <f>IF(G8&lt;&gt;"",F7,"")</f>
        <v/>
      </c>
      <c r="F8" s="2">
        <f>IF(G8&lt;&gt;"",TEXT(TIME(HOUR(E8),MINUTE(E8),0)+IFERROR(VLOOKUP(G8,$A$4:$C$17,2,FALSE),0)/1440,"hh:mm"),"")</f>
        <v/>
      </c>
      <c r="G8" s="2" t="inlineStr">
        <is>
          <t>TRAVESÍA</t>
        </is>
      </c>
      <c r="H8">
        <f>IF(G8&lt;&gt;"",IFERROR(VLOOKUP(G8,$A$4:$C$17,3,FALSE),""),"")</f>
        <v/>
      </c>
    </row>
    <row r="9">
      <c r="A9" s="2" t="inlineStr">
        <is>
          <t>TODO POP</t>
        </is>
      </c>
      <c r="B9" s="2" t="n">
        <v>30</v>
      </c>
      <c r="C9" s="2" t="inlineStr">
        <is>
          <t>musical</t>
        </is>
      </c>
      <c r="E9" s="2">
        <f>IF(G9&lt;&gt;"",F8,"")</f>
        <v/>
      </c>
      <c r="F9" s="2">
        <f>IF(G9&lt;&gt;"",TEXT(TIME(HOUR(E9),MINUTE(E9),0)+IFERROR(VLOOKUP(G9,$A$4:$C$17,2,FALSE),0)/1440,"hh:mm"),"")</f>
        <v/>
      </c>
      <c r="G9" s="2" t="inlineStr">
        <is>
          <t>TODO POP</t>
        </is>
      </c>
      <c r="H9">
        <f>IF(G9&lt;&gt;"",IFERROR(VLOOKUP(G9,$A$4:$C$17,3,FALSE),""),"")</f>
        <v/>
      </c>
    </row>
    <row r="10">
      <c r="A10" s="2" t="inlineStr">
        <is>
          <t>SERIE JUVENIL “SABRINA, LA BRUJA ADOLESCENTE”</t>
        </is>
      </c>
      <c r="B10" s="2" t="n">
        <v>45</v>
      </c>
      <c r="C10" s="2" t="inlineStr">
        <is>
          <t>ficción</t>
        </is>
      </c>
      <c r="E10" s="2">
        <f>IF(G10&lt;&gt;"",F9,"")</f>
        <v/>
      </c>
      <c r="F10" s="2">
        <f>IF(G10&lt;&gt;"",TEXT(TIME(HOUR(E10),MINUTE(E10),0)+IFERROR(VLOOKUP(G10,$A$4:$C$17,2,FALSE),0)/1440,"hh:mm"),"")</f>
        <v/>
      </c>
      <c r="G10" s="2" t="inlineStr">
        <is>
          <t>SERIE JUVENIL “SABRINA, LA BRUJA ADOLESCENTE”</t>
        </is>
      </c>
      <c r="H10">
        <f>IF(G10&lt;&gt;"",IFERROR(VLOOKUP(G10,$A$4:$C$17,3,FALSE),""),"")</f>
        <v/>
      </c>
    </row>
    <row r="11">
      <c r="A11" s="2" t="inlineStr">
        <is>
          <t>LIBRE ACCESO</t>
        </is>
      </c>
      <c r="B11" s="2" t="n">
        <v>45</v>
      </c>
      <c r="C11" s="2" t="inlineStr">
        <is>
          <t>informativo</t>
        </is>
      </c>
      <c r="E11" s="2">
        <f>IF(G11&lt;&gt;"",F10,"")</f>
        <v/>
      </c>
      <c r="F11" s="2">
        <f>IF(G11&lt;&gt;"",TEXT(TIME(HOUR(E11),MINUTE(E11),0)+IFERROR(VLOOKUP(G11,$A$4:$C$17,2,FALSE),0)/1440,"hh:mm"),"")</f>
        <v/>
      </c>
      <c r="G11" s="2" t="inlineStr">
        <is>
          <t>LIBRE ACCESO</t>
        </is>
      </c>
      <c r="H11">
        <f>IF(G11&lt;&gt;"",IFERROR(VLOOKUP(G11,$A$4:$C$17,3,FALSE),""),"")</f>
        <v/>
      </c>
    </row>
    <row r="12">
      <c r="A12" s="2" t="inlineStr">
        <is>
          <t>JUGADA PERFECTA</t>
        </is>
      </c>
      <c r="B12" s="2" t="n">
        <v>30</v>
      </c>
      <c r="C12" s="2" t="inlineStr">
        <is>
          <t>deporte</t>
        </is>
      </c>
      <c r="E12" s="2">
        <f>IF(G12&lt;&gt;"",F11,"")</f>
        <v/>
      </c>
      <c r="F12" s="2">
        <f>IF(G12&lt;&gt;"",TEXT(TIME(HOUR(E12),MINUTE(E12),0)+IFERROR(VLOOKUP(G12,$A$4:$C$17,2,FALSE),0)/1440,"hh:mm"),"")</f>
        <v/>
      </c>
      <c r="G12" s="2" t="inlineStr">
        <is>
          <t>JUGADA PERFECTA</t>
        </is>
      </c>
      <c r="H12">
        <f>IF(G12&lt;&gt;"",IFERROR(VLOOKUP(G12,$A$4:$C$17,3,FALSE),""),"")</f>
        <v/>
      </c>
    </row>
    <row r="13">
      <c r="A13" s="2" t="inlineStr">
        <is>
          <t>QUE LA MÚSICA NO FALTE</t>
        </is>
      </c>
      <c r="B13" s="2" t="n">
        <v>15</v>
      </c>
      <c r="C13" s="2" t="inlineStr">
        <is>
          <t>musical</t>
        </is>
      </c>
      <c r="E13" s="2">
        <f>IF(G13&lt;&gt;"",F12,"")</f>
        <v/>
      </c>
      <c r="F13" s="2">
        <f>IF(G13&lt;&gt;"",TEXT(TIME(HOUR(E13),MINUTE(E13),0)+IFERROR(VLOOKUP(G13,$A$4:$C$17,2,FALSE),0)/1440,"hh:mm"),"")</f>
        <v/>
      </c>
      <c r="G13" s="2" t="inlineStr">
        <is>
          <t>QUE LA MÚSICA NO FALTE</t>
        </is>
      </c>
      <c r="H13">
        <f>IF(G13&lt;&gt;"",IFERROR(VLOOKUP(G13,$A$4:$C$17,3,FALSE),""),"")</f>
        <v/>
      </c>
    </row>
    <row r="14">
      <c r="A14" s="2" t="inlineStr">
        <is>
          <t>COSAS DEL CINE</t>
        </is>
      </c>
      <c r="B14" s="2" t="n">
        <v>15</v>
      </c>
      <c r="C14" s="2" t="inlineStr">
        <is>
          <t>cine</t>
        </is>
      </c>
      <c r="E14" s="2">
        <f>IF(G14&lt;&gt;"",F13,"")</f>
        <v/>
      </c>
      <c r="F14" s="2">
        <f>IF(G14&lt;&gt;"",TEXT(TIME(HOUR(E14),MINUTE(E14),0)+IFERROR(VLOOKUP(G14,$A$4:$C$17,2,FALSE),0)/1440,"hh:mm"),"")</f>
        <v/>
      </c>
      <c r="G14" s="2" t="inlineStr">
        <is>
          <t>COSAS DEL CINE</t>
        </is>
      </c>
      <c r="H14">
        <f>IF(G14&lt;&gt;"",IFERROR(VLOOKUP(G14,$A$4:$C$17,3,FALSE),""),"")</f>
        <v/>
      </c>
    </row>
    <row r="15">
      <c r="A15" s="2" t="inlineStr">
        <is>
          <t>MÚSICA HABANA</t>
        </is>
      </c>
      <c r="B15" s="2" t="n">
        <v>30</v>
      </c>
      <c r="C15" s="2" t="inlineStr">
        <is>
          <t>musical</t>
        </is>
      </c>
      <c r="E15" s="2">
        <f>IF(G15&lt;&gt;"",F14,"")</f>
        <v/>
      </c>
      <c r="F15" s="2">
        <f>IF(G15&lt;&gt;"",TEXT(TIME(HOUR(E15),MINUTE(E15),0)+IFERROR(VLOOKUP(G15,$A$4:$C$17,2,FALSE),0)/1440,"hh:mm"),"")</f>
        <v/>
      </c>
      <c r="G15" s="2" t="inlineStr">
        <is>
          <t>MÚSICA HABANA</t>
        </is>
      </c>
      <c r="H15">
        <f>IF(G15&lt;&gt;"",IFERROR(VLOOKUP(G15,$A$4:$C$17,3,FALSE),""),"")</f>
        <v/>
      </c>
    </row>
    <row r="16">
      <c r="A16" s="2" t="inlineStr">
        <is>
          <t>X DISTANTE</t>
        </is>
      </c>
      <c r="B16" s="2" t="n">
        <v>90</v>
      </c>
      <c r="C16" s="2" t="inlineStr">
        <is>
          <t>animacion</t>
        </is>
      </c>
      <c r="E16" s="2">
        <f>IF(G16&lt;&gt;"",F15,"")</f>
        <v/>
      </c>
      <c r="F16" s="2">
        <f>IF(G16&lt;&gt;"",TEXT(TIME(HOUR(E16),MINUTE(E16),0)+IFERROR(VLOOKUP(G16,$A$4:$C$17,2,FALSE),0)/1440,"hh:mm"),"")</f>
        <v/>
      </c>
      <c r="G16" s="2" t="inlineStr">
        <is>
          <t>X DISTANTE</t>
        </is>
      </c>
      <c r="H16">
        <f>IF(G16&lt;&gt;"",IFERROR(VLOOKUP(G16,$A$4:$C$17,3,FALSE),""),"")</f>
        <v/>
      </c>
    </row>
    <row r="17">
      <c r="A17" s="2" t="inlineStr">
        <is>
          <t>MÚSICA SI</t>
        </is>
      </c>
      <c r="B17" s="2" t="n">
        <v>90</v>
      </c>
      <c r="C17" s="2" t="inlineStr">
        <is>
          <t>musical</t>
        </is>
      </c>
      <c r="E17" s="2">
        <f>IF(G17&lt;&gt;"",F16,"")</f>
        <v/>
      </c>
      <c r="F17" s="2">
        <f>IF(G17&lt;&gt;"",TEXT(TIME(HOUR(E17),MINUTE(E17),0)+IFERROR(VLOOKUP(G17,$A$4:$C$17,2,FALSE),0)/1440,"hh:mm"),"")</f>
        <v/>
      </c>
      <c r="G17" s="2" t="inlineStr">
        <is>
          <t>MÚSICA SI</t>
        </is>
      </c>
      <c r="H17">
        <f>IF(G17&lt;&gt;"",IFERROR(VLOOKUP(G17,$A$4:$C$17,3,FALSE),""),"")</f>
        <v/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Domingo</t>
        </is>
      </c>
    </row>
    <row r="2">
      <c r="H2" s="2" t="inlineStr">
        <is>
          <t>Hora inicio 1ra fila</t>
        </is>
      </c>
      <c r="I2" s="2">
        <f>1+1</f>
        <v/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D3" s="4" t="n"/>
      <c r="E3" s="3" t="inlineStr">
        <is>
          <t>Hora de inicio</t>
        </is>
      </c>
      <c r="F3" s="3" t="inlineStr">
        <is>
          <t>Hora de terminacion</t>
        </is>
      </c>
      <c r="G3" s="3" t="inlineStr">
        <is>
          <t>Programa</t>
        </is>
      </c>
      <c r="H3" s="4" t="inlineStr">
        <is>
          <t>Tipo calc</t>
        </is>
      </c>
      <c r="I3" s="4" t="n"/>
    </row>
    <row r="4">
      <c r="A4" s="2" t="inlineStr">
        <is>
          <t>EL TIEMPO Y LA MEMORIA</t>
        </is>
      </c>
      <c r="B4" s="2" t="n">
        <v>5</v>
      </c>
      <c r="C4" s="2" t="inlineStr">
        <is>
          <t>informativo</t>
        </is>
      </c>
      <c r="E4" s="2">
        <f>IF(G4&lt;&gt;"",TIME(HOUR($I$2),MINUTE($I$2),0),"")</f>
        <v/>
      </c>
      <c r="F4" s="2">
        <f>IF(G4&lt;&gt;"",TEXT(TIME(HOUR(E4),MINUTE(E4),0)+IFERROR(VLOOKUP(G4,$A$4:$C$14,2,FALSE),0)/1440,"hh:mm"),"")</f>
        <v/>
      </c>
      <c r="G4" s="2" t="inlineStr">
        <is>
          <t>EL TIEMPO Y LA MEMORIA</t>
        </is>
      </c>
      <c r="H4">
        <f>IF(G4&lt;&gt;"",IFERROR(VLOOKUP(G4,$A$4:$C$14,3,FALSE),""),"")</f>
        <v/>
      </c>
    </row>
    <row r="5">
      <c r="A5" s="2" t="inlineStr">
        <is>
          <t>COORDENADAS</t>
        </is>
      </c>
      <c r="B5" s="2" t="n">
        <v>5</v>
      </c>
      <c r="C5" s="2" t="inlineStr">
        <is>
          <t>informativo</t>
        </is>
      </c>
      <c r="E5" s="2">
        <f>IF(G5&lt;&gt;"",F4,"")</f>
        <v/>
      </c>
      <c r="F5" s="2">
        <f>IF(G5&lt;&gt;"",TEXT(TIME(HOUR(E5),MINUTE(E5),0)+IFERROR(VLOOKUP(G5,$A$4:$C$14,2,FALSE),0)/1440,"hh:mm"),"")</f>
        <v/>
      </c>
      <c r="G5" s="2" t="inlineStr">
        <is>
          <t>COORDENADAS</t>
        </is>
      </c>
      <c r="H5">
        <f>IF(G5&lt;&gt;"",IFERROR(VLOOKUP(G5,$A$4:$C$14,3,FALSE),""),"")</f>
        <v/>
      </c>
    </row>
    <row r="6">
      <c r="A6" s="2" t="inlineStr">
        <is>
          <t>CANAL HABANA DEPORTES</t>
        </is>
      </c>
      <c r="B6" s="2" t="n">
        <v>890</v>
      </c>
      <c r="C6" s="2" t="inlineStr">
        <is>
          <t>deporte</t>
        </is>
      </c>
      <c r="E6" s="2">
        <f>IF(G6&lt;&gt;"",F5,"")</f>
        <v/>
      </c>
      <c r="F6" s="2">
        <f>IF(G6&lt;&gt;"",TEXT(TIME(HOUR(E6),MINUTE(E6),0)+IFERROR(VLOOKUP(G6,$A$4:$C$14,2,FALSE),0)/1440,"hh:mm"),"")</f>
        <v/>
      </c>
      <c r="G6" s="2" t="inlineStr">
        <is>
          <t>CANAL HABANA DEPORTES</t>
        </is>
      </c>
      <c r="H6">
        <f>IF(G6&lt;&gt;"",IFERROR(VLOOKUP(G6,$A$4:$C$14,3,FALSE),""),"")</f>
        <v/>
      </c>
    </row>
    <row r="7">
      <c r="A7" s="2" t="inlineStr">
        <is>
          <t>LATINOS</t>
        </is>
      </c>
      <c r="B7" s="2" t="n">
        <v>60</v>
      </c>
      <c r="C7" s="2" t="inlineStr">
        <is>
          <t>musical</t>
        </is>
      </c>
      <c r="E7" s="2">
        <f>IF(G7&lt;&gt;"",F6,"")</f>
        <v/>
      </c>
      <c r="F7" s="2">
        <f>IF(G7&lt;&gt;"",TEXT(TIME(HOUR(E7),MINUTE(E7),0)+IFERROR(VLOOKUP(G7,$A$4:$C$14,2,FALSE),0)/1440,"hh:mm"),"")</f>
        <v/>
      </c>
      <c r="G7" s="2" t="inlineStr">
        <is>
          <t>LATINOS</t>
        </is>
      </c>
      <c r="H7">
        <f>IF(G7&lt;&gt;"",IFERROR(VLOOKUP(G7,$A$4:$C$14,3,FALSE),""),"")</f>
        <v/>
      </c>
    </row>
    <row r="8">
      <c r="A8" s="2" t="inlineStr">
        <is>
          <t>PAPEL EN BLANCO</t>
        </is>
      </c>
      <c r="B8" s="2" t="n">
        <v>30</v>
      </c>
      <c r="C8" s="2" t="inlineStr">
        <is>
          <t>cultural</t>
        </is>
      </c>
      <c r="E8" s="2">
        <f>IF(G8&lt;&gt;"",F7,"")</f>
        <v/>
      </c>
      <c r="F8" s="2">
        <f>IF(G8&lt;&gt;"",TEXT(TIME(HOUR(E8),MINUTE(E8),0)+IFERROR(VLOOKUP(G8,$A$4:$C$14,2,FALSE),0)/1440,"hh:mm"),"")</f>
        <v/>
      </c>
      <c r="G8" s="2" t="inlineStr">
        <is>
          <t>PAPEL EN BLANCO</t>
        </is>
      </c>
      <c r="H8">
        <f>IF(G8&lt;&gt;"",IFERROR(VLOOKUP(G8,$A$4:$C$14,3,FALSE),""),"")</f>
        <v/>
      </c>
    </row>
    <row r="9">
      <c r="A9" s="2" t="inlineStr">
        <is>
          <t>ALGO ENTRE MANOS</t>
        </is>
      </c>
      <c r="B9" s="2" t="n">
        <v>30</v>
      </c>
      <c r="C9" s="2" t="inlineStr">
        <is>
          <t>cultural</t>
        </is>
      </c>
      <c r="E9" s="2">
        <f>IF(G9&lt;&gt;"",F8,"")</f>
        <v/>
      </c>
      <c r="F9" s="2">
        <f>IF(G9&lt;&gt;"",TEXT(TIME(HOUR(E9),MINUTE(E9),0)+IFERROR(VLOOKUP(G9,$A$4:$C$14,2,FALSE),0)/1440,"hh:mm"),"")</f>
        <v/>
      </c>
      <c r="G9" s="2" t="inlineStr">
        <is>
          <t>ALGO ENTRE MANOS</t>
        </is>
      </c>
      <c r="H9">
        <f>IF(G9&lt;&gt;"",IFERROR(VLOOKUP(G9,$A$4:$C$14,3,FALSE),""),"")</f>
        <v/>
      </c>
    </row>
    <row r="10">
      <c r="A10" s="2" t="inlineStr">
        <is>
          <t>VERDE HABANA</t>
        </is>
      </c>
      <c r="B10" s="2" t="n">
        <v>15</v>
      </c>
      <c r="C10" s="2" t="inlineStr">
        <is>
          <t>documental</t>
        </is>
      </c>
      <c r="E10" s="2">
        <f>IF(G10&lt;&gt;"",F9,"")</f>
        <v/>
      </c>
      <c r="F10" s="2">
        <f>IF(G10&lt;&gt;"",TEXT(TIME(HOUR(E10),MINUTE(E10),0)+IFERROR(VLOOKUP(G10,$A$4:$C$14,2,FALSE),0)/1440,"hh:mm"),"")</f>
        <v/>
      </c>
      <c r="G10" s="2" t="inlineStr">
        <is>
          <t>VERDE HABANA</t>
        </is>
      </c>
      <c r="H10">
        <f>IF(G10&lt;&gt;"",IFERROR(VLOOKUP(G10,$A$4:$C$14,3,FALSE),""),"")</f>
        <v/>
      </c>
    </row>
    <row r="11">
      <c r="A11" s="2" t="inlineStr">
        <is>
          <t>GEN HABANERO</t>
        </is>
      </c>
      <c r="B11" s="2" t="n">
        <v>15</v>
      </c>
      <c r="C11" s="2" t="inlineStr">
        <is>
          <t>documental</t>
        </is>
      </c>
      <c r="E11" s="2">
        <f>IF(G11&lt;&gt;"",F10,"")</f>
        <v/>
      </c>
      <c r="F11" s="2">
        <f>IF(G11&lt;&gt;"",TEXT(TIME(HOUR(E11),MINUTE(E11),0)+IFERROR(VLOOKUP(G11,$A$4:$C$14,2,FALSE),0)/1440,"hh:mm"),"")</f>
        <v/>
      </c>
      <c r="G11" s="2" t="inlineStr">
        <is>
          <t>GEN HABANERO</t>
        </is>
      </c>
      <c r="H11">
        <f>IF(G11&lt;&gt;"",IFERROR(VLOOKUP(G11,$A$4:$C$14,3,FALSE),""),"")</f>
        <v/>
      </c>
    </row>
    <row r="12">
      <c r="A12" s="2" t="inlineStr">
        <is>
          <t>TRIANGULO DE LA CONFIANZA</t>
        </is>
      </c>
      <c r="B12" s="2" t="n">
        <v>30</v>
      </c>
      <c r="C12" s="2" t="inlineStr">
        <is>
          <t>entrevista</t>
        </is>
      </c>
      <c r="E12" s="2">
        <f>IF(G12&lt;&gt;"",F11,"")</f>
        <v/>
      </c>
      <c r="F12" s="2">
        <f>IF(G12&lt;&gt;"",TEXT(TIME(HOUR(E12),MINUTE(E12),0)+IFERROR(VLOOKUP(G12,$A$4:$C$14,2,FALSE),0)/1440,"hh:mm"),"")</f>
        <v/>
      </c>
      <c r="G12" s="2" t="inlineStr">
        <is>
          <t>TRIANGULO DE LA CONFIANZA</t>
        </is>
      </c>
      <c r="H12">
        <f>IF(G12&lt;&gt;"",IFERROR(VLOOKUP(G12,$A$4:$C$14,3,FALSE),""),"")</f>
        <v/>
      </c>
    </row>
    <row r="13">
      <c r="A13" s="2" t="inlineStr">
        <is>
          <t>BANDA SONORA</t>
        </is>
      </c>
      <c r="B13" s="2" t="n">
        <v>30</v>
      </c>
      <c r="C13" s="2" t="inlineStr">
        <is>
          <t>musical</t>
        </is>
      </c>
      <c r="E13" s="2">
        <f>IF(G13&lt;&gt;"",F12,"")</f>
        <v/>
      </c>
      <c r="F13" s="2">
        <f>IF(G13&lt;&gt;"",TEXT(TIME(HOUR(E13),MINUTE(E13),0)+IFERROR(VLOOKUP(G13,$A$4:$C$14,2,FALSE),0)/1440,"hh:mm"),"")</f>
        <v/>
      </c>
      <c r="G13" s="2" t="inlineStr">
        <is>
          <t>BANDA SONORA</t>
        </is>
      </c>
      <c r="H13">
        <f>IF(G13&lt;&gt;"",IFERROR(VLOOKUP(G13,$A$4:$C$14,3,FALSE),""),"")</f>
        <v/>
      </c>
    </row>
    <row r="14">
      <c r="A14" s="2" t="inlineStr">
        <is>
          <t>CINE +</t>
        </is>
      </c>
      <c r="B14" s="2" t="n">
        <v>205</v>
      </c>
      <c r="C14" s="2" t="inlineStr">
        <is>
          <t>cine</t>
        </is>
      </c>
      <c r="E14" s="2">
        <f>IF(G14&lt;&gt;"",F13,"")</f>
        <v/>
      </c>
      <c r="F14" s="2">
        <f>IF(G14&lt;&gt;"",TEXT(TIME(HOUR(E14),MINUTE(E14),0)+IFERROR(VLOOKUP(G14,$A$4:$C$14,2,FALSE),0)/1440,"hh:mm"),"")</f>
        <v/>
      </c>
      <c r="G14" s="2" t="inlineStr">
        <is>
          <t>CINE +</t>
        </is>
      </c>
      <c r="H14">
        <f>IF(G14&lt;&gt;"",IFERROR(VLOOKUP(G14,$A$4:$C$14,3,FALSE),""),"")</f>
        <v/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0" customWidth="1" min="5" max="5"/>
    <col width="36" customWidth="1" min="6" max="6"/>
    <col width="28" customWidth="1" min="7" max="7"/>
  </cols>
  <sheetData>
    <row r="1">
      <c r="A1" s="2" t="inlineStr">
        <is>
          <t>Día</t>
        </is>
      </c>
      <c r="B1" s="2" t="inlineStr">
        <is>
          <t>Programas</t>
        </is>
      </c>
      <c r="C1" s="2" t="inlineStr">
        <is>
          <t>Minutos</t>
        </is>
      </c>
      <c r="D1" s="2" t="inlineStr">
        <is>
          <t>Inicio</t>
        </is>
      </c>
      <c r="E1" s="2" t="inlineStr">
        <is>
          <t>Fin</t>
        </is>
      </c>
      <c r="F1" s="2" t="inlineStr">
        <is>
          <t>Tipos</t>
        </is>
      </c>
      <c r="G1" s="2" t="inlineStr">
        <is>
          <t>Públicos</t>
        </is>
      </c>
      <c r="H1" s="2" t="n"/>
    </row>
    <row r="2">
      <c r="A2" s="2" t="inlineStr">
        <is>
          <t>Lunes</t>
        </is>
      </c>
      <c r="B2" s="2" t="n">
        <v>17</v>
      </c>
      <c r="C2" s="2" t="n">
        <v>480</v>
      </c>
      <c r="D2" s="2" t="n"/>
      <c r="E2" s="2" t="n"/>
      <c r="F2" s="2" t="n"/>
      <c r="G2" s="2" t="n"/>
      <c r="H2" s="2" t="n"/>
    </row>
    <row r="3">
      <c r="A3" s="2" t="inlineStr">
        <is>
          <t>Martes</t>
        </is>
      </c>
      <c r="B3" s="2" t="n">
        <v>9</v>
      </c>
      <c r="C3" s="2" t="n">
        <v>270</v>
      </c>
      <c r="D3" s="2" t="n"/>
      <c r="E3" s="2" t="n"/>
      <c r="F3" s="2" t="n"/>
      <c r="G3" s="2" t="n"/>
      <c r="H3" s="2" t="n"/>
    </row>
    <row r="4">
      <c r="A4" s="2" t="inlineStr">
        <is>
          <t>Miércoles</t>
        </is>
      </c>
      <c r="B4" s="2" t="n">
        <v>7</v>
      </c>
      <c r="C4" s="2" t="n">
        <v>242</v>
      </c>
      <c r="D4" s="2" t="n"/>
      <c r="E4" s="2" t="n"/>
      <c r="F4" s="2" t="n"/>
      <c r="G4" s="2" t="n"/>
      <c r="H4" s="2" t="n"/>
    </row>
    <row r="5">
      <c r="A5" s="2" t="inlineStr">
        <is>
          <t>Jueves</t>
        </is>
      </c>
      <c r="B5" s="2" t="n">
        <v>18</v>
      </c>
      <c r="C5" s="2" t="n">
        <v>480</v>
      </c>
      <c r="D5" s="2" t="n"/>
      <c r="E5" s="2" t="n"/>
      <c r="F5" s="2" t="n"/>
      <c r="G5" s="2" t="n"/>
      <c r="H5" s="2" t="n"/>
    </row>
    <row r="6">
      <c r="A6" s="2" t="inlineStr">
        <is>
          <t>Viernes</t>
        </is>
      </c>
      <c r="B6" s="2" t="n">
        <v>12</v>
      </c>
      <c r="C6" s="2" t="n">
        <v>450</v>
      </c>
      <c r="D6" s="2" t="n"/>
      <c r="E6" s="2" t="n"/>
      <c r="F6" s="2" t="n"/>
      <c r="G6" s="2" t="n"/>
      <c r="H6" s="2" t="n"/>
    </row>
    <row r="7">
      <c r="A7" s="2" t="inlineStr">
        <is>
          <t>Sábado</t>
        </is>
      </c>
      <c r="B7" s="2" t="n">
        <v>14</v>
      </c>
      <c r="C7" s="2" t="n">
        <v>480</v>
      </c>
      <c r="D7" s="2" t="n"/>
      <c r="E7" s="2" t="n"/>
      <c r="F7" s="2" t="n"/>
      <c r="G7" s="2" t="n"/>
      <c r="H7" s="2" t="n"/>
    </row>
    <row r="8">
      <c r="A8" s="2" t="inlineStr">
        <is>
          <t>Domingo</t>
        </is>
      </c>
      <c r="B8" s="2" t="n">
        <v>11</v>
      </c>
      <c r="C8" s="2" t="n">
        <v>1315</v>
      </c>
      <c r="D8" s="2" t="n"/>
      <c r="E8" s="2" t="n"/>
      <c r="F8" s="2" t="n"/>
      <c r="G8" s="2" t="n"/>
      <c r="H8" s="2" t="n"/>
    </row>
    <row r="9">
      <c r="A9" s="2" t="inlineStr">
        <is>
          <t>TOTAL</t>
        </is>
      </c>
      <c r="B9" s="2" t="n">
        <v>88</v>
      </c>
      <c r="C9" s="2" t="n">
        <v>3717</v>
      </c>
      <c r="D9" s="2" t="n"/>
      <c r="E9" s="2" t="n"/>
      <c r="F9" s="2" t="n"/>
      <c r="G9" s="2" t="n"/>
      <c r="H9" s="2" t="inlineStr">
        <is>
          <t>Canal Habana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2026-05-12T23:22:28Z</dcterms:created>
  <dcterms:modified xmlns:dcterms="http://purl.org/dc/terms/" xmlns:xsi="http://www.w3.org/2001/XMLSchema-instance" xsi:type="dcterms:W3CDTF">2026-05-12T23:22:28Z</dcterms:modified>
</cp:coreProperties>
</file>