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es" sheetId="1" state="visible" r:id="rId1"/>
    <sheet xmlns:r="http://schemas.openxmlformats.org/officeDocument/2006/relationships" name="Martes" sheetId="2" state="visible" r:id="rId2"/>
    <sheet xmlns:r="http://schemas.openxmlformats.org/officeDocument/2006/relationships" name="Miercoles" sheetId="3" state="visible" r:id="rId3"/>
    <sheet xmlns:r="http://schemas.openxmlformats.org/officeDocument/2006/relationships" name="Jueves" sheetId="4" state="visible" r:id="rId4"/>
    <sheet xmlns:r="http://schemas.openxmlformats.org/officeDocument/2006/relationships" name="Viernes" sheetId="5" state="visible" r:id="rId5"/>
    <sheet xmlns:r="http://schemas.openxmlformats.org/officeDocument/2006/relationships" name="Sabado" sheetId="6" state="visible" r:id="rId6"/>
    <sheet xmlns:r="http://schemas.openxmlformats.org/officeDocument/2006/relationships" name="Domingo" sheetId="7" state="visible" r:id="rId7"/>
    <sheet xmlns:r="http://schemas.openxmlformats.org/officeDocument/2006/relationships" name="Resumen T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Lunes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IF(G4&lt;&gt;"",TEXT(TIMEVALUE(E4)+IFERROR(VLOOKUP(G4,$A$4:$C$20,2,FALSE),0)/1440,"hh:mm"),"")</f>
        <v/>
      </c>
      <c r="G4" s="1" t="inlineStr">
        <is>
          <t>EL TIEMPO Y LA MEMORIA</t>
        </is>
      </c>
      <c r="H4" s="1" t="inlineStr"/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IF(G5&lt;&gt;"",TEXT(TIMEVALUE(E5)+IFERROR(VLOOKUP(G5,$A$4:$C$20,2,FALSE),0)/1440,"hh:mm"),"")</f>
        <v/>
      </c>
      <c r="G5" s="1" t="inlineStr">
        <is>
          <t>COORDENADAS</t>
        </is>
      </c>
      <c r="H5" s="1" t="inlineStr"/>
      <c r="I5" s="1" t="inlineStr"/>
    </row>
    <row r="6">
      <c r="A6" s="1" t="inlineStr">
        <is>
          <t>REVISTA HOLA HABANA</t>
        </is>
      </c>
      <c r="B6" s="1" t="n">
        <v>50</v>
      </c>
      <c r="C6" s="1" t="inlineStr">
        <is>
          <t>revista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IF(G6&lt;&gt;"",TEXT(TIMEVALUE(E6)+IFERROR(VLOOKUP(G6,$A$4:$C$20,2,FALSE),0)/1440,"hh:mm"),"")</f>
        <v/>
      </c>
      <c r="G6" s="1" t="inlineStr">
        <is>
          <t>REVISTA HOLA HABANA</t>
        </is>
      </c>
      <c r="H6" s="1" t="inlineStr"/>
      <c r="I6" s="1" t="inlineStr"/>
    </row>
    <row r="7">
      <c r="A7" s="1" t="inlineStr">
        <is>
          <t>DÉCADAS MILAGROSAS</t>
        </is>
      </c>
      <c r="B7" s="1" t="n">
        <v>30</v>
      </c>
      <c r="C7" s="1" t="inlineStr">
        <is>
          <t>musical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IF(G7&lt;&gt;"",TEXT(TIMEVALUE(E7)+IFERROR(VLOOKUP(G7,$A$4:$C$20,2,FALSE),0)/1440,"hh:mm"),"")</f>
        <v/>
      </c>
      <c r="G7" s="1" t="inlineStr">
        <is>
          <t>DÉCADAS MILAGROSAS</t>
        </is>
      </c>
      <c r="H7" s="1" t="inlineStr"/>
      <c r="I7" s="1" t="inlineStr"/>
    </row>
    <row r="8">
      <c r="A8" s="1" t="inlineStr">
        <is>
          <t>HABANA NOTICIARIO</t>
        </is>
      </c>
      <c r="B8" s="1" t="n">
        <v>30</v>
      </c>
      <c r="C8" s="1" t="inlineStr">
        <is>
          <t>informativo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IF(G8&lt;&gt;"",TEXT(TIMEVALUE(E8)+IFERROR(VLOOKUP(G8,$A$4:$C$20,2,FALSE),0)/1440,"hh:mm"),"")</f>
        <v/>
      </c>
      <c r="G8" s="1" t="inlineStr">
        <is>
          <t>HABANA NOTICIARIO</t>
        </is>
      </c>
      <c r="H8" s="1" t="inlineStr"/>
      <c r="I8" s="1" t="inlineStr"/>
    </row>
    <row r="9">
      <c r="A9" s="1" t="inlineStr">
        <is>
          <t>POWER RANGERS</t>
        </is>
      </c>
      <c r="B9" s="1" t="n">
        <v>30</v>
      </c>
      <c r="C9" s="1" t="inlineStr">
        <is>
          <t>infantil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IF(G9&lt;&gt;"",TEXT(TIMEVALUE(E9)+IFERROR(VLOOKUP(G9,$A$4:$C$20,2,FALSE),0)/1440,"hh:mm"),"")</f>
        <v/>
      </c>
      <c r="G9" s="1" t="inlineStr">
        <is>
          <t>POWER RANGERS</t>
        </is>
      </c>
      <c r="H9" s="1" t="inlineStr"/>
      <c r="I9" s="1" t="inlineStr"/>
    </row>
    <row r="10">
      <c r="A10" s="1" t="inlineStr">
        <is>
          <t>CINECITO EN TV</t>
        </is>
      </c>
      <c r="B10" s="1" t="n">
        <v>25</v>
      </c>
      <c r="C10" s="1" t="inlineStr">
        <is>
          <t>cine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IF(G10&lt;&gt;"",TEXT(TIMEVALUE(E10)+IFERROR(VLOOKUP(G10,$A$4:$C$20,2,FALSE),0)/1440,"hh:mm"),"")</f>
        <v/>
      </c>
      <c r="G10" s="1" t="inlineStr">
        <is>
          <t>CINECITO EN TV</t>
        </is>
      </c>
      <c r="H10" s="1" t="inlineStr"/>
      <c r="I10" s="1" t="inlineStr"/>
    </row>
    <row r="11">
      <c r="A11" s="1" t="inlineStr">
        <is>
          <t>COORDENADAS INFANTILES</t>
        </is>
      </c>
      <c r="B11" s="1" t="n">
        <v>5</v>
      </c>
      <c r="C11" s="1" t="inlineStr">
        <is>
          <t>informativo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IF(G11&lt;&gt;"",TEXT(TIMEVALUE(E11)+IFERROR(VLOOKUP(G11,$A$4:$C$20,2,FALSE),0)/1440,"hh:mm"),"")</f>
        <v/>
      </c>
      <c r="G11" s="1" t="inlineStr">
        <is>
          <t>COORDENADAS INFANTILES</t>
        </is>
      </c>
      <c r="H11" s="1" t="inlineStr"/>
      <c r="I11" s="1" t="inlineStr"/>
    </row>
    <row r="12">
      <c r="A12" s="1" t="inlineStr">
        <is>
          <t>VE Y MIRA</t>
        </is>
      </c>
      <c r="B12" s="1" t="n">
        <v>30</v>
      </c>
      <c r="C12" s="1" t="inlineStr">
        <is>
          <t>cine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IF(G12&lt;&gt;"",TEXT(TIMEVALUE(E12)+IFERROR(VLOOKUP(G12,$A$4:$C$20,2,FALSE),0)/1440,"hh:mm"),"")</f>
        <v/>
      </c>
      <c r="G12" s="1" t="inlineStr">
        <is>
          <t>VE Y MIRA</t>
        </is>
      </c>
      <c r="H12" s="1" t="inlineStr"/>
      <c r="I12" s="1" t="inlineStr"/>
    </row>
    <row r="13">
      <c r="A13" s="1" t="inlineStr">
        <is>
          <t>MÚSICA HABANA</t>
        </is>
      </c>
      <c r="B13" s="1" t="n">
        <v>30</v>
      </c>
      <c r="C13" s="1" t="inlineStr">
        <is>
          <t>musical</t>
        </is>
      </c>
      <c r="D13" s="1" t="inlineStr"/>
      <c r="E13" s="1">
        <f>IF(G13&lt;&gt;"",IF(ROW()=4,$I$2,F(PREVIOUS-ROW (HORA-FINAL))),"")</f>
        <v/>
      </c>
      <c r="F13" s="1">
        <f>IF(G13&lt;&gt;"",TEXT(TIMEVALUE(E13)+IFERROR(VLOOKUP(G13,$A$4:$C$20,2,FALSE),0)/1440,"hh:mm"),"")</f>
        <v/>
      </c>
      <c r="G13" s="1" t="inlineStr">
        <is>
          <t>MÚSICA HABANA</t>
        </is>
      </c>
      <c r="H13" s="1" t="inlineStr"/>
      <c r="I13" s="1" t="inlineStr"/>
    </row>
    <row r="14">
      <c r="A14" s="1" t="inlineStr">
        <is>
          <t>HABANA COLECCIÓN</t>
        </is>
      </c>
      <c r="B14" s="1" t="n">
        <v>30</v>
      </c>
      <c r="C14" s="1" t="inlineStr">
        <is>
          <t>cultural</t>
        </is>
      </c>
      <c r="D14" s="1" t="inlineStr"/>
      <c r="E14" s="1">
        <f>IF(G14&lt;&gt;"",IF(ROW()=4,$I$2,F(PREVIOUS-ROW (HORA-FINAL))),"")</f>
        <v/>
      </c>
      <c r="F14" s="1">
        <f>IF(G14&lt;&gt;"",TEXT(TIMEVALUE(E14)+IFERROR(VLOOKUP(G14,$A$4:$C$20,2,FALSE),0)/1440,"hh:mm"),"")</f>
        <v/>
      </c>
      <c r="G14" s="1" t="inlineStr">
        <is>
          <t>HABANA COLECCIÓN</t>
        </is>
      </c>
      <c r="H14" s="1" t="inlineStr"/>
      <c r="I14" s="1" t="inlineStr"/>
    </row>
    <row r="15">
      <c r="A15" s="1" t="inlineStr">
        <is>
          <t>MÚSICA SÍ</t>
        </is>
      </c>
      <c r="B15" s="1" t="n">
        <v>60</v>
      </c>
      <c r="C15" s="1" t="inlineStr">
        <is>
          <t>musical</t>
        </is>
      </c>
      <c r="D15" s="1" t="inlineStr"/>
      <c r="E15" s="1">
        <f>IF(G15&lt;&gt;"",IF(ROW()=4,$I$2,F(PREVIOUS-ROW (HORA-FINAL))),"")</f>
        <v/>
      </c>
      <c r="F15" s="1">
        <f>IF(G15&lt;&gt;"",TEXT(TIMEVALUE(E15)+IFERROR(VLOOKUP(G15,$A$4:$C$20,2,FALSE),0)/1440,"hh:mm"),"")</f>
        <v/>
      </c>
      <c r="G15" s="1" t="inlineStr">
        <is>
          <t>MÚSICA SÍ</t>
        </is>
      </c>
      <c r="H15" s="1" t="inlineStr"/>
      <c r="I15" s="1" t="inlineStr"/>
    </row>
    <row r="16">
      <c r="A16" s="1" t="inlineStr">
        <is>
          <t>D DISEÑO</t>
        </is>
      </c>
      <c r="B16" s="1" t="n">
        <v>15</v>
      </c>
      <c r="C16" s="1" t="inlineStr">
        <is>
          <t>cultural</t>
        </is>
      </c>
      <c r="D16" s="1" t="inlineStr"/>
      <c r="E16" s="1">
        <f>IF(G16&lt;&gt;"",IF(ROW()=4,$I$2,F(PREVIOUS-ROW (HORA-FINAL))),"")</f>
        <v/>
      </c>
      <c r="F16" s="1">
        <f>IF(G16&lt;&gt;"",TEXT(TIMEVALUE(E16)+IFERROR(VLOOKUP(G16,$A$4:$C$20,2,FALSE),0)/1440,"hh:mm"),"")</f>
        <v/>
      </c>
      <c r="G16" s="1" t="inlineStr">
        <is>
          <t>D DISEÑO</t>
        </is>
      </c>
      <c r="H16" s="1" t="inlineStr"/>
      <c r="I16" s="1" t="inlineStr"/>
    </row>
    <row r="17">
      <c r="A17" s="1" t="inlineStr">
        <is>
          <t>SIN PUNTOS SUSPENSIVOS</t>
        </is>
      </c>
      <c r="B17" s="1" t="n">
        <v>15</v>
      </c>
      <c r="C17" s="1" t="inlineStr">
        <is>
          <t>entrevista</t>
        </is>
      </c>
      <c r="D17" s="1" t="inlineStr"/>
      <c r="E17" s="1">
        <f>IF(G17&lt;&gt;"",IF(ROW()=4,$I$2,F(PREVIOUS-ROW (HORA-FINAL))),"")</f>
        <v/>
      </c>
      <c r="F17" s="1">
        <f>IF(G17&lt;&gt;"",TEXT(TIMEVALUE(E17)+IFERROR(VLOOKUP(G17,$A$4:$C$20,2,FALSE),0)/1440,"hh:mm"),"")</f>
        <v/>
      </c>
      <c r="G17" s="1" t="inlineStr">
        <is>
          <t>SIN PUNTOS SUSPENSIVOS</t>
        </is>
      </c>
      <c r="H17" s="1" t="inlineStr"/>
      <c r="I17" s="1" t="inlineStr"/>
    </row>
    <row r="18">
      <c r="A18" s="1" t="inlineStr">
        <is>
          <t>NOVELA “LA NIETA ELEGIDA”</t>
        </is>
      </c>
      <c r="B18" s="1" t="n">
        <v>45</v>
      </c>
      <c r="C18" s="1" t="inlineStr">
        <is>
          <t>ficción</t>
        </is>
      </c>
      <c r="D18" s="1" t="inlineStr"/>
      <c r="E18" s="1">
        <f>IF(G18&lt;&gt;"",IF(ROW()=4,$I$2,F(PREVIOUS-ROW (HORA-FINAL))),"")</f>
        <v/>
      </c>
      <c r="F18" s="1">
        <f>IF(G18&lt;&gt;"",TEXT(TIMEVALUE(E18)+IFERROR(VLOOKUP(G18,$A$4:$C$20,2,FALSE),0)/1440,"hh:mm"),"")</f>
        <v/>
      </c>
      <c r="G18" s="1" t="inlineStr">
        <is>
          <t>NOVELA “LA NIETA ELEGIDA”</t>
        </is>
      </c>
      <c r="H18" s="1" t="inlineStr"/>
      <c r="I18" s="1" t="inlineStr"/>
    </row>
    <row r="19">
      <c r="A19" s="1" t="inlineStr">
        <is>
          <t>HABANA NOTICIARIO</t>
        </is>
      </c>
      <c r="B19" s="1" t="n">
        <v>30</v>
      </c>
      <c r="C19" s="1" t="inlineStr">
        <is>
          <t>informativo</t>
        </is>
      </c>
      <c r="D19" s="1" t="inlineStr"/>
      <c r="E19" s="1">
        <f>IF(G19&lt;&gt;"",IF(ROW()=4,$I$2,F(PREVIOUS-ROW (HORA-FINAL))),"")</f>
        <v/>
      </c>
      <c r="F19" s="1">
        <f>IF(G19&lt;&gt;"",TEXT(TIMEVALUE(E19)+IFERROR(VLOOKUP(G19,$A$4:$C$20,2,FALSE),0)/1440,"hh:mm"),"")</f>
        <v/>
      </c>
      <c r="G19" s="1" t="inlineStr">
        <is>
          <t>HABANA NOTICIARIO</t>
        </is>
      </c>
      <c r="H19" s="1" t="inlineStr"/>
      <c r="I19" s="1" t="inlineStr"/>
    </row>
    <row r="20">
      <c r="A20" s="1" t="inlineStr">
        <is>
          <t>SERIE “CRÍMENES MAYORES”</t>
        </is>
      </c>
      <c r="B20" s="1" t="n">
        <v>45</v>
      </c>
      <c r="C20" s="1" t="inlineStr">
        <is>
          <t>ficción</t>
        </is>
      </c>
      <c r="D20" s="1" t="inlineStr"/>
      <c r="E20" s="1">
        <f>IF(G20&lt;&gt;"",IF(ROW()=4,$I$2,F(PREVIOUS-ROW (HORA-FINAL))),"")</f>
        <v/>
      </c>
      <c r="F20" s="1">
        <f>IF(G20&lt;&gt;"",TEXT(TIMEVALUE(E20)+IFERROR(VLOOKUP(G20,$A$4:$C$20,2,FALSE),0)/1440,"hh:mm"),"")</f>
        <v/>
      </c>
      <c r="G20" s="1" t="inlineStr">
        <is>
          <t>SERIE “CRÍMENES MAYORES”</t>
        </is>
      </c>
      <c r="H20" s="1" t="inlineStr"/>
      <c r="I20" s="1" t="inlineStr"/>
    </row>
    <row r="21">
      <c r="A21" s="1" t="n"/>
      <c r="B21" s="1" t="n"/>
      <c r="C21" s="1" t="n"/>
      <c r="D21" s="1" t="n"/>
      <c r="E21" s="1">
        <f>IF(G21&lt;&gt;"",IF(ROW()=4,$I$2,F(PREVIOUS-ROW (HORA-FINAL))),"")</f>
        <v/>
      </c>
      <c r="F21" s="1">
        <f>IF(G21&lt;&gt;"",TEXT(TIMEVALUE(E21)+IFERROR(VLOOKUP(G21,$A$4:$C$20,2,FALSE),0)/1440,"hh:mm"),"")</f>
        <v/>
      </c>
      <c r="G21" s="1" t="n"/>
      <c r="H21" s="1" t="n"/>
      <c r="I21" s="1" t="n"/>
    </row>
    <row r="22">
      <c r="A22" s="1" t="n"/>
      <c r="B22" s="1" t="n"/>
      <c r="C22" s="1" t="n"/>
      <c r="D22" s="1" t="n"/>
      <c r="E22" s="1">
        <f>IF(G22&lt;&gt;"",IF(ROW()=4,$I$2,F(PREVIOUS-ROW (HORA-FINAL))),"")</f>
        <v/>
      </c>
      <c r="F22" s="1">
        <f>IF(G22&lt;&gt;"",TEXT(TIMEVALUE(E22)+IFERROR(VLOOKUP(G22,$A$4:$C$20,2,FALSE),0)/1440,"hh:mm"),"")</f>
        <v/>
      </c>
      <c r="G22" s="1" t="n"/>
      <c r="H22" s="1" t="n"/>
      <c r="I22" s="1" t="n"/>
    </row>
    <row r="23">
      <c r="A23" s="1" t="n"/>
      <c r="B23" s="1" t="n"/>
      <c r="C23" s="1" t="n"/>
      <c r="D23" s="1" t="n"/>
      <c r="E23" s="1">
        <f>IF(G23&lt;&gt;"",IF(ROW()=4,$I$2,F(PREVIOUS-ROW (HORA-FINAL))),"")</f>
        <v/>
      </c>
      <c r="F23" s="1">
        <f>IF(G23&lt;&gt;"",TEXT(TIMEVALUE(E23)+IFERROR(VLOOKUP(G23,$A$4:$C$20,2,FALSE),0)/1440,"hh:mm"),"")</f>
        <v/>
      </c>
      <c r="G23" s="1" t="n"/>
      <c r="H23" s="1" t="n"/>
      <c r="I23" s="1" t="n"/>
    </row>
  </sheetData>
  <conditionalFormatting sqref="G23">
    <cfRule type="expression" priority="1" dxfId="0" stopIfTrue="1">
      <formula>ISNA(MATCH(G23,$A$4:$C$20,0))</formula>
    </cfRule>
    <cfRule type="expression" priority="21" dxfId="1" stopIfTrue="1">
      <formula>IFERROR(VLOOKUP(G23,$A$4:$C$20,3,FALSE),0)=IFERROR(VLOOKUP(G22,$A$4:$C$20,3,FALSE),0)</formula>
    </cfRule>
  </conditionalFormatting>
  <conditionalFormatting sqref="G22">
    <cfRule type="expression" priority="2" dxfId="0" stopIfTrue="1">
      <formula>ISNA(MATCH(G22,$A$4:$C$20,0))</formula>
    </cfRule>
    <cfRule type="expression" priority="22" dxfId="1" stopIfTrue="1">
      <formula>IFERROR(VLOOKUP(G22,$A$4:$C$20,3,FALSE),0)=IFERROR(VLOOKUP(G21,$A$4:$C$20,3,FALSE),0)</formula>
    </cfRule>
  </conditionalFormatting>
  <conditionalFormatting sqref="G21">
    <cfRule type="expression" priority="3" dxfId="0" stopIfTrue="1">
      <formula>ISNA(MATCH(G21,$A$4:$C$20,0))</formula>
    </cfRule>
    <cfRule type="expression" priority="23" dxfId="1" stopIfTrue="1">
      <formula>IFERROR(VLOOKUP(G21,$A$4:$C$20,3,FALSE),0)=IFERROR(VLOOKUP(G20,$A$4:$C$20,3,FALSE),0)</formula>
    </cfRule>
  </conditionalFormatting>
  <conditionalFormatting sqref="G20">
    <cfRule type="expression" priority="4" dxfId="0" stopIfTrue="1">
      <formula>ISNA(MATCH(G20,$A$4:$C$20,0))</formula>
    </cfRule>
    <cfRule type="expression" priority="24" dxfId="1" stopIfTrue="1">
      <formula>IFERROR(VLOOKUP(G20,$A$4:$C$20,3,FALSE),0)=IFERROR(VLOOKUP(G19,$A$4:$C$20,3,FALSE),0)</formula>
    </cfRule>
  </conditionalFormatting>
  <conditionalFormatting sqref="G19">
    <cfRule type="expression" priority="5" dxfId="0" stopIfTrue="1">
      <formula>ISNA(MATCH(G19,$A$4:$C$20,0))</formula>
    </cfRule>
    <cfRule type="expression" priority="25" dxfId="1" stopIfTrue="1">
      <formula>IFERROR(VLOOKUP(G19,$A$4:$C$20,3,FALSE),0)=IFERROR(VLOOKUP(G18,$A$4:$C$20,3,FALSE),0)</formula>
    </cfRule>
  </conditionalFormatting>
  <conditionalFormatting sqref="G18">
    <cfRule type="expression" priority="6" dxfId="0" stopIfTrue="1">
      <formula>ISNA(MATCH(G18,$A$4:$C$20,0))</formula>
    </cfRule>
    <cfRule type="expression" priority="26" dxfId="1" stopIfTrue="1">
      <formula>IFERROR(VLOOKUP(G18,$A$4:$C$20,3,FALSE),0)=IFERROR(VLOOKUP(G17,$A$4:$C$20,3,FALSE),0)</formula>
    </cfRule>
  </conditionalFormatting>
  <conditionalFormatting sqref="G17">
    <cfRule type="expression" priority="7" dxfId="0" stopIfTrue="1">
      <formula>ISNA(MATCH(G17,$A$4:$C$20,0))</formula>
    </cfRule>
    <cfRule type="expression" priority="27" dxfId="1" stopIfTrue="1">
      <formula>IFERROR(VLOOKUP(G17,$A$4:$C$20,3,FALSE),0)=IFERROR(VLOOKUP(G16,$A$4:$C$20,3,FALSE),0)</formula>
    </cfRule>
  </conditionalFormatting>
  <conditionalFormatting sqref="G16">
    <cfRule type="expression" priority="8" dxfId="0" stopIfTrue="1">
      <formula>ISNA(MATCH(G16,$A$4:$C$20,0))</formula>
    </cfRule>
    <cfRule type="expression" priority="28" dxfId="1" stopIfTrue="1">
      <formula>IFERROR(VLOOKUP(G16,$A$4:$C$20,3,FALSE),0)=IFERROR(VLOOKUP(G15,$A$4:$C$20,3,FALSE),0)</formula>
    </cfRule>
  </conditionalFormatting>
  <conditionalFormatting sqref="G15">
    <cfRule type="expression" priority="9" dxfId="0" stopIfTrue="1">
      <formula>ISNA(MATCH(G15,$A$4:$C$20,0))</formula>
    </cfRule>
    <cfRule type="expression" priority="29" dxfId="1" stopIfTrue="1">
      <formula>IFERROR(VLOOKUP(G15,$A$4:$C$20,3,FALSE),0)=IFERROR(VLOOKUP(G14,$A$4:$C$20,3,FALSE),0)</formula>
    </cfRule>
  </conditionalFormatting>
  <conditionalFormatting sqref="G14">
    <cfRule type="expression" priority="10" dxfId="0" stopIfTrue="1">
      <formula>ISNA(MATCH(G14,$A$4:$C$20,0))</formula>
    </cfRule>
    <cfRule type="expression" priority="30" dxfId="1" stopIfTrue="1">
      <formula>IFERROR(VLOOKUP(G14,$A$4:$C$20,3,FALSE),0)=IFERROR(VLOOKUP(G13,$A$4:$C$20,3,FALSE),0)</formula>
    </cfRule>
  </conditionalFormatting>
  <conditionalFormatting sqref="G13">
    <cfRule type="expression" priority="11" dxfId="0" stopIfTrue="1">
      <formula>ISNA(MATCH(G13,$A$4:$C$20,0))</formula>
    </cfRule>
    <cfRule type="expression" priority="31" dxfId="1" stopIfTrue="1">
      <formula>IFERROR(VLOOKUP(G13,$A$4:$C$20,3,FALSE),0)=IFERROR(VLOOKUP(G12,$A$4:$C$20,3,FALSE),0)</formula>
    </cfRule>
  </conditionalFormatting>
  <conditionalFormatting sqref="G12">
    <cfRule type="expression" priority="12" dxfId="0" stopIfTrue="1">
      <formula>ISNA(MATCH(G12,$A$4:$C$20,0))</formula>
    </cfRule>
    <cfRule type="expression" priority="32" dxfId="1" stopIfTrue="1">
      <formula>IFERROR(VLOOKUP(G12,$A$4:$C$20,3,FALSE),0)=IFERROR(VLOOKUP(G11,$A$4:$C$20,3,FALSE),0)</formula>
    </cfRule>
  </conditionalFormatting>
  <conditionalFormatting sqref="G11">
    <cfRule type="expression" priority="13" dxfId="0" stopIfTrue="1">
      <formula>ISNA(MATCH(G11,$A$4:$C$20,0))</formula>
    </cfRule>
    <cfRule type="expression" priority="33" dxfId="1" stopIfTrue="1">
      <formula>IFERROR(VLOOKUP(G11,$A$4:$C$20,3,FALSE),0)=IFERROR(VLOOKUP(G10,$A$4:$C$20,3,FALSE),0)</formula>
    </cfRule>
  </conditionalFormatting>
  <conditionalFormatting sqref="G10">
    <cfRule type="expression" priority="14" dxfId="0" stopIfTrue="1">
      <formula>ISNA(MATCH(G10,$A$4:$C$20,0))</formula>
    </cfRule>
    <cfRule type="expression" priority="34" dxfId="1" stopIfTrue="1">
      <formula>IFERROR(VLOOKUP(G10,$A$4:$C$20,3,FALSE),0)=IFERROR(VLOOKUP(G9,$A$4:$C$20,3,FALSE),0)</formula>
    </cfRule>
  </conditionalFormatting>
  <conditionalFormatting sqref="G9">
    <cfRule type="expression" priority="15" dxfId="0" stopIfTrue="1">
      <formula>ISNA(MATCH(G9,$A$4:$C$20,0))</formula>
    </cfRule>
    <cfRule type="expression" priority="35" dxfId="1" stopIfTrue="1">
      <formula>IFERROR(VLOOKUP(G9,$A$4:$C$20,3,FALSE),0)=IFERROR(VLOOKUP(G8,$A$4:$C$20,3,FALSE),0)</formula>
    </cfRule>
  </conditionalFormatting>
  <conditionalFormatting sqref="G8">
    <cfRule type="expression" priority="16" dxfId="0" stopIfTrue="1">
      <formula>ISNA(MATCH(G8,$A$4:$C$20,0))</formula>
    </cfRule>
    <cfRule type="expression" priority="36" dxfId="1" stopIfTrue="1">
      <formula>IFERROR(VLOOKUP(G8,$A$4:$C$20,3,FALSE),0)=IFERROR(VLOOKUP(G7,$A$4:$C$20,3,FALSE),0)</formula>
    </cfRule>
  </conditionalFormatting>
  <conditionalFormatting sqref="G7">
    <cfRule type="expression" priority="17" dxfId="0" stopIfTrue="1">
      <formula>ISNA(MATCH(G7,$A$4:$C$20,0))</formula>
    </cfRule>
    <cfRule type="expression" priority="37" dxfId="1" stopIfTrue="1">
      <formula>IFERROR(VLOOKUP(G7,$A$4:$C$20,3,FALSE),0)=IFERROR(VLOOKUP(G6,$A$4:$C$20,3,FALSE),0)</formula>
    </cfRule>
  </conditionalFormatting>
  <conditionalFormatting sqref="G6">
    <cfRule type="expression" priority="18" dxfId="0" stopIfTrue="1">
      <formula>ISNA(MATCH(G6,$A$4:$C$20,0))</formula>
    </cfRule>
    <cfRule type="expression" priority="38" dxfId="1" stopIfTrue="1">
      <formula>IFERROR(VLOOKUP(G6,$A$4:$C$20,3,FALSE),0)=IFERROR(VLOOKUP(G5,$A$4:$C$20,3,FALSE),0)</formula>
    </cfRule>
  </conditionalFormatting>
  <conditionalFormatting sqref="G5">
    <cfRule type="expression" priority="19" dxfId="0" stopIfTrue="1">
      <formula>ISNA(MATCH(G5,$A$4:$C$20,0))</formula>
    </cfRule>
    <cfRule type="expression" priority="39" dxfId="1" stopIfTrue="1">
      <formula>IFERROR(VLOOKUP(G5,$A$4:$C$20,3,FALSE),0)=IFERROR(VLOOKUP(G4,$A$4:$C$20,3,FALSE),0)</formula>
    </cfRule>
  </conditionalFormatting>
  <conditionalFormatting sqref="G4">
    <cfRule type="expression" priority="20" dxfId="0" stopIfTrue="1">
      <formula>ISNA(MATCH(G4,$A$4:$C$20,0))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Martes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19:30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TODO POP</t>
        </is>
      </c>
      <c r="B4" s="1" t="n">
        <v>30</v>
      </c>
      <c r="C4" s="1" t="inlineStr">
        <is>
          <t>musical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IF(G4&lt;&gt;"",TEXT(TIMEVALUE(E4)+IFERROR(VLOOKUP(G4,$A$4:$C$12,2,FALSE),0)/1440,"hh:mm"),"")</f>
        <v/>
      </c>
      <c r="G4" s="1" t="inlineStr">
        <is>
          <t>TODO POP</t>
        </is>
      </c>
      <c r="H4" s="1" t="inlineStr"/>
      <c r="I4" s="1" t="inlineStr"/>
    </row>
    <row r="5">
      <c r="A5" s="1" t="inlineStr">
        <is>
          <t>BREVES ESTACIONES</t>
        </is>
      </c>
      <c r="B5" s="1" t="n">
        <v>30</v>
      </c>
      <c r="C5" s="1" t="inlineStr">
        <is>
          <t>cultural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IF(G5&lt;&gt;"",TEXT(TIMEVALUE(E5)+IFERROR(VLOOKUP(G5,$A$4:$C$12,2,FALSE),0)/1440,"hh:mm"),"")</f>
        <v/>
      </c>
      <c r="G5" s="1" t="inlineStr">
        <is>
          <t>BREVES ESTACIONES</t>
        </is>
      </c>
      <c r="H5" s="1" t="inlineStr"/>
      <c r="I5" s="1" t="inlineStr"/>
    </row>
    <row r="6">
      <c r="A6" s="1" t="inlineStr">
        <is>
          <t>SALUDARTE</t>
        </is>
      </c>
      <c r="B6" s="1" t="n">
        <v>15</v>
      </c>
      <c r="C6" s="1" t="inlineStr">
        <is>
          <t>salud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IF(G6&lt;&gt;"",TEXT(TIMEVALUE(E6)+IFERROR(VLOOKUP(G6,$A$4:$C$12,2,FALSE),0)/1440,"hh:mm"),"")</f>
        <v/>
      </c>
      <c r="G6" s="1" t="inlineStr">
        <is>
          <t>SALUDARTE</t>
        </is>
      </c>
      <c r="H6" s="1" t="inlineStr"/>
      <c r="I6" s="1" t="inlineStr"/>
    </row>
    <row r="7">
      <c r="A7" s="1" t="inlineStr">
        <is>
          <t>SECUENCIA</t>
        </is>
      </c>
      <c r="B7" s="1" t="n">
        <v>15</v>
      </c>
      <c r="C7" s="1" t="inlineStr">
        <is>
          <t>cultural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IF(G7&lt;&gt;"",TEXT(TIMEVALUE(E7)+IFERROR(VLOOKUP(G7,$A$4:$C$12,2,FALSE),0)/1440,"hh:mm"),"")</f>
        <v/>
      </c>
      <c r="G7" s="1" t="inlineStr">
        <is>
          <t>SECUENCIA</t>
        </is>
      </c>
      <c r="H7" s="1" t="inlineStr"/>
      <c r="I7" s="1" t="inlineStr"/>
    </row>
    <row r="8">
      <c r="A8" s="1" t="inlineStr">
        <is>
          <t>RITMO CLIP</t>
        </is>
      </c>
      <c r="B8" s="1" t="n">
        <v>30</v>
      </c>
      <c r="C8" s="1" t="inlineStr">
        <is>
          <t>musical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IF(G8&lt;&gt;"",TEXT(TIMEVALUE(E8)+IFERROR(VLOOKUP(G8,$A$4:$C$12,2,FALSE),0)/1440,"hh:mm"),"")</f>
        <v/>
      </c>
      <c r="G8" s="1" t="inlineStr">
        <is>
          <t>RITMO CLIP</t>
        </is>
      </c>
      <c r="H8" s="1" t="inlineStr"/>
      <c r="I8" s="1" t="inlineStr"/>
    </row>
    <row r="9">
      <c r="A9" s="1" t="inlineStr">
        <is>
          <t>TRIANGULO DE LA CONFIANZA</t>
        </is>
      </c>
      <c r="B9" s="1" t="n">
        <v>30</v>
      </c>
      <c r="C9" s="1" t="inlineStr">
        <is>
          <t>entrevista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IF(G9&lt;&gt;"",TEXT(TIMEVALUE(E9)+IFERROR(VLOOKUP(G9,$A$4:$C$12,2,FALSE),0)/1440,"hh:mm"),"")</f>
        <v/>
      </c>
      <c r="G9" s="1" t="inlineStr">
        <is>
          <t>TRIANGULO DE LA CONFIANZA</t>
        </is>
      </c>
      <c r="H9" s="1" t="inlineStr"/>
      <c r="I9" s="1" t="inlineStr"/>
    </row>
    <row r="10">
      <c r="A10" s="1" t="inlineStr">
        <is>
          <t>NOVELA “LA NIETA ELEGIDA”</t>
        </is>
      </c>
      <c r="B10" s="1" t="n">
        <v>45</v>
      </c>
      <c r="C10" s="1" t="inlineStr">
        <is>
          <t>ficción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IF(G10&lt;&gt;"",TEXT(TIMEVALUE(E10)+IFERROR(VLOOKUP(G10,$A$4:$C$12,2,FALSE),0)/1440,"hh:mm"),"")</f>
        <v/>
      </c>
      <c r="G10" s="1" t="inlineStr">
        <is>
          <t>NOVELA “LA NIETA ELEGIDA”</t>
        </is>
      </c>
      <c r="H10" s="1" t="inlineStr"/>
      <c r="I10" s="1" t="inlineStr"/>
    </row>
    <row r="11">
      <c r="A11" s="1" t="inlineStr">
        <is>
          <t>HABANA NOTICIARIO</t>
        </is>
      </c>
      <c r="B11" s="1" t="n">
        <v>30</v>
      </c>
      <c r="C11" s="1" t="inlineStr">
        <is>
          <t>informativo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IF(G11&lt;&gt;"",TEXT(TIMEVALUE(E11)+IFERROR(VLOOKUP(G11,$A$4:$C$12,2,FALSE),0)/1440,"hh:mm"),"")</f>
        <v/>
      </c>
      <c r="G11" s="1" t="inlineStr">
        <is>
          <t>HABANA NOTICIARIO</t>
        </is>
      </c>
      <c r="H11" s="1" t="inlineStr"/>
      <c r="I11" s="1" t="inlineStr"/>
    </row>
    <row r="12">
      <c r="A12" s="1" t="inlineStr">
        <is>
          <t>SERIE “CRÍMENES MAYORES”</t>
        </is>
      </c>
      <c r="B12" s="1" t="n">
        <v>45</v>
      </c>
      <c r="C12" s="1" t="inlineStr">
        <is>
          <t>ficción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IF(G12&lt;&gt;"",TEXT(TIMEVALUE(E12)+IFERROR(VLOOKUP(G12,$A$4:$C$12,2,FALSE),0)/1440,"hh:mm"),"")</f>
        <v/>
      </c>
      <c r="G12" s="1" t="inlineStr">
        <is>
          <t>SERIE “CRÍMENES MAYORES”</t>
        </is>
      </c>
      <c r="H12" s="1" t="inlineStr"/>
      <c r="I12" s="1" t="inlineStr"/>
    </row>
    <row r="13">
      <c r="A13" s="1" t="n"/>
      <c r="B13" s="1" t="n"/>
      <c r="C13" s="1" t="n"/>
      <c r="D13" s="1" t="n"/>
      <c r="E13" s="1">
        <f>IF(G13&lt;&gt;"",IF(ROW()=4,$I$2,F(PREVIOUS-ROW (HORA-FINAL))),"")</f>
        <v/>
      </c>
      <c r="F13" s="1">
        <f>IF(G13&lt;&gt;"",TEXT(TIMEVALUE(E13)+IFERROR(VLOOKUP(G13,$A$4:$C$12,2,FALSE),0)/1440,"hh:mm"),"")</f>
        <v/>
      </c>
      <c r="G13" s="1" t="n"/>
      <c r="H13" s="1" t="n"/>
      <c r="I13" s="1" t="n"/>
    </row>
    <row r="14">
      <c r="A14" s="1" t="n"/>
      <c r="B14" s="1" t="n"/>
      <c r="C14" s="1" t="n"/>
      <c r="D14" s="1" t="n"/>
      <c r="E14" s="1">
        <f>IF(G14&lt;&gt;"",IF(ROW()=4,$I$2,F(PREVIOUS-ROW (HORA-FINAL))),"")</f>
        <v/>
      </c>
      <c r="F14" s="1">
        <f>IF(G14&lt;&gt;"",TEXT(TIMEVALUE(E14)+IFERROR(VLOOKUP(G14,$A$4:$C$12,2,FALSE),0)/1440,"hh:mm"),"")</f>
        <v/>
      </c>
      <c r="G14" s="1" t="n"/>
      <c r="H14" s="1" t="n"/>
      <c r="I14" s="1" t="n"/>
    </row>
    <row r="15">
      <c r="A15" s="1" t="n"/>
      <c r="B15" s="1" t="n"/>
      <c r="C15" s="1" t="n"/>
      <c r="D15" s="1" t="n"/>
      <c r="E15" s="1">
        <f>IF(G15&lt;&gt;"",IF(ROW()=4,$I$2,F(PREVIOUS-ROW (HORA-FINAL))),"")</f>
        <v/>
      </c>
      <c r="F15" s="1">
        <f>IF(G15&lt;&gt;"",TEXT(TIMEVALUE(E15)+IFERROR(VLOOKUP(G15,$A$4:$C$12,2,FALSE),0)/1440,"hh:mm"),"")</f>
        <v/>
      </c>
      <c r="G15" s="1" t="n"/>
      <c r="H15" s="1" t="n"/>
      <c r="I15" s="1" t="n"/>
    </row>
  </sheetData>
  <conditionalFormatting sqref="G15">
    <cfRule type="expression" priority="1" dxfId="0" stopIfTrue="1">
      <formula>ISNA(MATCH(G15,$A$4:$C$12,0))</formula>
    </cfRule>
    <cfRule type="expression" priority="13" dxfId="1" stopIfTrue="1">
      <formula>IFERROR(VLOOKUP(G15,$A$4:$C$12,3,FALSE),0)=IFERROR(VLOOKUP(G14,$A$4:$C$12,3,FALSE),0)</formula>
    </cfRule>
  </conditionalFormatting>
  <conditionalFormatting sqref="G14">
    <cfRule type="expression" priority="2" dxfId="0" stopIfTrue="1">
      <formula>ISNA(MATCH(G14,$A$4:$C$12,0))</formula>
    </cfRule>
    <cfRule type="expression" priority="14" dxfId="1" stopIfTrue="1">
      <formula>IFERROR(VLOOKUP(G14,$A$4:$C$12,3,FALSE),0)=IFERROR(VLOOKUP(G13,$A$4:$C$12,3,FALSE),0)</formula>
    </cfRule>
  </conditionalFormatting>
  <conditionalFormatting sqref="G13">
    <cfRule type="expression" priority="3" dxfId="0" stopIfTrue="1">
      <formula>ISNA(MATCH(G13,$A$4:$C$12,0))</formula>
    </cfRule>
    <cfRule type="expression" priority="15" dxfId="1" stopIfTrue="1">
      <formula>IFERROR(VLOOKUP(G13,$A$4:$C$12,3,FALSE),0)=IFERROR(VLOOKUP(G12,$A$4:$C$12,3,FALSE),0)</formula>
    </cfRule>
  </conditionalFormatting>
  <conditionalFormatting sqref="G12">
    <cfRule type="expression" priority="4" dxfId="0" stopIfTrue="1">
      <formula>ISNA(MATCH(G12,$A$4:$C$12,0))</formula>
    </cfRule>
    <cfRule type="expression" priority="16" dxfId="1" stopIfTrue="1">
      <formula>IFERROR(VLOOKUP(G12,$A$4:$C$12,3,FALSE),0)=IFERROR(VLOOKUP(G11,$A$4:$C$12,3,FALSE),0)</formula>
    </cfRule>
  </conditionalFormatting>
  <conditionalFormatting sqref="G11">
    <cfRule type="expression" priority="5" dxfId="0" stopIfTrue="1">
      <formula>ISNA(MATCH(G11,$A$4:$C$12,0))</formula>
    </cfRule>
    <cfRule type="expression" priority="17" dxfId="1" stopIfTrue="1">
      <formula>IFERROR(VLOOKUP(G11,$A$4:$C$12,3,FALSE),0)=IFERROR(VLOOKUP(G10,$A$4:$C$12,3,FALSE),0)</formula>
    </cfRule>
  </conditionalFormatting>
  <conditionalFormatting sqref="G10">
    <cfRule type="expression" priority="6" dxfId="0" stopIfTrue="1">
      <formula>ISNA(MATCH(G10,$A$4:$C$12,0))</formula>
    </cfRule>
    <cfRule type="expression" priority="18" dxfId="1" stopIfTrue="1">
      <formula>IFERROR(VLOOKUP(G10,$A$4:$C$12,3,FALSE),0)=IFERROR(VLOOKUP(G9,$A$4:$C$12,3,FALSE),0)</formula>
    </cfRule>
  </conditionalFormatting>
  <conditionalFormatting sqref="G9">
    <cfRule type="expression" priority="7" dxfId="0" stopIfTrue="1">
      <formula>ISNA(MATCH(G9,$A$4:$C$12,0))</formula>
    </cfRule>
    <cfRule type="expression" priority="19" dxfId="1" stopIfTrue="1">
      <formula>IFERROR(VLOOKUP(G9,$A$4:$C$12,3,FALSE),0)=IFERROR(VLOOKUP(G8,$A$4:$C$12,3,FALSE),0)</formula>
    </cfRule>
  </conditionalFormatting>
  <conditionalFormatting sqref="G8">
    <cfRule type="expression" priority="8" dxfId="0" stopIfTrue="1">
      <formula>ISNA(MATCH(G8,$A$4:$C$12,0))</formula>
    </cfRule>
    <cfRule type="expression" priority="20" dxfId="1" stopIfTrue="1">
      <formula>IFERROR(VLOOKUP(G8,$A$4:$C$12,3,FALSE),0)=IFERROR(VLOOKUP(G7,$A$4:$C$12,3,FALSE),0)</formula>
    </cfRule>
  </conditionalFormatting>
  <conditionalFormatting sqref="G7">
    <cfRule type="expression" priority="9" dxfId="0" stopIfTrue="1">
      <formula>ISNA(MATCH(G7,$A$4:$C$12,0))</formula>
    </cfRule>
    <cfRule type="expression" priority="21" dxfId="1" stopIfTrue="1">
      <formula>IFERROR(VLOOKUP(G7,$A$4:$C$12,3,FALSE),0)=IFERROR(VLOOKUP(G6,$A$4:$C$12,3,FALSE),0)</formula>
    </cfRule>
  </conditionalFormatting>
  <conditionalFormatting sqref="G6">
    <cfRule type="expression" priority="10" dxfId="0" stopIfTrue="1">
      <formula>ISNA(MATCH(G6,$A$4:$C$12,0))</formula>
    </cfRule>
    <cfRule type="expression" priority="22" dxfId="1" stopIfTrue="1">
      <formula>IFERROR(VLOOKUP(G6,$A$4:$C$12,3,FALSE),0)=IFERROR(VLOOKUP(G5,$A$4:$C$12,3,FALSE),0)</formula>
    </cfRule>
  </conditionalFormatting>
  <conditionalFormatting sqref="G5">
    <cfRule type="expression" priority="11" dxfId="0" stopIfTrue="1">
      <formula>ISNA(MATCH(G5,$A$4:$C$12,0))</formula>
    </cfRule>
    <cfRule type="expression" priority="23" dxfId="1" stopIfTrue="1">
      <formula>IFERROR(VLOOKUP(G5,$A$4:$C$12,3,FALSE),0)=IFERROR(VLOOKUP(G4,$A$4:$C$12,3,FALSE),0)</formula>
    </cfRule>
  </conditionalFormatting>
  <conditionalFormatting sqref="G4">
    <cfRule type="expression" priority="12" dxfId="0" stopIfTrue="1">
      <formula>ISNA(MATCH(G4,$A$4:$C$12,0))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Miercoles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19:45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COSAS DEL CINE</t>
        </is>
      </c>
      <c r="B4" s="1" t="n">
        <v>15</v>
      </c>
      <c r="C4" s="1" t="inlineStr">
        <is>
          <t>cine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IF(G4&lt;&gt;"",TEXT(TIMEVALUE(E4)+IFERROR(VLOOKUP(G4,$A$4:$C$10,2,FALSE),0)/1440,"hh:mm"),"")</f>
        <v/>
      </c>
      <c r="G4" s="1" t="inlineStr">
        <is>
          <t>COSAS DEL CINE</t>
        </is>
      </c>
      <c r="H4" s="1" t="inlineStr"/>
      <c r="I4" s="1" t="inlineStr"/>
    </row>
    <row r="5">
      <c r="A5" s="1" t="inlineStr">
        <is>
          <t>RITMO CLIP</t>
        </is>
      </c>
      <c r="B5" s="1" t="n">
        <v>30</v>
      </c>
      <c r="C5" s="1" t="inlineStr">
        <is>
          <t>musical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IF(G5&lt;&gt;"",TEXT(TIMEVALUE(E5)+IFERROR(VLOOKUP(G5,$A$4:$C$10,2,FALSE),0)/1440,"hh:mm"),"")</f>
        <v/>
      </c>
      <c r="G5" s="1" t="inlineStr">
        <is>
          <t>RITMO CLIP</t>
        </is>
      </c>
      <c r="H5" s="1" t="inlineStr"/>
      <c r="I5" s="1" t="inlineStr"/>
    </row>
    <row r="6">
      <c r="A6" s="1" t="inlineStr">
        <is>
          <t>BANDA SONORA JUVENIL</t>
        </is>
      </c>
      <c r="B6" s="1" t="n">
        <v>30</v>
      </c>
      <c r="C6" s="1" t="inlineStr">
        <is>
          <t>cultural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IF(G6&lt;&gt;"",TEXT(TIMEVALUE(E6)+IFERROR(VLOOKUP(G6,$A$4:$C$10,2,FALSE),0)/1440,"hh:mm"),"")</f>
        <v/>
      </c>
      <c r="G6" s="1" t="inlineStr">
        <is>
          <t>BANDA SONORA JUVENIL</t>
        </is>
      </c>
      <c r="H6" s="1" t="inlineStr"/>
      <c r="I6" s="1" t="inlineStr"/>
    </row>
    <row r="7">
      <c r="A7" s="1" t="inlineStr">
        <is>
          <t>VE Y MIRA</t>
        </is>
      </c>
      <c r="B7" s="1" t="n">
        <v>30</v>
      </c>
      <c r="C7" s="1" t="inlineStr">
        <is>
          <t>cine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IF(G7&lt;&gt;"",TEXT(TIMEVALUE(E7)+IFERROR(VLOOKUP(G7,$A$4:$C$10,2,FALSE),0)/1440,"hh:mm"),"")</f>
        <v/>
      </c>
      <c r="G7" s="1" t="inlineStr">
        <is>
          <t>VE Y MIRA</t>
        </is>
      </c>
      <c r="H7" s="1" t="inlineStr"/>
      <c r="I7" s="1" t="inlineStr"/>
    </row>
    <row r="8">
      <c r="A8" s="1" t="inlineStr">
        <is>
          <t>MÚSICA DEL MUNDO</t>
        </is>
      </c>
      <c r="B8" s="1" t="n">
        <v>30</v>
      </c>
      <c r="C8" s="1" t="inlineStr">
        <is>
          <t>musical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IF(G8&lt;&gt;"",TEXT(TIMEVALUE(E8)+IFERROR(VLOOKUP(G8,$A$4:$C$10,2,FALSE),0)/1440,"hh:mm"),"")</f>
        <v/>
      </c>
      <c r="G8" s="1" t="inlineStr">
        <is>
          <t>MÚSICA DEL MUNDO</t>
        </is>
      </c>
      <c r="H8" s="1" t="inlineStr"/>
      <c r="I8" s="1" t="inlineStr"/>
    </row>
    <row r="9">
      <c r="A9" s="1" t="inlineStr">
        <is>
          <t>HABANA NOTICIARIO</t>
        </is>
      </c>
      <c r="B9" s="1" t="n">
        <v>30</v>
      </c>
      <c r="C9" s="1" t="inlineStr">
        <is>
          <t>informativo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IF(G9&lt;&gt;"",TEXT(TIMEVALUE(E9)+IFERROR(VLOOKUP(G9,$A$4:$C$10,2,FALSE),0)/1440,"hh:mm"),"")</f>
        <v/>
      </c>
      <c r="G9" s="1" t="inlineStr">
        <is>
          <t>HABANA NOTICIARIO</t>
        </is>
      </c>
      <c r="H9" s="1" t="inlineStr"/>
      <c r="I9" s="1" t="inlineStr"/>
    </row>
    <row r="10">
      <c r="A10" s="1" t="inlineStr">
        <is>
          <t>CINEMA HABANA</t>
        </is>
      </c>
      <c r="B10" s="1" t="n">
        <v>77</v>
      </c>
      <c r="C10" s="1" t="inlineStr">
        <is>
          <t>cine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IF(G10&lt;&gt;"",TEXT(TIMEVALUE(E10)+IFERROR(VLOOKUP(G10,$A$4:$C$10,2,FALSE),0)/1440,"hh:mm"),"")</f>
        <v/>
      </c>
      <c r="G10" s="1" t="inlineStr">
        <is>
          <t>CINEMA HABANA</t>
        </is>
      </c>
      <c r="H10" s="1" t="inlineStr"/>
      <c r="I10" s="1" t="inlineStr"/>
    </row>
    <row r="11">
      <c r="A11" s="1" t="n"/>
      <c r="B11" s="1" t="n"/>
      <c r="C11" s="1" t="n"/>
      <c r="D11" s="1" t="n"/>
      <c r="E11" s="1">
        <f>IF(G11&lt;&gt;"",IF(ROW()=4,$I$2,F(PREVIOUS-ROW (HORA-FINAL))),"")</f>
        <v/>
      </c>
      <c r="F11" s="1">
        <f>IF(G11&lt;&gt;"",TEXT(TIMEVALUE(E11)+IFERROR(VLOOKUP(G11,$A$4:$C$10,2,FALSE),0)/1440,"hh:mm"),"")</f>
        <v/>
      </c>
      <c r="G11" s="1" t="n"/>
      <c r="H11" s="1" t="n"/>
      <c r="I11" s="1" t="n"/>
    </row>
    <row r="12">
      <c r="A12" s="1" t="n"/>
      <c r="B12" s="1" t="n"/>
      <c r="C12" s="1" t="n"/>
      <c r="D12" s="1" t="n"/>
      <c r="E12" s="1">
        <f>IF(G12&lt;&gt;"",IF(ROW()=4,$I$2,F(PREVIOUS-ROW (HORA-FINAL))),"")</f>
        <v/>
      </c>
      <c r="F12" s="1">
        <f>IF(G12&lt;&gt;"",TEXT(TIMEVALUE(E12)+IFERROR(VLOOKUP(G12,$A$4:$C$10,2,FALSE),0)/1440,"hh:mm"),"")</f>
        <v/>
      </c>
      <c r="G12" s="1" t="n"/>
      <c r="H12" s="1" t="n"/>
      <c r="I12" s="1" t="n"/>
    </row>
    <row r="13">
      <c r="A13" s="1" t="n"/>
      <c r="B13" s="1" t="n"/>
      <c r="C13" s="1" t="n"/>
      <c r="D13" s="1" t="n"/>
      <c r="E13" s="1">
        <f>IF(G13&lt;&gt;"",IF(ROW()=4,$I$2,F(PREVIOUS-ROW (HORA-FINAL))),"")</f>
        <v/>
      </c>
      <c r="F13" s="1">
        <f>IF(G13&lt;&gt;"",TEXT(TIMEVALUE(E13)+IFERROR(VLOOKUP(G13,$A$4:$C$10,2,FALSE),0)/1440,"hh:mm"),"")</f>
        <v/>
      </c>
      <c r="G13" s="1" t="n"/>
      <c r="H13" s="1" t="n"/>
      <c r="I13" s="1" t="n"/>
    </row>
  </sheetData>
  <conditionalFormatting sqref="G13">
    <cfRule type="expression" priority="1" dxfId="0" stopIfTrue="1">
      <formula>ISNA(MATCH(G13,$A$4:$C$10,0))</formula>
    </cfRule>
    <cfRule type="expression" priority="11" dxfId="1" stopIfTrue="1">
      <formula>IFERROR(VLOOKUP(G13,$A$4:$C$10,3,FALSE),0)=IFERROR(VLOOKUP(G12,$A$4:$C$10,3,FALSE),0)</formula>
    </cfRule>
  </conditionalFormatting>
  <conditionalFormatting sqref="G12">
    <cfRule type="expression" priority="2" dxfId="0" stopIfTrue="1">
      <formula>ISNA(MATCH(G12,$A$4:$C$10,0))</formula>
    </cfRule>
    <cfRule type="expression" priority="12" dxfId="1" stopIfTrue="1">
      <formula>IFERROR(VLOOKUP(G12,$A$4:$C$10,3,FALSE),0)=IFERROR(VLOOKUP(G11,$A$4:$C$10,3,FALSE),0)</formula>
    </cfRule>
  </conditionalFormatting>
  <conditionalFormatting sqref="G11">
    <cfRule type="expression" priority="3" dxfId="0" stopIfTrue="1">
      <formula>ISNA(MATCH(G11,$A$4:$C$10,0))</formula>
    </cfRule>
    <cfRule type="expression" priority="13" dxfId="1" stopIfTrue="1">
      <formula>IFERROR(VLOOKUP(G11,$A$4:$C$10,3,FALSE),0)=IFERROR(VLOOKUP(G10,$A$4:$C$10,3,FALSE),0)</formula>
    </cfRule>
  </conditionalFormatting>
  <conditionalFormatting sqref="G10">
    <cfRule type="expression" priority="4" dxfId="0" stopIfTrue="1">
      <formula>ISNA(MATCH(G10,$A$4:$C$10,0))</formula>
    </cfRule>
    <cfRule type="expression" priority="14" dxfId="1" stopIfTrue="1">
      <formula>IFERROR(VLOOKUP(G10,$A$4:$C$10,3,FALSE),0)=IFERROR(VLOOKUP(G9,$A$4:$C$10,3,FALSE),0)</formula>
    </cfRule>
  </conditionalFormatting>
  <conditionalFormatting sqref="G9">
    <cfRule type="expression" priority="5" dxfId="0" stopIfTrue="1">
      <formula>ISNA(MATCH(G9,$A$4:$C$10,0))</formula>
    </cfRule>
    <cfRule type="expression" priority="15" dxfId="1" stopIfTrue="1">
      <formula>IFERROR(VLOOKUP(G9,$A$4:$C$10,3,FALSE),0)=IFERROR(VLOOKUP(G8,$A$4:$C$10,3,FALSE),0)</formula>
    </cfRule>
  </conditionalFormatting>
  <conditionalFormatting sqref="G8">
    <cfRule type="expression" priority="6" dxfId="0" stopIfTrue="1">
      <formula>ISNA(MATCH(G8,$A$4:$C$10,0))</formula>
    </cfRule>
    <cfRule type="expression" priority="16" dxfId="1" stopIfTrue="1">
      <formula>IFERROR(VLOOKUP(G8,$A$4:$C$10,3,FALSE),0)=IFERROR(VLOOKUP(G7,$A$4:$C$10,3,FALSE),0)</formula>
    </cfRule>
  </conditionalFormatting>
  <conditionalFormatting sqref="G7">
    <cfRule type="expression" priority="7" dxfId="0" stopIfTrue="1">
      <formula>ISNA(MATCH(G7,$A$4:$C$10,0))</formula>
    </cfRule>
    <cfRule type="expression" priority="17" dxfId="1" stopIfTrue="1">
      <formula>IFERROR(VLOOKUP(G7,$A$4:$C$10,3,FALSE),0)=IFERROR(VLOOKUP(G6,$A$4:$C$10,3,FALSE),0)</formula>
    </cfRule>
  </conditionalFormatting>
  <conditionalFormatting sqref="G6">
    <cfRule type="expression" priority="8" dxfId="0" stopIfTrue="1">
      <formula>ISNA(MATCH(G6,$A$4:$C$10,0))</formula>
    </cfRule>
    <cfRule type="expression" priority="18" dxfId="1" stopIfTrue="1">
      <formula>IFERROR(VLOOKUP(G6,$A$4:$C$10,3,FALSE),0)=IFERROR(VLOOKUP(G5,$A$4:$C$10,3,FALSE),0)</formula>
    </cfRule>
  </conditionalFormatting>
  <conditionalFormatting sqref="G5">
    <cfRule type="expression" priority="9" dxfId="0" stopIfTrue="1">
      <formula>ISNA(MATCH(G5,$A$4:$C$10,0))</formula>
    </cfRule>
    <cfRule type="expression" priority="19" dxfId="1" stopIfTrue="1">
      <formula>IFERROR(VLOOKUP(G5,$A$4:$C$10,3,FALSE),0)=IFERROR(VLOOKUP(G4,$A$4:$C$10,3,FALSE),0)</formula>
    </cfRule>
  </conditionalFormatting>
  <conditionalFormatting sqref="G4">
    <cfRule type="expression" priority="10" dxfId="0" stopIfTrue="1">
      <formula>ISNA(MATCH(G4,$A$4:$C$10,0))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Jueves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IF(G4&lt;&gt;"",TEXT(TIMEVALUE(E4)+IFERROR(VLOOKUP(G4,$A$4:$C$21,2,FALSE),0)/1440,"hh:mm"),"")</f>
        <v/>
      </c>
      <c r="G4" s="1" t="inlineStr">
        <is>
          <t>EL TIEMPO Y LA MEMORIA</t>
        </is>
      </c>
      <c r="H4" s="1" t="inlineStr"/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IF(G5&lt;&gt;"",TEXT(TIMEVALUE(E5)+IFERROR(VLOOKUP(G5,$A$4:$C$21,2,FALSE),0)/1440,"hh:mm"),"")</f>
        <v/>
      </c>
      <c r="G5" s="1" t="inlineStr">
        <is>
          <t>COORDENADAS</t>
        </is>
      </c>
      <c r="H5" s="1" t="inlineStr"/>
      <c r="I5" s="1" t="inlineStr"/>
    </row>
    <row r="6">
      <c r="A6" s="1" t="inlineStr">
        <is>
          <t>REVISTA HOLA HABANA</t>
        </is>
      </c>
      <c r="B6" s="1" t="n">
        <v>50</v>
      </c>
      <c r="C6" s="1" t="inlineStr">
        <is>
          <t>revista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IF(G6&lt;&gt;"",TEXT(TIMEVALUE(E6)+IFERROR(VLOOKUP(G6,$A$4:$C$21,2,FALSE),0)/1440,"hh:mm"),"")</f>
        <v/>
      </c>
      <c r="G6" s="1" t="inlineStr">
        <is>
          <t>REVISTA HOLA HABANA</t>
        </is>
      </c>
      <c r="H6" s="1" t="inlineStr"/>
      <c r="I6" s="1" t="inlineStr"/>
    </row>
    <row r="7">
      <c r="A7" s="1" t="inlineStr">
        <is>
          <t>SALUDARTE</t>
        </is>
      </c>
      <c r="B7" s="1" t="n">
        <v>15</v>
      </c>
      <c r="C7" s="1" t="inlineStr">
        <is>
          <t>salud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IF(G7&lt;&gt;"",TEXT(TIMEVALUE(E7)+IFERROR(VLOOKUP(G7,$A$4:$C$21,2,FALSE),0)/1440,"hh:mm"),"")</f>
        <v/>
      </c>
      <c r="G7" s="1" t="inlineStr">
        <is>
          <t>SALUDARTE</t>
        </is>
      </c>
      <c r="H7" s="1" t="inlineStr"/>
      <c r="I7" s="1" t="inlineStr"/>
    </row>
    <row r="8">
      <c r="A8" s="1" t="inlineStr">
        <is>
          <t>SECUENCIA</t>
        </is>
      </c>
      <c r="B8" s="1" t="n">
        <v>15</v>
      </c>
      <c r="C8" s="1" t="inlineStr">
        <is>
          <t>cultural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IF(G8&lt;&gt;"",TEXT(TIMEVALUE(E8)+IFERROR(VLOOKUP(G8,$A$4:$C$21,2,FALSE),0)/1440,"hh:mm"),"")</f>
        <v/>
      </c>
      <c r="G8" s="1" t="inlineStr">
        <is>
          <t>SECUENCIA</t>
        </is>
      </c>
      <c r="H8" s="1" t="inlineStr"/>
      <c r="I8" s="1" t="inlineStr"/>
    </row>
    <row r="9">
      <c r="A9" s="1" t="inlineStr">
        <is>
          <t>HABANA NOTICIARIO</t>
        </is>
      </c>
      <c r="B9" s="1" t="n">
        <v>30</v>
      </c>
      <c r="C9" s="1" t="inlineStr">
        <is>
          <t>informativo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IF(G9&lt;&gt;"",TEXT(TIMEVALUE(E9)+IFERROR(VLOOKUP(G9,$A$4:$C$21,2,FALSE),0)/1440,"hh:mm"),"")</f>
        <v/>
      </c>
      <c r="G9" s="1" t="inlineStr">
        <is>
          <t>HABANA NOTICIARIO</t>
        </is>
      </c>
      <c r="H9" s="1" t="inlineStr"/>
      <c r="I9" s="1" t="inlineStr"/>
    </row>
    <row r="10">
      <c r="A10" s="1" t="inlineStr">
        <is>
          <t>CAZADOR DE TROLES</t>
        </is>
      </c>
      <c r="B10" s="1" t="n">
        <v>30</v>
      </c>
      <c r="C10" s="1" t="inlineStr">
        <is>
          <t>infantil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IF(G10&lt;&gt;"",TEXT(TIMEVALUE(E10)+IFERROR(VLOOKUP(G10,$A$4:$C$21,2,FALSE),0)/1440,"hh:mm"),"")</f>
        <v/>
      </c>
      <c r="G10" s="1" t="inlineStr">
        <is>
          <t>CAZADOR DE TROLES</t>
        </is>
      </c>
      <c r="H10" s="1" t="inlineStr"/>
      <c r="I10" s="1" t="inlineStr"/>
    </row>
    <row r="11">
      <c r="A11" s="1" t="inlineStr">
        <is>
          <t>EL MUNDO DE CRAIG</t>
        </is>
      </c>
      <c r="B11" s="1" t="n">
        <v>15</v>
      </c>
      <c r="C11" s="1" t="inlineStr">
        <is>
          <t>animacion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IF(G11&lt;&gt;"",TEXT(TIMEVALUE(E11)+IFERROR(VLOOKUP(G11,$A$4:$C$21,2,FALSE),0)/1440,"hh:mm"),"")</f>
        <v/>
      </c>
      <c r="G11" s="1" t="inlineStr">
        <is>
          <t>EL MUNDO DE CRAIG</t>
        </is>
      </c>
      <c r="H11" s="1" t="inlineStr"/>
      <c r="I11" s="1" t="inlineStr"/>
    </row>
    <row r="12">
      <c r="A12" s="1" t="inlineStr">
        <is>
          <t>ÁNIMA</t>
        </is>
      </c>
      <c r="B12" s="1" t="n">
        <v>45</v>
      </c>
      <c r="C12" s="1" t="inlineStr">
        <is>
          <t>animacion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IF(G12&lt;&gt;"",TEXT(TIMEVALUE(E12)+IFERROR(VLOOKUP(G12,$A$4:$C$21,2,FALSE),0)/1440,"hh:mm"),"")</f>
        <v/>
      </c>
      <c r="G12" s="1" t="inlineStr">
        <is>
          <t>ÁNIMA</t>
        </is>
      </c>
      <c r="H12" s="1" t="inlineStr"/>
      <c r="I12" s="1" t="inlineStr"/>
    </row>
    <row r="13">
      <c r="A13" s="1" t="inlineStr">
        <is>
          <t>PAPEL EN BLANCO</t>
        </is>
      </c>
      <c r="B13" s="1" t="n">
        <v>30</v>
      </c>
      <c r="C13" s="1" t="inlineStr">
        <is>
          <t>cultural</t>
        </is>
      </c>
      <c r="D13" s="1" t="inlineStr"/>
      <c r="E13" s="1">
        <f>IF(G13&lt;&gt;"",IF(ROW()=4,$I$2,F(PREVIOUS-ROW (HORA-FINAL))),"")</f>
        <v/>
      </c>
      <c r="F13" s="1">
        <f>IF(G13&lt;&gt;"",TEXT(TIMEVALUE(E13)+IFERROR(VLOOKUP(G13,$A$4:$C$21,2,FALSE),0)/1440,"hh:mm"),"")</f>
        <v/>
      </c>
      <c r="G13" s="1" t="inlineStr">
        <is>
          <t>PAPEL EN BLANCO</t>
        </is>
      </c>
      <c r="H13" s="1" t="inlineStr"/>
      <c r="I13" s="1" t="inlineStr"/>
    </row>
    <row r="14">
      <c r="A14" s="1" t="inlineStr">
        <is>
          <t>MÚSICA DEL MUNDO</t>
        </is>
      </c>
      <c r="B14" s="1" t="n">
        <v>30</v>
      </c>
      <c r="C14" s="1" t="inlineStr">
        <is>
          <t>musical</t>
        </is>
      </c>
      <c r="D14" s="1" t="inlineStr"/>
      <c r="E14" s="1">
        <f>IF(G14&lt;&gt;"",IF(ROW()=4,$I$2,F(PREVIOUS-ROW (HORA-FINAL))),"")</f>
        <v/>
      </c>
      <c r="F14" s="1">
        <f>IF(G14&lt;&gt;"",TEXT(TIMEVALUE(E14)+IFERROR(VLOOKUP(G14,$A$4:$C$21,2,FALSE),0)/1440,"hh:mm"),"")</f>
        <v/>
      </c>
      <c r="G14" s="1" t="inlineStr">
        <is>
          <t>MÚSICA DEL MUNDO</t>
        </is>
      </c>
      <c r="H14" s="1" t="inlineStr"/>
      <c r="I14" s="1" t="inlineStr"/>
    </row>
    <row r="15">
      <c r="A15" s="1" t="inlineStr">
        <is>
          <t>TRAVESÍA</t>
        </is>
      </c>
      <c r="B15" s="1" t="n">
        <v>15</v>
      </c>
      <c r="C15" s="1" t="inlineStr">
        <is>
          <t>cultural</t>
        </is>
      </c>
      <c r="D15" s="1" t="inlineStr"/>
      <c r="E15" s="1">
        <f>IF(G15&lt;&gt;"",IF(ROW()=4,$I$2,F(PREVIOUS-ROW (HORA-FINAL))),"")</f>
        <v/>
      </c>
      <c r="F15" s="1">
        <f>IF(G15&lt;&gt;"",TEXT(TIMEVALUE(E15)+IFERROR(VLOOKUP(G15,$A$4:$C$21,2,FALSE),0)/1440,"hh:mm"),"")</f>
        <v/>
      </c>
      <c r="G15" s="1" t="inlineStr">
        <is>
          <t>TRAVESÍA</t>
        </is>
      </c>
      <c r="H15" s="1" t="inlineStr"/>
      <c r="I15" s="1" t="inlineStr"/>
    </row>
    <row r="16">
      <c r="A16" s="1" t="inlineStr">
        <is>
          <t>DONDE VA LA HABANA</t>
        </is>
      </c>
      <c r="B16" s="1" t="n">
        <v>15</v>
      </c>
      <c r="C16" s="1" t="inlineStr">
        <is>
          <t>cultural</t>
        </is>
      </c>
      <c r="D16" s="1" t="inlineStr"/>
      <c r="E16" s="1">
        <f>IF(G16&lt;&gt;"",IF(ROW()=4,$I$2,F(PREVIOUS-ROW (HORA-FINAL))),"")</f>
        <v/>
      </c>
      <c r="F16" s="1">
        <f>IF(G16&lt;&gt;"",TEXT(TIMEVALUE(E16)+IFERROR(VLOOKUP(G16,$A$4:$C$21,2,FALSE),0)/1440,"hh:mm"),"")</f>
        <v/>
      </c>
      <c r="G16" s="1" t="inlineStr">
        <is>
          <t>DONDE VA LA HABANA</t>
        </is>
      </c>
      <c r="H16" s="1" t="inlineStr"/>
      <c r="I16" s="1" t="inlineStr"/>
    </row>
    <row r="17">
      <c r="A17" s="1" t="inlineStr">
        <is>
          <t>BANDA SONORA</t>
        </is>
      </c>
      <c r="B17" s="1" t="n">
        <v>30</v>
      </c>
      <c r="C17" s="1" t="inlineStr">
        <is>
          <t>musical</t>
        </is>
      </c>
      <c r="D17" s="1" t="inlineStr"/>
      <c r="E17" s="1">
        <f>IF(G17&lt;&gt;"",IF(ROW()=4,$I$2,F(PREVIOUS-ROW (HORA-FINAL))),"")</f>
        <v/>
      </c>
      <c r="F17" s="1">
        <f>IF(G17&lt;&gt;"",TEXT(TIMEVALUE(E17)+IFERROR(VLOOKUP(G17,$A$4:$C$21,2,FALSE),0)/1440,"hh:mm"),"")</f>
        <v/>
      </c>
      <c r="G17" s="1" t="inlineStr">
        <is>
          <t>BANDA SONORA</t>
        </is>
      </c>
      <c r="H17" s="1" t="inlineStr"/>
      <c r="I17" s="1" t="inlineStr"/>
    </row>
    <row r="18">
      <c r="A18" s="1" t="inlineStr">
        <is>
          <t>ESTA ES MI PEÑA</t>
        </is>
      </c>
      <c r="B18" s="1" t="n">
        <v>30</v>
      </c>
      <c r="C18" s="1" t="inlineStr">
        <is>
          <t>musical</t>
        </is>
      </c>
      <c r="D18" s="1" t="inlineStr"/>
      <c r="E18" s="1">
        <f>IF(G18&lt;&gt;"",IF(ROW()=4,$I$2,F(PREVIOUS-ROW (HORA-FINAL))),"")</f>
        <v/>
      </c>
      <c r="F18" s="1">
        <f>IF(G18&lt;&gt;"",TEXT(TIMEVALUE(E18)+IFERROR(VLOOKUP(G18,$A$4:$C$21,2,FALSE),0)/1440,"hh:mm"),"")</f>
        <v/>
      </c>
      <c r="G18" s="1" t="inlineStr">
        <is>
          <t>ESTA ES MI PEÑA</t>
        </is>
      </c>
      <c r="H18" s="1" t="inlineStr"/>
      <c r="I18" s="1" t="inlineStr"/>
    </row>
    <row r="19">
      <c r="A19" s="1" t="inlineStr">
        <is>
          <t>NOVELA “LA NIETA ELEGIDA”</t>
        </is>
      </c>
      <c r="B19" s="1" t="n">
        <v>45</v>
      </c>
      <c r="C19" s="1" t="inlineStr">
        <is>
          <t>ficción</t>
        </is>
      </c>
      <c r="D19" s="1" t="inlineStr"/>
      <c r="E19" s="1">
        <f>IF(G19&lt;&gt;"",IF(ROW()=4,$I$2,F(PREVIOUS-ROW (HORA-FINAL))),"")</f>
        <v/>
      </c>
      <c r="F19" s="1">
        <f>IF(G19&lt;&gt;"",TEXT(TIMEVALUE(E19)+IFERROR(VLOOKUP(G19,$A$4:$C$21,2,FALSE),0)/1440,"hh:mm"),"")</f>
        <v/>
      </c>
      <c r="G19" s="1" t="inlineStr">
        <is>
          <t>NOVELA “LA NIETA ELEGIDA”</t>
        </is>
      </c>
      <c r="H19" s="1" t="inlineStr"/>
      <c r="I19" s="1" t="inlineStr"/>
    </row>
    <row r="20">
      <c r="A20" s="1" t="inlineStr">
        <is>
          <t>HABANA NOTICIARIO</t>
        </is>
      </c>
      <c r="B20" s="1" t="n">
        <v>30</v>
      </c>
      <c r="C20" s="1" t="inlineStr">
        <is>
          <t>informativo</t>
        </is>
      </c>
      <c r="D20" s="1" t="inlineStr"/>
      <c r="E20" s="1">
        <f>IF(G20&lt;&gt;"",IF(ROW()=4,$I$2,F(PREVIOUS-ROW (HORA-FINAL))),"")</f>
        <v/>
      </c>
      <c r="F20" s="1">
        <f>IF(G20&lt;&gt;"",TEXT(TIMEVALUE(E20)+IFERROR(VLOOKUP(G20,$A$4:$C$21,2,FALSE),0)/1440,"hh:mm"),"")</f>
        <v/>
      </c>
      <c r="G20" s="1" t="inlineStr">
        <is>
          <t>HABANA NOTICIARIO</t>
        </is>
      </c>
      <c r="H20" s="1" t="inlineStr"/>
      <c r="I20" s="1" t="inlineStr"/>
    </row>
    <row r="21">
      <c r="A21" s="1" t="inlineStr">
        <is>
          <t>SERIE “CRÍMENES MAYORES”</t>
        </is>
      </c>
      <c r="B21" s="1" t="n">
        <v>45</v>
      </c>
      <c r="C21" s="1" t="inlineStr">
        <is>
          <t>ficción</t>
        </is>
      </c>
      <c r="D21" s="1" t="inlineStr"/>
      <c r="E21" s="1">
        <f>IF(G21&lt;&gt;"",IF(ROW()=4,$I$2,F(PREVIOUS-ROW (HORA-FINAL))),"")</f>
        <v/>
      </c>
      <c r="F21" s="1">
        <f>IF(G21&lt;&gt;"",TEXT(TIMEVALUE(E21)+IFERROR(VLOOKUP(G21,$A$4:$C$21,2,FALSE),0)/1440,"hh:mm"),"")</f>
        <v/>
      </c>
      <c r="G21" s="1" t="inlineStr">
        <is>
          <t>SERIE “CRÍMENES MAYORES”</t>
        </is>
      </c>
      <c r="H21" s="1" t="inlineStr"/>
      <c r="I21" s="1" t="inlineStr"/>
    </row>
    <row r="22">
      <c r="A22" s="1" t="n"/>
      <c r="B22" s="1" t="n"/>
      <c r="C22" s="1" t="n"/>
      <c r="D22" s="1" t="n"/>
      <c r="E22" s="1">
        <f>IF(G22&lt;&gt;"",IF(ROW()=4,$I$2,F(PREVIOUS-ROW (HORA-FINAL))),"")</f>
        <v/>
      </c>
      <c r="F22" s="1">
        <f>IF(G22&lt;&gt;"",TEXT(TIMEVALUE(E22)+IFERROR(VLOOKUP(G22,$A$4:$C$21,2,FALSE),0)/1440,"hh:mm"),"")</f>
        <v/>
      </c>
      <c r="G22" s="1" t="n"/>
      <c r="H22" s="1" t="n"/>
      <c r="I22" s="1" t="n"/>
    </row>
    <row r="23">
      <c r="A23" s="1" t="n"/>
      <c r="B23" s="1" t="n"/>
      <c r="C23" s="1" t="n"/>
      <c r="D23" s="1" t="n"/>
      <c r="E23" s="1">
        <f>IF(G23&lt;&gt;"",IF(ROW()=4,$I$2,F(PREVIOUS-ROW (HORA-FINAL))),"")</f>
        <v/>
      </c>
      <c r="F23" s="1">
        <f>IF(G23&lt;&gt;"",TEXT(TIMEVALUE(E23)+IFERROR(VLOOKUP(G23,$A$4:$C$21,2,FALSE),0)/1440,"hh:mm"),"")</f>
        <v/>
      </c>
      <c r="G23" s="1" t="n"/>
      <c r="H23" s="1" t="n"/>
      <c r="I23" s="1" t="n"/>
    </row>
    <row r="24">
      <c r="A24" s="1" t="n"/>
      <c r="B24" s="1" t="n"/>
      <c r="C24" s="1" t="n"/>
      <c r="D24" s="1" t="n"/>
      <c r="E24" s="1">
        <f>IF(G24&lt;&gt;"",IF(ROW()=4,$I$2,F(PREVIOUS-ROW (HORA-FINAL))),"")</f>
        <v/>
      </c>
      <c r="F24" s="1">
        <f>IF(G24&lt;&gt;"",TEXT(TIMEVALUE(E24)+IFERROR(VLOOKUP(G24,$A$4:$C$21,2,FALSE),0)/1440,"hh:mm"),"")</f>
        <v/>
      </c>
      <c r="G24" s="1" t="n"/>
      <c r="H24" s="1" t="n"/>
      <c r="I24" s="1" t="n"/>
    </row>
  </sheetData>
  <conditionalFormatting sqref="G24">
    <cfRule type="expression" priority="1" dxfId="0" stopIfTrue="1">
      <formula>ISNA(MATCH(G24,$A$4:$C$21,0))</formula>
    </cfRule>
    <cfRule type="expression" priority="22" dxfId="1" stopIfTrue="1">
      <formula>IFERROR(VLOOKUP(G24,$A$4:$C$21,3,FALSE),0)=IFERROR(VLOOKUP(G23,$A$4:$C$21,3,FALSE),0)</formula>
    </cfRule>
  </conditionalFormatting>
  <conditionalFormatting sqref="G23">
    <cfRule type="expression" priority="2" dxfId="0" stopIfTrue="1">
      <formula>ISNA(MATCH(G23,$A$4:$C$21,0))</formula>
    </cfRule>
    <cfRule type="expression" priority="23" dxfId="1" stopIfTrue="1">
      <formula>IFERROR(VLOOKUP(G23,$A$4:$C$21,3,FALSE),0)=IFERROR(VLOOKUP(G22,$A$4:$C$21,3,FALSE),0)</formula>
    </cfRule>
  </conditionalFormatting>
  <conditionalFormatting sqref="G22">
    <cfRule type="expression" priority="3" dxfId="0" stopIfTrue="1">
      <formula>ISNA(MATCH(G22,$A$4:$C$21,0))</formula>
    </cfRule>
    <cfRule type="expression" priority="24" dxfId="1" stopIfTrue="1">
      <formula>IFERROR(VLOOKUP(G22,$A$4:$C$21,3,FALSE),0)=IFERROR(VLOOKUP(G21,$A$4:$C$21,3,FALSE),0)</formula>
    </cfRule>
  </conditionalFormatting>
  <conditionalFormatting sqref="G21">
    <cfRule type="expression" priority="4" dxfId="0" stopIfTrue="1">
      <formula>ISNA(MATCH(G21,$A$4:$C$21,0))</formula>
    </cfRule>
    <cfRule type="expression" priority="25" dxfId="1" stopIfTrue="1">
      <formula>IFERROR(VLOOKUP(G21,$A$4:$C$21,3,FALSE),0)=IFERROR(VLOOKUP(G20,$A$4:$C$21,3,FALSE),0)</formula>
    </cfRule>
  </conditionalFormatting>
  <conditionalFormatting sqref="G20">
    <cfRule type="expression" priority="5" dxfId="0" stopIfTrue="1">
      <formula>ISNA(MATCH(G20,$A$4:$C$21,0))</formula>
    </cfRule>
    <cfRule type="expression" priority="26" dxfId="1" stopIfTrue="1">
      <formula>IFERROR(VLOOKUP(G20,$A$4:$C$21,3,FALSE),0)=IFERROR(VLOOKUP(G19,$A$4:$C$21,3,FALSE),0)</formula>
    </cfRule>
  </conditionalFormatting>
  <conditionalFormatting sqref="G19">
    <cfRule type="expression" priority="6" dxfId="0" stopIfTrue="1">
      <formula>ISNA(MATCH(G19,$A$4:$C$21,0))</formula>
    </cfRule>
    <cfRule type="expression" priority="27" dxfId="1" stopIfTrue="1">
      <formula>IFERROR(VLOOKUP(G19,$A$4:$C$21,3,FALSE),0)=IFERROR(VLOOKUP(G18,$A$4:$C$21,3,FALSE),0)</formula>
    </cfRule>
  </conditionalFormatting>
  <conditionalFormatting sqref="G18">
    <cfRule type="expression" priority="7" dxfId="0" stopIfTrue="1">
      <formula>ISNA(MATCH(G18,$A$4:$C$21,0))</formula>
    </cfRule>
    <cfRule type="expression" priority="28" dxfId="1" stopIfTrue="1">
      <formula>IFERROR(VLOOKUP(G18,$A$4:$C$21,3,FALSE),0)=IFERROR(VLOOKUP(G17,$A$4:$C$21,3,FALSE),0)</formula>
    </cfRule>
  </conditionalFormatting>
  <conditionalFormatting sqref="G17">
    <cfRule type="expression" priority="8" dxfId="0" stopIfTrue="1">
      <formula>ISNA(MATCH(G17,$A$4:$C$21,0))</formula>
    </cfRule>
    <cfRule type="expression" priority="29" dxfId="1" stopIfTrue="1">
      <formula>IFERROR(VLOOKUP(G17,$A$4:$C$21,3,FALSE),0)=IFERROR(VLOOKUP(G16,$A$4:$C$21,3,FALSE),0)</formula>
    </cfRule>
  </conditionalFormatting>
  <conditionalFormatting sqref="G16">
    <cfRule type="expression" priority="9" dxfId="0" stopIfTrue="1">
      <formula>ISNA(MATCH(G16,$A$4:$C$21,0))</formula>
    </cfRule>
    <cfRule type="expression" priority="30" dxfId="1" stopIfTrue="1">
      <formula>IFERROR(VLOOKUP(G16,$A$4:$C$21,3,FALSE),0)=IFERROR(VLOOKUP(G15,$A$4:$C$21,3,FALSE),0)</formula>
    </cfRule>
  </conditionalFormatting>
  <conditionalFormatting sqref="G15">
    <cfRule type="expression" priority="10" dxfId="0" stopIfTrue="1">
      <formula>ISNA(MATCH(G15,$A$4:$C$21,0))</formula>
    </cfRule>
    <cfRule type="expression" priority="31" dxfId="1" stopIfTrue="1">
      <formula>IFERROR(VLOOKUP(G15,$A$4:$C$21,3,FALSE),0)=IFERROR(VLOOKUP(G14,$A$4:$C$21,3,FALSE),0)</formula>
    </cfRule>
  </conditionalFormatting>
  <conditionalFormatting sqref="G14">
    <cfRule type="expression" priority="11" dxfId="0" stopIfTrue="1">
      <formula>ISNA(MATCH(G14,$A$4:$C$21,0))</formula>
    </cfRule>
    <cfRule type="expression" priority="32" dxfId="1" stopIfTrue="1">
      <formula>IFERROR(VLOOKUP(G14,$A$4:$C$21,3,FALSE),0)=IFERROR(VLOOKUP(G13,$A$4:$C$21,3,FALSE),0)</formula>
    </cfRule>
  </conditionalFormatting>
  <conditionalFormatting sqref="G13">
    <cfRule type="expression" priority="12" dxfId="0" stopIfTrue="1">
      <formula>ISNA(MATCH(G13,$A$4:$C$21,0))</formula>
    </cfRule>
    <cfRule type="expression" priority="33" dxfId="1" stopIfTrue="1">
      <formula>IFERROR(VLOOKUP(G13,$A$4:$C$21,3,FALSE),0)=IFERROR(VLOOKUP(G12,$A$4:$C$21,3,FALSE),0)</formula>
    </cfRule>
  </conditionalFormatting>
  <conditionalFormatting sqref="G12">
    <cfRule type="expression" priority="13" dxfId="0" stopIfTrue="1">
      <formula>ISNA(MATCH(G12,$A$4:$C$21,0))</formula>
    </cfRule>
    <cfRule type="expression" priority="34" dxfId="1" stopIfTrue="1">
      <formula>IFERROR(VLOOKUP(G12,$A$4:$C$21,3,FALSE),0)=IFERROR(VLOOKUP(G11,$A$4:$C$21,3,FALSE),0)</formula>
    </cfRule>
  </conditionalFormatting>
  <conditionalFormatting sqref="G11">
    <cfRule type="expression" priority="14" dxfId="0" stopIfTrue="1">
      <formula>ISNA(MATCH(G11,$A$4:$C$21,0))</formula>
    </cfRule>
    <cfRule type="expression" priority="35" dxfId="1" stopIfTrue="1">
      <formula>IFERROR(VLOOKUP(G11,$A$4:$C$21,3,FALSE),0)=IFERROR(VLOOKUP(G10,$A$4:$C$21,3,FALSE),0)</formula>
    </cfRule>
  </conditionalFormatting>
  <conditionalFormatting sqref="G10">
    <cfRule type="expression" priority="15" dxfId="0" stopIfTrue="1">
      <formula>ISNA(MATCH(G10,$A$4:$C$21,0))</formula>
    </cfRule>
    <cfRule type="expression" priority="36" dxfId="1" stopIfTrue="1">
      <formula>IFERROR(VLOOKUP(G10,$A$4:$C$21,3,FALSE),0)=IFERROR(VLOOKUP(G9,$A$4:$C$21,3,FALSE),0)</formula>
    </cfRule>
  </conditionalFormatting>
  <conditionalFormatting sqref="G9">
    <cfRule type="expression" priority="16" dxfId="0" stopIfTrue="1">
      <formula>ISNA(MATCH(G9,$A$4:$C$21,0))</formula>
    </cfRule>
    <cfRule type="expression" priority="37" dxfId="1" stopIfTrue="1">
      <formula>IFERROR(VLOOKUP(G9,$A$4:$C$21,3,FALSE),0)=IFERROR(VLOOKUP(G8,$A$4:$C$21,3,FALSE),0)</formula>
    </cfRule>
  </conditionalFormatting>
  <conditionalFormatting sqref="G8">
    <cfRule type="expression" priority="17" dxfId="0" stopIfTrue="1">
      <formula>ISNA(MATCH(G8,$A$4:$C$21,0))</formula>
    </cfRule>
    <cfRule type="expression" priority="38" dxfId="1" stopIfTrue="1">
      <formula>IFERROR(VLOOKUP(G8,$A$4:$C$21,3,FALSE),0)=IFERROR(VLOOKUP(G7,$A$4:$C$21,3,FALSE),0)</formula>
    </cfRule>
  </conditionalFormatting>
  <conditionalFormatting sqref="G7">
    <cfRule type="expression" priority="18" dxfId="0" stopIfTrue="1">
      <formula>ISNA(MATCH(G7,$A$4:$C$21,0))</formula>
    </cfRule>
    <cfRule type="expression" priority="39" dxfId="1" stopIfTrue="1">
      <formula>IFERROR(VLOOKUP(G7,$A$4:$C$21,3,FALSE),0)=IFERROR(VLOOKUP(G6,$A$4:$C$21,3,FALSE),0)</formula>
    </cfRule>
  </conditionalFormatting>
  <conditionalFormatting sqref="G6">
    <cfRule type="expression" priority="19" dxfId="0" stopIfTrue="1">
      <formula>ISNA(MATCH(G6,$A$4:$C$21,0))</formula>
    </cfRule>
    <cfRule type="expression" priority="40" dxfId="1" stopIfTrue="1">
      <formula>IFERROR(VLOOKUP(G6,$A$4:$C$21,3,FALSE),0)=IFERROR(VLOOKUP(G5,$A$4:$C$21,3,FALSE),0)</formula>
    </cfRule>
  </conditionalFormatting>
  <conditionalFormatting sqref="G5">
    <cfRule type="expression" priority="20" dxfId="0" stopIfTrue="1">
      <formula>ISNA(MATCH(G5,$A$4:$C$21,0))</formula>
    </cfRule>
    <cfRule type="expression" priority="41" dxfId="1" stopIfTrue="1">
      <formula>IFERROR(VLOOKUP(G5,$A$4:$C$21,3,FALSE),0)=IFERROR(VLOOKUP(G4,$A$4:$C$21,3,FALSE),0)</formula>
    </cfRule>
  </conditionalFormatting>
  <conditionalFormatting sqref="G4">
    <cfRule type="expression" priority="21" dxfId="0" stopIfTrue="1">
      <formula>ISNA(MATCH(G4,$A$4:$C$21,0))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Viernes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16:30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GEN HABANERO</t>
        </is>
      </c>
      <c r="B4" s="1" t="n">
        <v>60</v>
      </c>
      <c r="C4" s="1" t="inlineStr">
        <is>
          <t>documental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IF(G4&lt;&gt;"",TEXT(TIMEVALUE(E4)+IFERROR(VLOOKUP(G4,$A$4:$C$15,2,FALSE),0)/1440,"hh:mm"),"")</f>
        <v/>
      </c>
      <c r="G4" s="1" t="inlineStr">
        <is>
          <t>GEN HABANERO</t>
        </is>
      </c>
      <c r="H4" s="1" t="inlineStr"/>
      <c r="I4" s="1" t="inlineStr"/>
    </row>
    <row r="5">
      <c r="A5" s="1" t="inlineStr">
        <is>
          <t>HABANA NOTICIARIO</t>
        </is>
      </c>
      <c r="B5" s="1" t="n">
        <v>30</v>
      </c>
      <c r="C5" s="1" t="inlineStr">
        <is>
          <t>informativo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IF(G5&lt;&gt;"",TEXT(TIMEVALUE(E5)+IFERROR(VLOOKUP(G5,$A$4:$C$15,2,FALSE),0)/1440,"hh:mm"),"")</f>
        <v/>
      </c>
      <c r="G5" s="1" t="inlineStr">
        <is>
          <t>HABANA NOTICIARIO</t>
        </is>
      </c>
      <c r="H5" s="1" t="inlineStr"/>
      <c r="I5" s="1" t="inlineStr"/>
    </row>
    <row r="6">
      <c r="A6" s="1" t="inlineStr">
        <is>
          <t>TIENE QUE VER</t>
        </is>
      </c>
      <c r="B6" s="1" t="n">
        <v>115</v>
      </c>
      <c r="C6" s="1" t="inlineStr">
        <is>
          <t>cine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IF(G6&lt;&gt;"",TEXT(TIMEVALUE(E6)+IFERROR(VLOOKUP(G6,$A$4:$C$15,2,FALSE),0)/1440,"hh:mm"),"")</f>
        <v/>
      </c>
      <c r="G6" s="1" t="inlineStr">
        <is>
          <t>TIENE QUE VER</t>
        </is>
      </c>
      <c r="H6" s="1" t="inlineStr"/>
      <c r="I6" s="1" t="inlineStr"/>
    </row>
    <row r="7">
      <c r="A7" s="1" t="inlineStr">
        <is>
          <t>COORDENADAS INFANTILES</t>
        </is>
      </c>
      <c r="B7" s="1" t="n">
        <v>5</v>
      </c>
      <c r="C7" s="1" t="inlineStr">
        <is>
          <t>informativo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IF(G7&lt;&gt;"",TEXT(TIMEVALUE(E7)+IFERROR(VLOOKUP(G7,$A$4:$C$15,2,FALSE),0)/1440,"hh:mm"),"")</f>
        <v/>
      </c>
      <c r="G7" s="1" t="inlineStr">
        <is>
          <t>COORDENADAS INFANTILES</t>
        </is>
      </c>
      <c r="H7" s="1" t="inlineStr"/>
      <c r="I7" s="1" t="inlineStr"/>
    </row>
    <row r="8">
      <c r="A8" s="1" t="inlineStr">
        <is>
          <t>ALGO ENTRE MANOS</t>
        </is>
      </c>
      <c r="B8" s="1" t="n">
        <v>30</v>
      </c>
      <c r="C8" s="1" t="inlineStr">
        <is>
          <t>cultural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IF(G8&lt;&gt;"",TEXT(TIMEVALUE(E8)+IFERROR(VLOOKUP(G8,$A$4:$C$15,2,FALSE),0)/1440,"hh:mm"),"")</f>
        <v/>
      </c>
      <c r="G8" s="1" t="inlineStr">
        <is>
          <t>ALGO ENTRE MANOS</t>
        </is>
      </c>
      <c r="H8" s="1" t="inlineStr"/>
      <c r="I8" s="1" t="inlineStr"/>
    </row>
    <row r="9">
      <c r="A9" s="1" t="inlineStr">
        <is>
          <t>BREVES ESTACIONES</t>
        </is>
      </c>
      <c r="B9" s="1" t="n">
        <v>30</v>
      </c>
      <c r="C9" s="1" t="inlineStr">
        <is>
          <t>cultural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IF(G9&lt;&gt;"",TEXT(TIMEVALUE(E9)+IFERROR(VLOOKUP(G9,$A$4:$C$15,2,FALSE),0)/1440,"hh:mm"),"")</f>
        <v/>
      </c>
      <c r="G9" s="1" t="inlineStr">
        <is>
          <t>BREVES ESTACIONES</t>
        </is>
      </c>
      <c r="H9" s="1" t="inlineStr"/>
      <c r="I9" s="1" t="inlineStr"/>
    </row>
    <row r="10">
      <c r="A10" s="1" t="inlineStr">
        <is>
          <t>DÉCADAS MILAGROSAS</t>
        </is>
      </c>
      <c r="B10" s="1" t="n">
        <v>30</v>
      </c>
      <c r="C10" s="1" t="inlineStr">
        <is>
          <t>musical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IF(G10&lt;&gt;"",TEXT(TIMEVALUE(E10)+IFERROR(VLOOKUP(G10,$A$4:$C$15,2,FALSE),0)/1440,"hh:mm"),"")</f>
        <v/>
      </c>
      <c r="G10" s="1" t="inlineStr">
        <is>
          <t>DÉCADAS MILAGROSAS</t>
        </is>
      </c>
      <c r="H10" s="1" t="inlineStr"/>
      <c r="I10" s="1" t="inlineStr"/>
    </row>
    <row r="11">
      <c r="A11" s="1" t="inlineStr">
        <is>
          <t>SIN PUNTOS SUSPENSIVOS</t>
        </is>
      </c>
      <c r="B11" s="1" t="n">
        <v>15</v>
      </c>
      <c r="C11" s="1" t="inlineStr">
        <is>
          <t>entrevista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IF(G11&lt;&gt;"",TEXT(TIMEVALUE(E11)+IFERROR(VLOOKUP(G11,$A$4:$C$15,2,FALSE),0)/1440,"hh:mm"),"")</f>
        <v/>
      </c>
      <c r="G11" s="1" t="inlineStr">
        <is>
          <t>SIN PUNTOS SUSPENSIVOS</t>
        </is>
      </c>
      <c r="H11" s="1" t="inlineStr"/>
      <c r="I11" s="1" t="inlineStr"/>
    </row>
    <row r="12">
      <c r="A12" s="1" t="inlineStr">
        <is>
          <t>YO BAILO</t>
        </is>
      </c>
      <c r="B12" s="1" t="n">
        <v>15</v>
      </c>
      <c r="C12" s="1" t="inlineStr">
        <is>
          <t>musical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IF(G12&lt;&gt;"",TEXT(TIMEVALUE(E12)+IFERROR(VLOOKUP(G12,$A$4:$C$15,2,FALSE),0)/1440,"hh:mm"),"")</f>
        <v/>
      </c>
      <c r="G12" s="1" t="inlineStr">
        <is>
          <t>YO BAILO</t>
        </is>
      </c>
      <c r="H12" s="1" t="inlineStr"/>
      <c r="I12" s="1" t="inlineStr"/>
    </row>
    <row r="13">
      <c r="A13" s="1" t="inlineStr">
        <is>
          <t>NOVELA “LA NIETA ELEGIDA”</t>
        </is>
      </c>
      <c r="B13" s="1" t="n">
        <v>45</v>
      </c>
      <c r="C13" s="1" t="inlineStr">
        <is>
          <t>ficción</t>
        </is>
      </c>
      <c r="D13" s="1" t="inlineStr"/>
      <c r="E13" s="1">
        <f>IF(G13&lt;&gt;"",IF(ROW()=4,$I$2,F(PREVIOUS-ROW (HORA-FINAL))),"")</f>
        <v/>
      </c>
      <c r="F13" s="1">
        <f>IF(G13&lt;&gt;"",TEXT(TIMEVALUE(E13)+IFERROR(VLOOKUP(G13,$A$4:$C$15,2,FALSE),0)/1440,"hh:mm"),"")</f>
        <v/>
      </c>
      <c r="G13" s="1" t="inlineStr">
        <is>
          <t>NOVELA “LA NIETA ELEGIDA”</t>
        </is>
      </c>
      <c r="H13" s="1" t="inlineStr"/>
      <c r="I13" s="1" t="inlineStr"/>
    </row>
    <row r="14">
      <c r="A14" s="1" t="inlineStr">
        <is>
          <t>HABANA NOTICIARIO</t>
        </is>
      </c>
      <c r="B14" s="1" t="n">
        <v>30</v>
      </c>
      <c r="C14" s="1" t="inlineStr">
        <is>
          <t>informativo</t>
        </is>
      </c>
      <c r="D14" s="1" t="inlineStr"/>
      <c r="E14" s="1">
        <f>IF(G14&lt;&gt;"",IF(ROW()=4,$I$2,F(PREVIOUS-ROW (HORA-FINAL))),"")</f>
        <v/>
      </c>
      <c r="F14" s="1">
        <f>IF(G14&lt;&gt;"",TEXT(TIMEVALUE(E14)+IFERROR(VLOOKUP(G14,$A$4:$C$15,2,FALSE),0)/1440,"hh:mm"),"")</f>
        <v/>
      </c>
      <c r="G14" s="1" t="inlineStr">
        <is>
          <t>HABANA NOTICIARIO</t>
        </is>
      </c>
      <c r="H14" s="1" t="inlineStr"/>
      <c r="I14" s="1" t="inlineStr"/>
    </row>
    <row r="15">
      <c r="A15" s="1" t="inlineStr">
        <is>
          <t>SERIE “CRÍMENES MAYORES”</t>
        </is>
      </c>
      <c r="B15" s="1" t="n">
        <v>45</v>
      </c>
      <c r="C15" s="1" t="inlineStr">
        <is>
          <t>ficción</t>
        </is>
      </c>
      <c r="D15" s="1" t="inlineStr"/>
      <c r="E15" s="1">
        <f>IF(G15&lt;&gt;"",IF(ROW()=4,$I$2,F(PREVIOUS-ROW (HORA-FINAL))),"")</f>
        <v/>
      </c>
      <c r="F15" s="1">
        <f>IF(G15&lt;&gt;"",TEXT(TIMEVALUE(E15)+IFERROR(VLOOKUP(G15,$A$4:$C$15,2,FALSE),0)/1440,"hh:mm"),"")</f>
        <v/>
      </c>
      <c r="G15" s="1" t="inlineStr">
        <is>
          <t>SERIE “CRÍMENES MAYORES”</t>
        </is>
      </c>
      <c r="H15" s="1" t="inlineStr"/>
      <c r="I15" s="1" t="inlineStr"/>
    </row>
    <row r="16">
      <c r="A16" s="1" t="n"/>
      <c r="B16" s="1" t="n"/>
      <c r="C16" s="1" t="n"/>
      <c r="D16" s="1" t="n"/>
      <c r="E16" s="1">
        <f>IF(G16&lt;&gt;"",IF(ROW()=4,$I$2,F(PREVIOUS-ROW (HORA-FINAL))),"")</f>
        <v/>
      </c>
      <c r="F16" s="1">
        <f>IF(G16&lt;&gt;"",TEXT(TIMEVALUE(E16)+IFERROR(VLOOKUP(G16,$A$4:$C$15,2,FALSE),0)/1440,"hh:mm"),"")</f>
        <v/>
      </c>
      <c r="G16" s="1" t="n"/>
      <c r="H16" s="1" t="n"/>
      <c r="I16" s="1" t="n"/>
    </row>
    <row r="17">
      <c r="A17" s="1" t="n"/>
      <c r="B17" s="1" t="n"/>
      <c r="C17" s="1" t="n"/>
      <c r="D17" s="1" t="n"/>
      <c r="E17" s="1">
        <f>IF(G17&lt;&gt;"",IF(ROW()=4,$I$2,F(PREVIOUS-ROW (HORA-FINAL))),"")</f>
        <v/>
      </c>
      <c r="F17" s="1">
        <f>IF(G17&lt;&gt;"",TEXT(TIMEVALUE(E17)+IFERROR(VLOOKUP(G17,$A$4:$C$15,2,FALSE),0)/1440,"hh:mm"),"")</f>
        <v/>
      </c>
      <c r="G17" s="1" t="n"/>
      <c r="H17" s="1" t="n"/>
      <c r="I17" s="1" t="n"/>
    </row>
    <row r="18">
      <c r="A18" s="1" t="n"/>
      <c r="B18" s="1" t="n"/>
      <c r="C18" s="1" t="n"/>
      <c r="D18" s="1" t="n"/>
      <c r="E18" s="1">
        <f>IF(G18&lt;&gt;"",IF(ROW()=4,$I$2,F(PREVIOUS-ROW (HORA-FINAL))),"")</f>
        <v/>
      </c>
      <c r="F18" s="1">
        <f>IF(G18&lt;&gt;"",TEXT(TIMEVALUE(E18)+IFERROR(VLOOKUP(G18,$A$4:$C$15,2,FALSE),0)/1440,"hh:mm"),"")</f>
        <v/>
      </c>
      <c r="G18" s="1" t="n"/>
      <c r="H18" s="1" t="n"/>
      <c r="I18" s="1" t="n"/>
    </row>
  </sheetData>
  <conditionalFormatting sqref="G18">
    <cfRule type="expression" priority="1" dxfId="0" stopIfTrue="1">
      <formula>ISNA(MATCH(G18,$A$4:$C$15,0))</formula>
    </cfRule>
    <cfRule type="expression" priority="16" dxfId="1" stopIfTrue="1">
      <formula>IFERROR(VLOOKUP(G18,$A$4:$C$15,3,FALSE),0)=IFERROR(VLOOKUP(G17,$A$4:$C$15,3,FALSE),0)</formula>
    </cfRule>
  </conditionalFormatting>
  <conditionalFormatting sqref="G17">
    <cfRule type="expression" priority="2" dxfId="0" stopIfTrue="1">
      <formula>ISNA(MATCH(G17,$A$4:$C$15,0))</formula>
    </cfRule>
    <cfRule type="expression" priority="17" dxfId="1" stopIfTrue="1">
      <formula>IFERROR(VLOOKUP(G17,$A$4:$C$15,3,FALSE),0)=IFERROR(VLOOKUP(G16,$A$4:$C$15,3,FALSE),0)</formula>
    </cfRule>
  </conditionalFormatting>
  <conditionalFormatting sqref="G16">
    <cfRule type="expression" priority="3" dxfId="0" stopIfTrue="1">
      <formula>ISNA(MATCH(G16,$A$4:$C$15,0))</formula>
    </cfRule>
    <cfRule type="expression" priority="18" dxfId="1" stopIfTrue="1">
      <formula>IFERROR(VLOOKUP(G16,$A$4:$C$15,3,FALSE),0)=IFERROR(VLOOKUP(G15,$A$4:$C$15,3,FALSE),0)</formula>
    </cfRule>
  </conditionalFormatting>
  <conditionalFormatting sqref="G15">
    <cfRule type="expression" priority="4" dxfId="0" stopIfTrue="1">
      <formula>ISNA(MATCH(G15,$A$4:$C$15,0))</formula>
    </cfRule>
    <cfRule type="expression" priority="19" dxfId="1" stopIfTrue="1">
      <formula>IFERROR(VLOOKUP(G15,$A$4:$C$15,3,FALSE),0)=IFERROR(VLOOKUP(G14,$A$4:$C$15,3,FALSE),0)</formula>
    </cfRule>
  </conditionalFormatting>
  <conditionalFormatting sqref="G14">
    <cfRule type="expression" priority="5" dxfId="0" stopIfTrue="1">
      <formula>ISNA(MATCH(G14,$A$4:$C$15,0))</formula>
    </cfRule>
    <cfRule type="expression" priority="20" dxfId="1" stopIfTrue="1">
      <formula>IFERROR(VLOOKUP(G14,$A$4:$C$15,3,FALSE),0)=IFERROR(VLOOKUP(G13,$A$4:$C$15,3,FALSE),0)</formula>
    </cfRule>
  </conditionalFormatting>
  <conditionalFormatting sqref="G13">
    <cfRule type="expression" priority="6" dxfId="0" stopIfTrue="1">
      <formula>ISNA(MATCH(G13,$A$4:$C$15,0))</formula>
    </cfRule>
    <cfRule type="expression" priority="21" dxfId="1" stopIfTrue="1">
      <formula>IFERROR(VLOOKUP(G13,$A$4:$C$15,3,FALSE),0)=IFERROR(VLOOKUP(G12,$A$4:$C$15,3,FALSE),0)</formula>
    </cfRule>
  </conditionalFormatting>
  <conditionalFormatting sqref="G12">
    <cfRule type="expression" priority="7" dxfId="0" stopIfTrue="1">
      <formula>ISNA(MATCH(G12,$A$4:$C$15,0))</formula>
    </cfRule>
    <cfRule type="expression" priority="22" dxfId="1" stopIfTrue="1">
      <formula>IFERROR(VLOOKUP(G12,$A$4:$C$15,3,FALSE),0)=IFERROR(VLOOKUP(G11,$A$4:$C$15,3,FALSE),0)</formula>
    </cfRule>
  </conditionalFormatting>
  <conditionalFormatting sqref="G11">
    <cfRule type="expression" priority="8" dxfId="0" stopIfTrue="1">
      <formula>ISNA(MATCH(G11,$A$4:$C$15,0))</formula>
    </cfRule>
    <cfRule type="expression" priority="23" dxfId="1" stopIfTrue="1">
      <formula>IFERROR(VLOOKUP(G11,$A$4:$C$15,3,FALSE),0)=IFERROR(VLOOKUP(G10,$A$4:$C$15,3,FALSE),0)</formula>
    </cfRule>
  </conditionalFormatting>
  <conditionalFormatting sqref="G10">
    <cfRule type="expression" priority="9" dxfId="0" stopIfTrue="1">
      <formula>ISNA(MATCH(G10,$A$4:$C$15,0))</formula>
    </cfRule>
    <cfRule type="expression" priority="24" dxfId="1" stopIfTrue="1">
      <formula>IFERROR(VLOOKUP(G10,$A$4:$C$15,3,FALSE),0)=IFERROR(VLOOKUP(G9,$A$4:$C$15,3,FALSE),0)</formula>
    </cfRule>
  </conditionalFormatting>
  <conditionalFormatting sqref="G9">
    <cfRule type="expression" priority="10" dxfId="0" stopIfTrue="1">
      <formula>ISNA(MATCH(G9,$A$4:$C$15,0))</formula>
    </cfRule>
    <cfRule type="expression" priority="25" dxfId="1" stopIfTrue="1">
      <formula>IFERROR(VLOOKUP(G9,$A$4:$C$15,3,FALSE),0)=IFERROR(VLOOKUP(G8,$A$4:$C$15,3,FALSE),0)</formula>
    </cfRule>
  </conditionalFormatting>
  <conditionalFormatting sqref="G8">
    <cfRule type="expression" priority="11" dxfId="0" stopIfTrue="1">
      <formula>ISNA(MATCH(G8,$A$4:$C$15,0))</formula>
    </cfRule>
    <cfRule type="expression" priority="26" dxfId="1" stopIfTrue="1">
      <formula>IFERROR(VLOOKUP(G8,$A$4:$C$15,3,FALSE),0)=IFERROR(VLOOKUP(G7,$A$4:$C$15,3,FALSE),0)</formula>
    </cfRule>
  </conditionalFormatting>
  <conditionalFormatting sqref="G7">
    <cfRule type="expression" priority="12" dxfId="0" stopIfTrue="1">
      <formula>ISNA(MATCH(G7,$A$4:$C$15,0))</formula>
    </cfRule>
    <cfRule type="expression" priority="27" dxfId="1" stopIfTrue="1">
      <formula>IFERROR(VLOOKUP(G7,$A$4:$C$15,3,FALSE),0)=IFERROR(VLOOKUP(G6,$A$4:$C$15,3,FALSE),0)</formula>
    </cfRule>
  </conditionalFormatting>
  <conditionalFormatting sqref="G6">
    <cfRule type="expression" priority="13" dxfId="0" stopIfTrue="1">
      <formula>ISNA(MATCH(G6,$A$4:$C$15,0))</formula>
    </cfRule>
    <cfRule type="expression" priority="28" dxfId="1" stopIfTrue="1">
      <formula>IFERROR(VLOOKUP(G6,$A$4:$C$15,3,FALSE),0)=IFERROR(VLOOKUP(G5,$A$4:$C$15,3,FALSE),0)</formula>
    </cfRule>
  </conditionalFormatting>
  <conditionalFormatting sqref="G5">
    <cfRule type="expression" priority="14" dxfId="0" stopIfTrue="1">
      <formula>ISNA(MATCH(G5,$A$4:$C$15,0))</formula>
    </cfRule>
    <cfRule type="expression" priority="29" dxfId="1" stopIfTrue="1">
      <formula>IFERROR(VLOOKUP(G5,$A$4:$C$15,3,FALSE),0)=IFERROR(VLOOKUP(G4,$A$4:$C$15,3,FALSE),0)</formula>
    </cfRule>
  </conditionalFormatting>
  <conditionalFormatting sqref="G4">
    <cfRule type="expression" priority="15" dxfId="0" stopIfTrue="1">
      <formula>ISNA(MATCH(G4,$A$4:$C$15,0))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Sabado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IF(G4&lt;&gt;"",TEXT(TIMEVALUE(E4)+IFERROR(VLOOKUP(G4,$A$4:$C$17,2,FALSE),0)/1440,"hh:mm"),"")</f>
        <v/>
      </c>
      <c r="G4" s="1" t="inlineStr">
        <is>
          <t>EL TIEMPO Y LA MEMORIA</t>
        </is>
      </c>
      <c r="H4" s="1" t="inlineStr"/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IF(G5&lt;&gt;"",TEXT(TIMEVALUE(E5)+IFERROR(VLOOKUP(G5,$A$4:$C$17,2,FALSE),0)/1440,"hh:mm"),"")</f>
        <v/>
      </c>
      <c r="G5" s="1" t="inlineStr">
        <is>
          <t>COORDENADAS</t>
        </is>
      </c>
      <c r="H5" s="1" t="inlineStr"/>
      <c r="I5" s="1" t="inlineStr"/>
    </row>
    <row r="6">
      <c r="A6" s="1" t="inlineStr">
        <is>
          <t>CUENTAS VERDE LIMÓN</t>
        </is>
      </c>
      <c r="B6" s="1" t="n">
        <v>35</v>
      </c>
      <c r="C6" s="1" t="inlineStr">
        <is>
          <t>infantil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IF(G6&lt;&gt;"",TEXT(TIMEVALUE(E6)+IFERROR(VLOOKUP(G6,$A$4:$C$17,2,FALSE),0)/1440,"hh:mm"),"")</f>
        <v/>
      </c>
      <c r="G6" s="1" t="inlineStr">
        <is>
          <t>CUENTAS VERDE LIMÓN</t>
        </is>
      </c>
      <c r="H6" s="1" t="inlineStr"/>
      <c r="I6" s="1" t="inlineStr"/>
    </row>
    <row r="7">
      <c r="A7" s="1" t="inlineStr">
        <is>
          <t>BANDA SONORA JUVENIL</t>
        </is>
      </c>
      <c r="B7" s="1" t="n">
        <v>30</v>
      </c>
      <c r="C7" s="1" t="inlineStr">
        <is>
          <t>cine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IF(G7&lt;&gt;"",TEXT(TIMEVALUE(E7)+IFERROR(VLOOKUP(G7,$A$4:$C$17,2,FALSE),0)/1440,"hh:mm"),"")</f>
        <v/>
      </c>
      <c r="G7" s="1" t="inlineStr">
        <is>
          <t>BANDA SONORA JUVENIL</t>
        </is>
      </c>
      <c r="H7" s="1" t="inlineStr"/>
      <c r="I7" s="1" t="inlineStr"/>
    </row>
    <row r="8">
      <c r="A8" s="1" t="inlineStr">
        <is>
          <t>TRAVESÍA</t>
        </is>
      </c>
      <c r="B8" s="1" t="n">
        <v>15</v>
      </c>
      <c r="C8" s="1" t="inlineStr">
        <is>
          <t>cultural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IF(G8&lt;&gt;"",TEXT(TIMEVALUE(E8)+IFERROR(VLOOKUP(G8,$A$4:$C$17,2,FALSE),0)/1440,"hh:mm"),"")</f>
        <v/>
      </c>
      <c r="G8" s="1" t="inlineStr">
        <is>
          <t>TRAVESÍA</t>
        </is>
      </c>
      <c r="H8" s="1" t="inlineStr"/>
      <c r="I8" s="1" t="inlineStr"/>
    </row>
    <row r="9">
      <c r="A9" s="1" t="inlineStr">
        <is>
          <t>TODO POP</t>
        </is>
      </c>
      <c r="B9" s="1" t="n">
        <v>30</v>
      </c>
      <c r="C9" s="1" t="inlineStr">
        <is>
          <t>musical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IF(G9&lt;&gt;"",TEXT(TIMEVALUE(E9)+IFERROR(VLOOKUP(G9,$A$4:$C$17,2,FALSE),0)/1440,"hh:mm"),"")</f>
        <v/>
      </c>
      <c r="G9" s="1" t="inlineStr">
        <is>
          <t>TODO POP</t>
        </is>
      </c>
      <c r="H9" s="1" t="inlineStr"/>
      <c r="I9" s="1" t="inlineStr"/>
    </row>
    <row r="10">
      <c r="A10" s="1" t="inlineStr">
        <is>
          <t>SERIE JUVENIL “SABRINA, LA BRUJA ADOLESCENTE”</t>
        </is>
      </c>
      <c r="B10" s="1" t="n">
        <v>45</v>
      </c>
      <c r="C10" s="1" t="inlineStr">
        <is>
          <t>ficción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IF(G10&lt;&gt;"",TEXT(TIMEVALUE(E10)+IFERROR(VLOOKUP(G10,$A$4:$C$17,2,FALSE),0)/1440,"hh:mm"),"")</f>
        <v/>
      </c>
      <c r="G10" s="1" t="inlineStr">
        <is>
          <t>SERIE JUVENIL “SABRINA, LA BRUJA ADOLESCENTE”</t>
        </is>
      </c>
      <c r="H10" s="1" t="inlineStr"/>
      <c r="I10" s="1" t="inlineStr"/>
    </row>
    <row r="11">
      <c r="A11" s="1" t="inlineStr">
        <is>
          <t>LIBRE ACCESO</t>
        </is>
      </c>
      <c r="B11" s="1" t="n">
        <v>45</v>
      </c>
      <c r="C11" s="1" t="inlineStr">
        <is>
          <t>informativo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IF(G11&lt;&gt;"",TEXT(TIMEVALUE(E11)+IFERROR(VLOOKUP(G11,$A$4:$C$17,2,FALSE),0)/1440,"hh:mm"),"")</f>
        <v/>
      </c>
      <c r="G11" s="1" t="inlineStr">
        <is>
          <t>LIBRE ACCESO</t>
        </is>
      </c>
      <c r="H11" s="1" t="inlineStr"/>
      <c r="I11" s="1" t="inlineStr"/>
    </row>
    <row r="12">
      <c r="A12" s="1" t="inlineStr">
        <is>
          <t>JUGADA PERFECTA</t>
        </is>
      </c>
      <c r="B12" s="1" t="n">
        <v>30</v>
      </c>
      <c r="C12" s="1" t="inlineStr">
        <is>
          <t>deporte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IF(G12&lt;&gt;"",TEXT(TIMEVALUE(E12)+IFERROR(VLOOKUP(G12,$A$4:$C$17,2,FALSE),0)/1440,"hh:mm"),"")</f>
        <v/>
      </c>
      <c r="G12" s="1" t="inlineStr">
        <is>
          <t>JUGADA PERFECTA</t>
        </is>
      </c>
      <c r="H12" s="1" t="inlineStr"/>
      <c r="I12" s="1" t="inlineStr"/>
    </row>
    <row r="13">
      <c r="A13" s="1" t="inlineStr">
        <is>
          <t>QUE LA MÚSICA NO FALTE</t>
        </is>
      </c>
      <c r="B13" s="1" t="n">
        <v>15</v>
      </c>
      <c r="C13" s="1" t="inlineStr">
        <is>
          <t>musical</t>
        </is>
      </c>
      <c r="D13" s="1" t="inlineStr"/>
      <c r="E13" s="1">
        <f>IF(G13&lt;&gt;"",IF(ROW()=4,$I$2,F(PREVIOUS-ROW (HORA-FINAL))),"")</f>
        <v/>
      </c>
      <c r="F13" s="1">
        <f>IF(G13&lt;&gt;"",TEXT(TIMEVALUE(E13)+IFERROR(VLOOKUP(G13,$A$4:$C$17,2,FALSE),0)/1440,"hh:mm"),"")</f>
        <v/>
      </c>
      <c r="G13" s="1" t="inlineStr">
        <is>
          <t>QUE LA MÚSICA NO FALTE</t>
        </is>
      </c>
      <c r="H13" s="1" t="inlineStr"/>
      <c r="I13" s="1" t="inlineStr"/>
    </row>
    <row r="14">
      <c r="A14" s="1" t="inlineStr">
        <is>
          <t>COSAS DEL CINE</t>
        </is>
      </c>
      <c r="B14" s="1" t="n">
        <v>15</v>
      </c>
      <c r="C14" s="1" t="inlineStr">
        <is>
          <t>cine</t>
        </is>
      </c>
      <c r="D14" s="1" t="inlineStr"/>
      <c r="E14" s="1">
        <f>IF(G14&lt;&gt;"",IF(ROW()=4,$I$2,F(PREVIOUS-ROW (HORA-FINAL))),"")</f>
        <v/>
      </c>
      <c r="F14" s="1">
        <f>IF(G14&lt;&gt;"",TEXT(TIMEVALUE(E14)+IFERROR(VLOOKUP(G14,$A$4:$C$17,2,FALSE),0)/1440,"hh:mm"),"")</f>
        <v/>
      </c>
      <c r="G14" s="1" t="inlineStr">
        <is>
          <t>COSAS DEL CINE</t>
        </is>
      </c>
      <c r="H14" s="1" t="inlineStr"/>
      <c r="I14" s="1" t="inlineStr"/>
    </row>
    <row r="15">
      <c r="A15" s="1" t="inlineStr">
        <is>
          <t>MÚSICA HABANA</t>
        </is>
      </c>
      <c r="B15" s="1" t="n">
        <v>30</v>
      </c>
      <c r="C15" s="1" t="inlineStr">
        <is>
          <t>musical</t>
        </is>
      </c>
      <c r="D15" s="1" t="inlineStr"/>
      <c r="E15" s="1">
        <f>IF(G15&lt;&gt;"",IF(ROW()=4,$I$2,F(PREVIOUS-ROW (HORA-FINAL))),"")</f>
        <v/>
      </c>
      <c r="F15" s="1">
        <f>IF(G15&lt;&gt;"",TEXT(TIMEVALUE(E15)+IFERROR(VLOOKUP(G15,$A$4:$C$17,2,FALSE),0)/1440,"hh:mm"),"")</f>
        <v/>
      </c>
      <c r="G15" s="1" t="inlineStr">
        <is>
          <t>MÚSICA HABANA</t>
        </is>
      </c>
      <c r="H15" s="1" t="inlineStr"/>
      <c r="I15" s="1" t="inlineStr"/>
    </row>
    <row r="16">
      <c r="A16" s="1" t="inlineStr">
        <is>
          <t>X DISTANTE</t>
        </is>
      </c>
      <c r="B16" s="1" t="n">
        <v>90</v>
      </c>
      <c r="C16" s="1" t="inlineStr">
        <is>
          <t>animacion</t>
        </is>
      </c>
      <c r="D16" s="1" t="inlineStr"/>
      <c r="E16" s="1">
        <f>IF(G16&lt;&gt;"",IF(ROW()=4,$I$2,F(PREVIOUS-ROW (HORA-FINAL))),"")</f>
        <v/>
      </c>
      <c r="F16" s="1">
        <f>IF(G16&lt;&gt;"",TEXT(TIMEVALUE(E16)+IFERROR(VLOOKUP(G16,$A$4:$C$17,2,FALSE),0)/1440,"hh:mm"),"")</f>
        <v/>
      </c>
      <c r="G16" s="1" t="inlineStr">
        <is>
          <t>X DISTANTE</t>
        </is>
      </c>
      <c r="H16" s="1" t="inlineStr"/>
      <c r="I16" s="1" t="inlineStr"/>
    </row>
    <row r="17">
      <c r="A17" s="1" t="inlineStr">
        <is>
          <t>MÚSICA SI</t>
        </is>
      </c>
      <c r="B17" s="1" t="n">
        <v>90</v>
      </c>
      <c r="C17" s="1" t="inlineStr">
        <is>
          <t>musical</t>
        </is>
      </c>
      <c r="D17" s="1" t="inlineStr"/>
      <c r="E17" s="1">
        <f>IF(G17&lt;&gt;"",IF(ROW()=4,$I$2,F(PREVIOUS-ROW (HORA-FINAL))),"")</f>
        <v/>
      </c>
      <c r="F17" s="1">
        <f>IF(G17&lt;&gt;"",TEXT(TIMEVALUE(E17)+IFERROR(VLOOKUP(G17,$A$4:$C$17,2,FALSE),0)/1440,"hh:mm"),"")</f>
        <v/>
      </c>
      <c r="G17" s="1" t="inlineStr">
        <is>
          <t>MÚSICA SI</t>
        </is>
      </c>
      <c r="H17" s="1" t="inlineStr"/>
      <c r="I17" s="1" t="inlineStr"/>
    </row>
    <row r="18">
      <c r="A18" s="1" t="n"/>
      <c r="B18" s="1" t="n"/>
      <c r="C18" s="1" t="n"/>
      <c r="D18" s="1" t="n"/>
      <c r="E18" s="1">
        <f>IF(G18&lt;&gt;"",IF(ROW()=4,$I$2,F(PREVIOUS-ROW (HORA-FINAL))),"")</f>
        <v/>
      </c>
      <c r="F18" s="1">
        <f>IF(G18&lt;&gt;"",TEXT(TIMEVALUE(E18)+IFERROR(VLOOKUP(G18,$A$4:$C$17,2,FALSE),0)/1440,"hh:mm"),"")</f>
        <v/>
      </c>
      <c r="G18" s="1" t="n"/>
      <c r="H18" s="1" t="n"/>
      <c r="I18" s="1" t="n"/>
    </row>
    <row r="19">
      <c r="A19" s="1" t="n"/>
      <c r="B19" s="1" t="n"/>
      <c r="C19" s="1" t="n"/>
      <c r="D19" s="1" t="n"/>
      <c r="E19" s="1">
        <f>IF(G19&lt;&gt;"",IF(ROW()=4,$I$2,F(PREVIOUS-ROW (HORA-FINAL))),"")</f>
        <v/>
      </c>
      <c r="F19" s="1">
        <f>IF(G19&lt;&gt;"",TEXT(TIMEVALUE(E19)+IFERROR(VLOOKUP(G19,$A$4:$C$17,2,FALSE),0)/1440,"hh:mm"),"")</f>
        <v/>
      </c>
      <c r="G19" s="1" t="n"/>
      <c r="H19" s="1" t="n"/>
      <c r="I19" s="1" t="n"/>
    </row>
    <row r="20">
      <c r="A20" s="1" t="n"/>
      <c r="B20" s="1" t="n"/>
      <c r="C20" s="1" t="n"/>
      <c r="D20" s="1" t="n"/>
      <c r="E20" s="1">
        <f>IF(G20&lt;&gt;"",IF(ROW()=4,$I$2,F(PREVIOUS-ROW (HORA-FINAL))),"")</f>
        <v/>
      </c>
      <c r="F20" s="1">
        <f>IF(G20&lt;&gt;"",TEXT(TIMEVALUE(E20)+IFERROR(VLOOKUP(G20,$A$4:$C$17,2,FALSE),0)/1440,"hh:mm"),"")</f>
        <v/>
      </c>
      <c r="G20" s="1" t="n"/>
      <c r="H20" s="1" t="n"/>
      <c r="I20" s="1" t="n"/>
    </row>
  </sheetData>
  <conditionalFormatting sqref="G20">
    <cfRule type="expression" priority="1" dxfId="0" stopIfTrue="1">
      <formula>ISNA(MATCH(G20,$A$4:$C$17,0))</formula>
    </cfRule>
    <cfRule type="expression" priority="18" dxfId="1" stopIfTrue="1">
      <formula>IFERROR(VLOOKUP(G20,$A$4:$C$17,3,FALSE),0)=IFERROR(VLOOKUP(G19,$A$4:$C$17,3,FALSE),0)</formula>
    </cfRule>
  </conditionalFormatting>
  <conditionalFormatting sqref="G19">
    <cfRule type="expression" priority="2" dxfId="0" stopIfTrue="1">
      <formula>ISNA(MATCH(G19,$A$4:$C$17,0))</formula>
    </cfRule>
    <cfRule type="expression" priority="19" dxfId="1" stopIfTrue="1">
      <formula>IFERROR(VLOOKUP(G19,$A$4:$C$17,3,FALSE),0)=IFERROR(VLOOKUP(G18,$A$4:$C$17,3,FALSE),0)</formula>
    </cfRule>
  </conditionalFormatting>
  <conditionalFormatting sqref="G18">
    <cfRule type="expression" priority="3" dxfId="0" stopIfTrue="1">
      <formula>ISNA(MATCH(G18,$A$4:$C$17,0))</formula>
    </cfRule>
    <cfRule type="expression" priority="20" dxfId="1" stopIfTrue="1">
      <formula>IFERROR(VLOOKUP(G18,$A$4:$C$17,3,FALSE),0)=IFERROR(VLOOKUP(G17,$A$4:$C$17,3,FALSE),0)</formula>
    </cfRule>
  </conditionalFormatting>
  <conditionalFormatting sqref="G17">
    <cfRule type="expression" priority="4" dxfId="0" stopIfTrue="1">
      <formula>ISNA(MATCH(G17,$A$4:$C$17,0))</formula>
    </cfRule>
    <cfRule type="expression" priority="21" dxfId="1" stopIfTrue="1">
      <formula>IFERROR(VLOOKUP(G17,$A$4:$C$17,3,FALSE),0)=IFERROR(VLOOKUP(G16,$A$4:$C$17,3,FALSE),0)</formula>
    </cfRule>
  </conditionalFormatting>
  <conditionalFormatting sqref="G16">
    <cfRule type="expression" priority="5" dxfId="0" stopIfTrue="1">
      <formula>ISNA(MATCH(G16,$A$4:$C$17,0))</formula>
    </cfRule>
    <cfRule type="expression" priority="22" dxfId="1" stopIfTrue="1">
      <formula>IFERROR(VLOOKUP(G16,$A$4:$C$17,3,FALSE),0)=IFERROR(VLOOKUP(G15,$A$4:$C$17,3,FALSE),0)</formula>
    </cfRule>
  </conditionalFormatting>
  <conditionalFormatting sqref="G15">
    <cfRule type="expression" priority="6" dxfId="0" stopIfTrue="1">
      <formula>ISNA(MATCH(G15,$A$4:$C$17,0))</formula>
    </cfRule>
    <cfRule type="expression" priority="23" dxfId="1" stopIfTrue="1">
      <formula>IFERROR(VLOOKUP(G15,$A$4:$C$17,3,FALSE),0)=IFERROR(VLOOKUP(G14,$A$4:$C$17,3,FALSE),0)</formula>
    </cfRule>
  </conditionalFormatting>
  <conditionalFormatting sqref="G14">
    <cfRule type="expression" priority="7" dxfId="0" stopIfTrue="1">
      <formula>ISNA(MATCH(G14,$A$4:$C$17,0))</formula>
    </cfRule>
    <cfRule type="expression" priority="24" dxfId="1" stopIfTrue="1">
      <formula>IFERROR(VLOOKUP(G14,$A$4:$C$17,3,FALSE),0)=IFERROR(VLOOKUP(G13,$A$4:$C$17,3,FALSE),0)</formula>
    </cfRule>
  </conditionalFormatting>
  <conditionalFormatting sqref="G13">
    <cfRule type="expression" priority="8" dxfId="0" stopIfTrue="1">
      <formula>ISNA(MATCH(G13,$A$4:$C$17,0))</formula>
    </cfRule>
    <cfRule type="expression" priority="25" dxfId="1" stopIfTrue="1">
      <formula>IFERROR(VLOOKUP(G13,$A$4:$C$17,3,FALSE),0)=IFERROR(VLOOKUP(G12,$A$4:$C$17,3,FALSE),0)</formula>
    </cfRule>
  </conditionalFormatting>
  <conditionalFormatting sqref="G12">
    <cfRule type="expression" priority="9" dxfId="0" stopIfTrue="1">
      <formula>ISNA(MATCH(G12,$A$4:$C$17,0))</formula>
    </cfRule>
    <cfRule type="expression" priority="26" dxfId="1" stopIfTrue="1">
      <formula>IFERROR(VLOOKUP(G12,$A$4:$C$17,3,FALSE),0)=IFERROR(VLOOKUP(G11,$A$4:$C$17,3,FALSE),0)</formula>
    </cfRule>
  </conditionalFormatting>
  <conditionalFormatting sqref="G11">
    <cfRule type="expression" priority="10" dxfId="0" stopIfTrue="1">
      <formula>ISNA(MATCH(G11,$A$4:$C$17,0))</formula>
    </cfRule>
    <cfRule type="expression" priority="27" dxfId="1" stopIfTrue="1">
      <formula>IFERROR(VLOOKUP(G11,$A$4:$C$17,3,FALSE),0)=IFERROR(VLOOKUP(G10,$A$4:$C$17,3,FALSE),0)</formula>
    </cfRule>
  </conditionalFormatting>
  <conditionalFormatting sqref="G10">
    <cfRule type="expression" priority="11" dxfId="0" stopIfTrue="1">
      <formula>ISNA(MATCH(G10,$A$4:$C$17,0))</formula>
    </cfRule>
    <cfRule type="expression" priority="28" dxfId="1" stopIfTrue="1">
      <formula>IFERROR(VLOOKUP(G10,$A$4:$C$17,3,FALSE),0)=IFERROR(VLOOKUP(G9,$A$4:$C$17,3,FALSE),0)</formula>
    </cfRule>
  </conditionalFormatting>
  <conditionalFormatting sqref="G9">
    <cfRule type="expression" priority="12" dxfId="0" stopIfTrue="1">
      <formula>ISNA(MATCH(G9,$A$4:$C$17,0))</formula>
    </cfRule>
    <cfRule type="expression" priority="29" dxfId="1" stopIfTrue="1">
      <formula>IFERROR(VLOOKUP(G9,$A$4:$C$17,3,FALSE),0)=IFERROR(VLOOKUP(G8,$A$4:$C$17,3,FALSE),0)</formula>
    </cfRule>
  </conditionalFormatting>
  <conditionalFormatting sqref="G8">
    <cfRule type="expression" priority="13" dxfId="0" stopIfTrue="1">
      <formula>ISNA(MATCH(G8,$A$4:$C$17,0))</formula>
    </cfRule>
    <cfRule type="expression" priority="30" dxfId="1" stopIfTrue="1">
      <formula>IFERROR(VLOOKUP(G8,$A$4:$C$17,3,FALSE),0)=IFERROR(VLOOKUP(G7,$A$4:$C$17,3,FALSE),0)</formula>
    </cfRule>
  </conditionalFormatting>
  <conditionalFormatting sqref="G7">
    <cfRule type="expression" priority="14" dxfId="0" stopIfTrue="1">
      <formula>ISNA(MATCH(G7,$A$4:$C$17,0))</formula>
    </cfRule>
    <cfRule type="expression" priority="31" dxfId="1" stopIfTrue="1">
      <formula>IFERROR(VLOOKUP(G7,$A$4:$C$17,3,FALSE),0)=IFERROR(VLOOKUP(G6,$A$4:$C$17,3,FALSE),0)</formula>
    </cfRule>
  </conditionalFormatting>
  <conditionalFormatting sqref="G6">
    <cfRule type="expression" priority="15" dxfId="0" stopIfTrue="1">
      <formula>ISNA(MATCH(G6,$A$4:$C$17,0))</formula>
    </cfRule>
    <cfRule type="expression" priority="32" dxfId="1" stopIfTrue="1">
      <formula>IFERROR(VLOOKUP(G6,$A$4:$C$17,3,FALSE),0)=IFERROR(VLOOKUP(G5,$A$4:$C$17,3,FALSE),0)</formula>
    </cfRule>
  </conditionalFormatting>
  <conditionalFormatting sqref="G5">
    <cfRule type="expression" priority="16" dxfId="0" stopIfTrue="1">
      <formula>ISNA(MATCH(G5,$A$4:$C$17,0))</formula>
    </cfRule>
    <cfRule type="expression" priority="33" dxfId="1" stopIfTrue="1">
      <formula>IFERROR(VLOOKUP(G5,$A$4:$C$17,3,FALSE),0)=IFERROR(VLOOKUP(G4,$A$4:$C$17,3,FALSE),0)</formula>
    </cfRule>
  </conditionalFormatting>
  <conditionalFormatting sqref="G4">
    <cfRule type="expression" priority="17" dxfId="0" stopIfTrue="1">
      <formula>ISNA(MATCH(G4,$A$4:$C$17,0))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Domingo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02:00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(HORA-FINAL))),"")</f>
        <v/>
      </c>
      <c r="F4" s="1">
        <f>IF(G4&lt;&gt;"",TEXT(TIMEVALUE(E4)+IFERROR(VLOOKUP(G4,$A$4:$C$14,2,FALSE),0)/1440,"hh:mm"),"")</f>
        <v/>
      </c>
      <c r="G4" s="1" t="inlineStr">
        <is>
          <t>EL TIEMPO Y LA MEMORIA</t>
        </is>
      </c>
      <c r="H4" s="1" t="inlineStr"/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(HORA-FINAL))),"")</f>
        <v/>
      </c>
      <c r="F5" s="1">
        <f>IF(G5&lt;&gt;"",TEXT(TIMEVALUE(E5)+IFERROR(VLOOKUP(G5,$A$4:$C$14,2,FALSE),0)/1440,"hh:mm"),"")</f>
        <v/>
      </c>
      <c r="G5" s="1" t="inlineStr">
        <is>
          <t>COORDENADAS</t>
        </is>
      </c>
      <c r="H5" s="1" t="inlineStr"/>
      <c r="I5" s="1" t="inlineStr"/>
    </row>
    <row r="6">
      <c r="A6" s="1" t="inlineStr">
        <is>
          <t>CANAL HABANA DEPORTES</t>
        </is>
      </c>
      <c r="B6" s="1" t="n">
        <v>890</v>
      </c>
      <c r="C6" s="1" t="inlineStr">
        <is>
          <t>deporte</t>
        </is>
      </c>
      <c r="D6" s="1" t="inlineStr"/>
      <c r="E6" s="1">
        <f>IF(G6&lt;&gt;"",IF(ROW()=4,$I$2,F(PREVIOUS-ROW (HORA-FINAL))),"")</f>
        <v/>
      </c>
      <c r="F6" s="1">
        <f>IF(G6&lt;&gt;"",TEXT(TIMEVALUE(E6)+IFERROR(VLOOKUP(G6,$A$4:$C$14,2,FALSE),0)/1440,"hh:mm"),"")</f>
        <v/>
      </c>
      <c r="G6" s="1" t="inlineStr">
        <is>
          <t>CANAL HABANA DEPORTES</t>
        </is>
      </c>
      <c r="H6" s="1" t="inlineStr"/>
      <c r="I6" s="1" t="inlineStr"/>
    </row>
    <row r="7">
      <c r="A7" s="1" t="inlineStr">
        <is>
          <t>LATINOS</t>
        </is>
      </c>
      <c r="B7" s="1" t="n">
        <v>60</v>
      </c>
      <c r="C7" s="1" t="inlineStr">
        <is>
          <t>musical</t>
        </is>
      </c>
      <c r="D7" s="1" t="inlineStr"/>
      <c r="E7" s="1">
        <f>IF(G7&lt;&gt;"",IF(ROW()=4,$I$2,F(PREVIOUS-ROW (HORA-FINAL))),"")</f>
        <v/>
      </c>
      <c r="F7" s="1">
        <f>IF(G7&lt;&gt;"",TEXT(TIMEVALUE(E7)+IFERROR(VLOOKUP(G7,$A$4:$C$14,2,FALSE),0)/1440,"hh:mm"),"")</f>
        <v/>
      </c>
      <c r="G7" s="1" t="inlineStr">
        <is>
          <t>LATINOS</t>
        </is>
      </c>
      <c r="H7" s="1" t="inlineStr"/>
      <c r="I7" s="1" t="inlineStr"/>
    </row>
    <row r="8">
      <c r="A8" s="1" t="inlineStr">
        <is>
          <t>PAPEL EN BLANCO</t>
        </is>
      </c>
      <c r="B8" s="1" t="n">
        <v>30</v>
      </c>
      <c r="C8" s="1" t="inlineStr">
        <is>
          <t>cultural</t>
        </is>
      </c>
      <c r="D8" s="1" t="inlineStr"/>
      <c r="E8" s="1">
        <f>IF(G8&lt;&gt;"",IF(ROW()=4,$I$2,F(PREVIOUS-ROW (HORA-FINAL))),"")</f>
        <v/>
      </c>
      <c r="F8" s="1">
        <f>IF(G8&lt;&gt;"",TEXT(TIMEVALUE(E8)+IFERROR(VLOOKUP(G8,$A$4:$C$14,2,FALSE),0)/1440,"hh:mm"),"")</f>
        <v/>
      </c>
      <c r="G8" s="1" t="inlineStr">
        <is>
          <t>PAPEL EN BLANCO</t>
        </is>
      </c>
      <c r="H8" s="1" t="inlineStr"/>
      <c r="I8" s="1" t="inlineStr"/>
    </row>
    <row r="9">
      <c r="A9" s="1" t="inlineStr">
        <is>
          <t>ALGO ENTRE MANOS</t>
        </is>
      </c>
      <c r="B9" s="1" t="n">
        <v>30</v>
      </c>
      <c r="C9" s="1" t="inlineStr">
        <is>
          <t>cultural</t>
        </is>
      </c>
      <c r="D9" s="1" t="inlineStr"/>
      <c r="E9" s="1">
        <f>IF(G9&lt;&gt;"",IF(ROW()=4,$I$2,F(PREVIOUS-ROW (HORA-FINAL))),"")</f>
        <v/>
      </c>
      <c r="F9" s="1">
        <f>IF(G9&lt;&gt;"",TEXT(TIMEVALUE(E9)+IFERROR(VLOOKUP(G9,$A$4:$C$14,2,FALSE),0)/1440,"hh:mm"),"")</f>
        <v/>
      </c>
      <c r="G9" s="1" t="inlineStr">
        <is>
          <t>ALGO ENTRE MANOS</t>
        </is>
      </c>
      <c r="H9" s="1" t="inlineStr"/>
      <c r="I9" s="1" t="inlineStr"/>
    </row>
    <row r="10">
      <c r="A10" s="1" t="inlineStr">
        <is>
          <t>VERDE HABANA</t>
        </is>
      </c>
      <c r="B10" s="1" t="n">
        <v>15</v>
      </c>
      <c r="C10" s="1" t="inlineStr">
        <is>
          <t>documental</t>
        </is>
      </c>
      <c r="D10" s="1" t="inlineStr"/>
      <c r="E10" s="1">
        <f>IF(G10&lt;&gt;"",IF(ROW()=4,$I$2,F(PREVIOUS-ROW (HORA-FINAL))),"")</f>
        <v/>
      </c>
      <c r="F10" s="1">
        <f>IF(G10&lt;&gt;"",TEXT(TIMEVALUE(E10)+IFERROR(VLOOKUP(G10,$A$4:$C$14,2,FALSE),0)/1440,"hh:mm"),"")</f>
        <v/>
      </c>
      <c r="G10" s="1" t="inlineStr">
        <is>
          <t>VERDE HABANA</t>
        </is>
      </c>
      <c r="H10" s="1" t="inlineStr"/>
      <c r="I10" s="1" t="inlineStr"/>
    </row>
    <row r="11">
      <c r="A11" s="1" t="inlineStr">
        <is>
          <t>GEN HABANERO</t>
        </is>
      </c>
      <c r="B11" s="1" t="n">
        <v>15</v>
      </c>
      <c r="C11" s="1" t="inlineStr">
        <is>
          <t>documental</t>
        </is>
      </c>
      <c r="D11" s="1" t="inlineStr"/>
      <c r="E11" s="1">
        <f>IF(G11&lt;&gt;"",IF(ROW()=4,$I$2,F(PREVIOUS-ROW (HORA-FINAL))),"")</f>
        <v/>
      </c>
      <c r="F11" s="1">
        <f>IF(G11&lt;&gt;"",TEXT(TIMEVALUE(E11)+IFERROR(VLOOKUP(G11,$A$4:$C$14,2,FALSE),0)/1440,"hh:mm"),"")</f>
        <v/>
      </c>
      <c r="G11" s="1" t="inlineStr">
        <is>
          <t>GEN HABANERO</t>
        </is>
      </c>
      <c r="H11" s="1" t="inlineStr"/>
      <c r="I11" s="1" t="inlineStr"/>
    </row>
    <row r="12">
      <c r="A12" s="1" t="inlineStr">
        <is>
          <t>TRIANGULO DE LA CONFIANZA</t>
        </is>
      </c>
      <c r="B12" s="1" t="n">
        <v>30</v>
      </c>
      <c r="C12" s="1" t="inlineStr">
        <is>
          <t>entrevista</t>
        </is>
      </c>
      <c r="D12" s="1" t="inlineStr"/>
      <c r="E12" s="1">
        <f>IF(G12&lt;&gt;"",IF(ROW()=4,$I$2,F(PREVIOUS-ROW (HORA-FINAL))),"")</f>
        <v/>
      </c>
      <c r="F12" s="1">
        <f>IF(G12&lt;&gt;"",TEXT(TIMEVALUE(E12)+IFERROR(VLOOKUP(G12,$A$4:$C$14,2,FALSE),0)/1440,"hh:mm"),"")</f>
        <v/>
      </c>
      <c r="G12" s="1" t="inlineStr">
        <is>
          <t>TRIANGULO DE LA CONFIANZA</t>
        </is>
      </c>
      <c r="H12" s="1" t="inlineStr"/>
      <c r="I12" s="1" t="inlineStr"/>
    </row>
    <row r="13">
      <c r="A13" s="1" t="inlineStr">
        <is>
          <t>BANDA SONORA</t>
        </is>
      </c>
      <c r="B13" s="1" t="n">
        <v>30</v>
      </c>
      <c r="C13" s="1" t="inlineStr">
        <is>
          <t>musical</t>
        </is>
      </c>
      <c r="D13" s="1" t="inlineStr"/>
      <c r="E13" s="1">
        <f>IF(G13&lt;&gt;"",IF(ROW()=4,$I$2,F(PREVIOUS-ROW (HORA-FINAL))),"")</f>
        <v/>
      </c>
      <c r="F13" s="1">
        <f>IF(G13&lt;&gt;"",TEXT(TIMEVALUE(E13)+IFERROR(VLOOKUP(G13,$A$4:$C$14,2,FALSE),0)/1440,"hh:mm"),"")</f>
        <v/>
      </c>
      <c r="G13" s="1" t="inlineStr">
        <is>
          <t>BANDA SONORA</t>
        </is>
      </c>
      <c r="H13" s="1" t="inlineStr"/>
      <c r="I13" s="1" t="inlineStr"/>
    </row>
    <row r="14">
      <c r="A14" s="1" t="inlineStr">
        <is>
          <t>CINE +</t>
        </is>
      </c>
      <c r="B14" s="1" t="n">
        <v>205</v>
      </c>
      <c r="C14" s="1" t="inlineStr">
        <is>
          <t>cine</t>
        </is>
      </c>
      <c r="D14" s="1" t="inlineStr"/>
      <c r="E14" s="1">
        <f>IF(G14&lt;&gt;"",IF(ROW()=4,$I$2,F(PREVIOUS-ROW (HORA-FINAL))),"")</f>
        <v/>
      </c>
      <c r="F14" s="1">
        <f>IF(G14&lt;&gt;"",TEXT(TIMEVALUE(E14)+IFERROR(VLOOKUP(G14,$A$4:$C$14,2,FALSE),0)/1440,"hh:mm"),"")</f>
        <v/>
      </c>
      <c r="G14" s="1" t="inlineStr">
        <is>
          <t>CINE +</t>
        </is>
      </c>
      <c r="H14" s="1" t="inlineStr"/>
      <c r="I14" s="1" t="inlineStr"/>
    </row>
    <row r="15">
      <c r="A15" s="1" t="n"/>
      <c r="B15" s="1" t="n"/>
      <c r="C15" s="1" t="n"/>
      <c r="D15" s="1" t="n"/>
      <c r="E15" s="1">
        <f>IF(G15&lt;&gt;"",IF(ROW()=4,$I$2,F(PREVIOUS-ROW (HORA-FINAL))),"")</f>
        <v/>
      </c>
      <c r="F15" s="1">
        <f>IF(G15&lt;&gt;"",TEXT(TIMEVALUE(E15)+IFERROR(VLOOKUP(G15,$A$4:$C$14,2,FALSE),0)/1440,"hh:mm"),"")</f>
        <v/>
      </c>
      <c r="G15" s="1" t="n"/>
      <c r="H15" s="1" t="n"/>
      <c r="I15" s="1" t="n"/>
    </row>
    <row r="16">
      <c r="A16" s="1" t="n"/>
      <c r="B16" s="1" t="n"/>
      <c r="C16" s="1" t="n"/>
      <c r="D16" s="1" t="n"/>
      <c r="E16" s="1">
        <f>IF(G16&lt;&gt;"",IF(ROW()=4,$I$2,F(PREVIOUS-ROW (HORA-FINAL))),"")</f>
        <v/>
      </c>
      <c r="F16" s="1">
        <f>IF(G16&lt;&gt;"",TEXT(TIMEVALUE(E16)+IFERROR(VLOOKUP(G16,$A$4:$C$14,2,FALSE),0)/1440,"hh:mm"),"")</f>
        <v/>
      </c>
      <c r="G16" s="1" t="n"/>
      <c r="H16" s="1" t="n"/>
      <c r="I16" s="1" t="n"/>
    </row>
    <row r="17">
      <c r="A17" s="1" t="n"/>
      <c r="B17" s="1" t="n"/>
      <c r="C17" s="1" t="n"/>
      <c r="D17" s="1" t="n"/>
      <c r="E17" s="1">
        <f>IF(G17&lt;&gt;"",IF(ROW()=4,$I$2,F(PREVIOUS-ROW (HORA-FINAL))),"")</f>
        <v/>
      </c>
      <c r="F17" s="1">
        <f>IF(G17&lt;&gt;"",TEXT(TIMEVALUE(E17)+IFERROR(VLOOKUP(G17,$A$4:$C$14,2,FALSE),0)/1440,"hh:mm"),"")</f>
        <v/>
      </c>
      <c r="G17" s="1" t="n"/>
      <c r="H17" s="1" t="n"/>
      <c r="I17" s="1" t="n"/>
    </row>
  </sheetData>
  <conditionalFormatting sqref="G17">
    <cfRule type="expression" priority="1" dxfId="0" stopIfTrue="1">
      <formula>ISNA(MATCH(G17,$A$4:$C$14,0))</formula>
    </cfRule>
    <cfRule type="expression" priority="15" dxfId="1" stopIfTrue="1">
      <formula>IFERROR(VLOOKUP(G17,$A$4:$C$14,3,FALSE),0)=IFERROR(VLOOKUP(G16,$A$4:$C$14,3,FALSE),0)</formula>
    </cfRule>
  </conditionalFormatting>
  <conditionalFormatting sqref="G16">
    <cfRule type="expression" priority="2" dxfId="0" stopIfTrue="1">
      <formula>ISNA(MATCH(G16,$A$4:$C$14,0))</formula>
    </cfRule>
    <cfRule type="expression" priority="16" dxfId="1" stopIfTrue="1">
      <formula>IFERROR(VLOOKUP(G16,$A$4:$C$14,3,FALSE),0)=IFERROR(VLOOKUP(G15,$A$4:$C$14,3,FALSE),0)</formula>
    </cfRule>
  </conditionalFormatting>
  <conditionalFormatting sqref="G15">
    <cfRule type="expression" priority="3" dxfId="0" stopIfTrue="1">
      <formula>ISNA(MATCH(G15,$A$4:$C$14,0))</formula>
    </cfRule>
    <cfRule type="expression" priority="17" dxfId="1" stopIfTrue="1">
      <formula>IFERROR(VLOOKUP(G15,$A$4:$C$14,3,FALSE),0)=IFERROR(VLOOKUP(G14,$A$4:$C$14,3,FALSE),0)</formula>
    </cfRule>
  </conditionalFormatting>
  <conditionalFormatting sqref="G14">
    <cfRule type="expression" priority="4" dxfId="0" stopIfTrue="1">
      <formula>ISNA(MATCH(G14,$A$4:$C$14,0))</formula>
    </cfRule>
    <cfRule type="expression" priority="18" dxfId="1" stopIfTrue="1">
      <formula>IFERROR(VLOOKUP(G14,$A$4:$C$14,3,FALSE),0)=IFERROR(VLOOKUP(G13,$A$4:$C$14,3,FALSE),0)</formula>
    </cfRule>
  </conditionalFormatting>
  <conditionalFormatting sqref="G13">
    <cfRule type="expression" priority="5" dxfId="0" stopIfTrue="1">
      <formula>ISNA(MATCH(G13,$A$4:$C$14,0))</formula>
    </cfRule>
    <cfRule type="expression" priority="19" dxfId="1" stopIfTrue="1">
      <formula>IFERROR(VLOOKUP(G13,$A$4:$C$14,3,FALSE),0)=IFERROR(VLOOKUP(G12,$A$4:$C$14,3,FALSE),0)</formula>
    </cfRule>
  </conditionalFormatting>
  <conditionalFormatting sqref="G12">
    <cfRule type="expression" priority="6" dxfId="0" stopIfTrue="1">
      <formula>ISNA(MATCH(G12,$A$4:$C$14,0))</formula>
    </cfRule>
    <cfRule type="expression" priority="20" dxfId="1" stopIfTrue="1">
      <formula>IFERROR(VLOOKUP(G12,$A$4:$C$14,3,FALSE),0)=IFERROR(VLOOKUP(G11,$A$4:$C$14,3,FALSE),0)</formula>
    </cfRule>
  </conditionalFormatting>
  <conditionalFormatting sqref="G11">
    <cfRule type="expression" priority="7" dxfId="0" stopIfTrue="1">
      <formula>ISNA(MATCH(G11,$A$4:$C$14,0))</formula>
    </cfRule>
    <cfRule type="expression" priority="21" dxfId="1" stopIfTrue="1">
      <formula>IFERROR(VLOOKUP(G11,$A$4:$C$14,3,FALSE),0)=IFERROR(VLOOKUP(G10,$A$4:$C$14,3,FALSE),0)</formula>
    </cfRule>
  </conditionalFormatting>
  <conditionalFormatting sqref="G10">
    <cfRule type="expression" priority="8" dxfId="0" stopIfTrue="1">
      <formula>ISNA(MATCH(G10,$A$4:$C$14,0))</formula>
    </cfRule>
    <cfRule type="expression" priority="22" dxfId="1" stopIfTrue="1">
      <formula>IFERROR(VLOOKUP(G10,$A$4:$C$14,3,FALSE),0)=IFERROR(VLOOKUP(G9,$A$4:$C$14,3,FALSE),0)</formula>
    </cfRule>
  </conditionalFormatting>
  <conditionalFormatting sqref="G9">
    <cfRule type="expression" priority="9" dxfId="0" stopIfTrue="1">
      <formula>ISNA(MATCH(G9,$A$4:$C$14,0))</formula>
    </cfRule>
    <cfRule type="expression" priority="23" dxfId="1" stopIfTrue="1">
      <formula>IFERROR(VLOOKUP(G9,$A$4:$C$14,3,FALSE),0)=IFERROR(VLOOKUP(G8,$A$4:$C$14,3,FALSE),0)</formula>
    </cfRule>
  </conditionalFormatting>
  <conditionalFormatting sqref="G8">
    <cfRule type="expression" priority="10" dxfId="0" stopIfTrue="1">
      <formula>ISNA(MATCH(G8,$A$4:$C$14,0))</formula>
    </cfRule>
    <cfRule type="expression" priority="24" dxfId="1" stopIfTrue="1">
      <formula>IFERROR(VLOOKUP(G8,$A$4:$C$14,3,FALSE),0)=IFERROR(VLOOKUP(G7,$A$4:$C$14,3,FALSE),0)</formula>
    </cfRule>
  </conditionalFormatting>
  <conditionalFormatting sqref="G7">
    <cfRule type="expression" priority="11" dxfId="0" stopIfTrue="1">
      <formula>ISNA(MATCH(G7,$A$4:$C$14,0))</formula>
    </cfRule>
    <cfRule type="expression" priority="25" dxfId="1" stopIfTrue="1">
      <formula>IFERROR(VLOOKUP(G7,$A$4:$C$14,3,FALSE),0)=IFERROR(VLOOKUP(G6,$A$4:$C$14,3,FALSE),0)</formula>
    </cfRule>
  </conditionalFormatting>
  <conditionalFormatting sqref="G6">
    <cfRule type="expression" priority="12" dxfId="0" stopIfTrue="1">
      <formula>ISNA(MATCH(G6,$A$4:$C$14,0))</formula>
    </cfRule>
    <cfRule type="expression" priority="26" dxfId="1" stopIfTrue="1">
      <formula>IFERROR(VLOOKUP(G6,$A$4:$C$14,3,FALSE),0)=IFERROR(VLOOKUP(G5,$A$4:$C$14,3,FALSE),0)</formula>
    </cfRule>
  </conditionalFormatting>
  <conditionalFormatting sqref="G5">
    <cfRule type="expression" priority="13" dxfId="0" stopIfTrue="1">
      <formula>ISNA(MATCH(G5,$A$4:$C$14,0))</formula>
    </cfRule>
    <cfRule type="expression" priority="27" dxfId="1" stopIfTrue="1">
      <formula>IFERROR(VLOOKUP(G5,$A$4:$C$14,3,FALSE),0)=IFERROR(VLOOKUP(G4,$A$4:$C$14,3,FALSE),0)</formula>
    </cfRule>
  </conditionalFormatting>
  <conditionalFormatting sqref="G4">
    <cfRule type="expression" priority="14" dxfId="0" stopIfTrue="1">
      <formula>ISNA(MATCH(G4,$A$4:$C$14,0))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36" customWidth="1" min="6" max="6"/>
    <col width="28" customWidth="1" min="7" max="7"/>
  </cols>
  <sheetData>
    <row r="1">
      <c r="A1" s="1" t="inlineStr">
        <is>
          <t>Día</t>
        </is>
      </c>
      <c r="B1" s="1" t="inlineStr">
        <is>
          <t>Programas</t>
        </is>
      </c>
      <c r="C1" s="1" t="inlineStr">
        <is>
          <t>Minutos</t>
        </is>
      </c>
      <c r="D1" s="1" t="inlineStr">
        <is>
          <t>Inicio</t>
        </is>
      </c>
      <c r="E1" s="1" t="inlineStr">
        <is>
          <t>Fin</t>
        </is>
      </c>
      <c r="F1" s="1" t="n"/>
      <c r="G1" s="1" t="n"/>
    </row>
    <row r="2">
      <c r="A2" s="1" t="inlineStr">
        <is>
          <t>Lunes</t>
        </is>
      </c>
      <c r="B2" s="1" t="n">
        <v>17</v>
      </c>
      <c r="C2" s="1" t="n">
        <v>480</v>
      </c>
      <c r="D2" s="1" t="inlineStr">
        <is>
          <t>16:00</t>
        </is>
      </c>
      <c r="E2" s="1" t="inlineStr">
        <is>
          <t>00:00</t>
        </is>
      </c>
      <c r="F2" s="1" t="n"/>
      <c r="G2" s="1" t="n"/>
    </row>
    <row r="3">
      <c r="A3" s="1" t="inlineStr">
        <is>
          <t>Martes</t>
        </is>
      </c>
      <c r="B3" s="1" t="n">
        <v>9</v>
      </c>
      <c r="C3" s="1" t="n">
        <v>270</v>
      </c>
      <c r="D3" s="1" t="inlineStr">
        <is>
          <t>19:30</t>
        </is>
      </c>
      <c r="E3" s="1" t="inlineStr">
        <is>
          <t>00:00</t>
        </is>
      </c>
      <c r="F3" s="1" t="n"/>
      <c r="G3" s="1" t="n"/>
    </row>
    <row r="4">
      <c r="A4" s="1" t="inlineStr">
        <is>
          <t>Miercoles</t>
        </is>
      </c>
      <c r="B4" s="1" t="n">
        <v>7</v>
      </c>
      <c r="C4" s="1" t="n">
        <v>242</v>
      </c>
      <c r="D4" s="1" t="inlineStr">
        <is>
          <t>19:45</t>
        </is>
      </c>
      <c r="E4" s="1" t="inlineStr">
        <is>
          <t>23:47</t>
        </is>
      </c>
      <c r="F4" s="1" t="n"/>
      <c r="G4" s="1" t="n"/>
    </row>
    <row r="5">
      <c r="A5" s="1" t="inlineStr">
        <is>
          <t>Jueves</t>
        </is>
      </c>
      <c r="B5" s="1" t="n">
        <v>18</v>
      </c>
      <c r="C5" s="1" t="n">
        <v>480</v>
      </c>
      <c r="D5" s="1" t="inlineStr">
        <is>
          <t>16:00</t>
        </is>
      </c>
      <c r="E5" s="1" t="inlineStr">
        <is>
          <t>00:00</t>
        </is>
      </c>
      <c r="F5" s="1" t="n"/>
      <c r="G5" s="1" t="n"/>
    </row>
    <row r="6">
      <c r="A6" s="1" t="inlineStr">
        <is>
          <t>Viernes</t>
        </is>
      </c>
      <c r="B6" s="1" t="n">
        <v>12</v>
      </c>
      <c r="C6" s="1" t="n">
        <v>450</v>
      </c>
      <c r="D6" s="1" t="inlineStr">
        <is>
          <t>16:30</t>
        </is>
      </c>
      <c r="E6" s="1" t="inlineStr">
        <is>
          <t>00:00</t>
        </is>
      </c>
      <c r="F6" s="1" t="n"/>
      <c r="G6" s="1" t="n"/>
    </row>
    <row r="7">
      <c r="A7" s="1" t="inlineStr">
        <is>
          <t>Sabado</t>
        </is>
      </c>
      <c r="B7" s="1" t="n">
        <v>14</v>
      </c>
      <c r="C7" s="1" t="n">
        <v>480</v>
      </c>
      <c r="D7" s="1" t="inlineStr">
        <is>
          <t>16:00</t>
        </is>
      </c>
      <c r="E7" s="1" t="inlineStr">
        <is>
          <t>00:00</t>
        </is>
      </c>
      <c r="F7" s="1" t="n"/>
      <c r="G7" s="1" t="n"/>
    </row>
    <row r="8">
      <c r="A8" s="1" t="inlineStr">
        <is>
          <t>Domingo</t>
        </is>
      </c>
      <c r="B8" s="1" t="n">
        <v>11</v>
      </c>
      <c r="C8" s="1" t="n">
        <v>1315</v>
      </c>
      <c r="D8" s="1" t="inlineStr">
        <is>
          <t>02:00</t>
        </is>
      </c>
      <c r="E8" s="1" t="inlineStr">
        <is>
          <t>23:55</t>
        </is>
      </c>
      <c r="F8" s="1" t="n"/>
      <c r="G8" s="1" t="n"/>
    </row>
    <row r="9">
      <c r="A9" s="1" t="inlineStr">
        <is>
          <t>TOTAL</t>
        </is>
      </c>
      <c r="B9" s="1" t="n">
        <v>88</v>
      </c>
      <c r="C9" s="1" t="n">
        <v>3717</v>
      </c>
      <c r="D9" s="1" t="inlineStr"/>
      <c r="E9" s="1" t="inlineStr"/>
      <c r="F9" s="1" t="inlineStr"/>
      <c r="G9" s="1" t="inlineStr"/>
      <c r="H9" t="inlineStr">
        <is>
          <t>Canal Habana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2026-05-30T05:00:00Z</dcterms:created>
  <dcterms:modified xmlns:dcterms="http://purl.org/dc/terms/" xmlns:xsi="http://www.w3.org/2001/XMLSchema-instance" xsi:type="dcterms:W3CDTF">2026-05-30T05:00:00Z</dcterms:modified>
</cp:coreProperties>
</file>