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ns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ck">
        <color rgb="FF4F81BD"/>
      </left>
      <right style="thick">
        <color rgb="FF4F81BD"/>
      </right>
      <top style="thick">
        <color rgb="FF4F81BD"/>
      </top>
      <bottom style="thick">
        <color rgb="FF4F81BD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FF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1" max="11"/>
    <col width="10" customWidth="1" min="12" max="12"/>
    <col width="10" customWidth="1" min="13" max="13"/>
  </cols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Estudiante</t>
        </is>
      </c>
      <c r="B3" t="inlineStr">
        <is>
          <t>Tutor</t>
        </is>
      </c>
      <c r="C3" t="inlineStr">
        <is>
          <t>Oponente</t>
        </is>
      </c>
      <c r="D3" t="inlineStr">
        <is>
          <t>Presidente</t>
        </is>
      </c>
      <c r="E3" t="inlineStr">
        <is>
          <t>Vocal</t>
        </is>
      </c>
      <c r="F3" t="inlineStr">
        <is>
          <t>Secretario</t>
        </is>
      </c>
      <c r="G3" t="inlineStr">
        <is>
          <t>Dia</t>
        </is>
      </c>
      <c r="H3" t="inlineStr">
        <is>
          <t>Hora</t>
        </is>
      </c>
      <c r="I3" t="inlineStr">
        <is>
          <t>Local</t>
        </is>
      </c>
      <c r="J3" t="inlineStr"/>
      <c r="K3" t="inlineStr">
        <is>
          <t>Nombre</t>
        </is>
      </c>
      <c r="L3" t="inlineStr">
        <is>
          <t>Grado</t>
        </is>
      </c>
      <c r="M3" t="inlineStr">
        <is>
          <t>Defensas</t>
        </is>
      </c>
      <c r="N3" t="inlineStr"/>
    </row>
    <row r="4">
      <c r="A4" s="1" t="inlineStr">
        <is>
          <t>Juan Diaz</t>
        </is>
      </c>
      <c r="B4" s="1" t="inlineStr">
        <is>
          <t>Piad</t>
        </is>
      </c>
      <c r="C4" s="1" t="inlineStr">
        <is>
          <t>Garcia</t>
        </is>
      </c>
      <c r="D4" s="1" t="inlineStr">
        <is>
          <t>Lopez</t>
        </is>
      </c>
      <c r="E4" s="1" t="inlineStr">
        <is>
          <t>Torres</t>
        </is>
      </c>
      <c r="F4" s="1" t="inlineStr">
        <is>
          <t>Ruiz</t>
        </is>
      </c>
      <c r="G4" s="1" t="inlineStr">
        <is>
          <t>Lunes</t>
        </is>
      </c>
      <c r="H4" s="1" t="inlineStr">
        <is>
          <t>10:00</t>
        </is>
      </c>
      <c r="I4" s="1" t="inlineStr">
        <is>
          <t>Aula 1</t>
        </is>
      </c>
      <c r="J4" t="inlineStr"/>
      <c r="K4" s="1" t="inlineStr">
        <is>
          <t>Piad</t>
        </is>
      </c>
      <c r="L4" s="1" t="inlineStr">
        <is>
          <t>Dr</t>
        </is>
      </c>
      <c r="M4" s="1">
        <f>COUNTIF($B$4:$F$6,K4)</f>
        <v/>
      </c>
      <c r="N4" t="inlineStr"/>
    </row>
    <row r="5">
      <c r="A5" s="1" t="inlineStr">
        <is>
          <t>Maria Vega</t>
        </is>
      </c>
      <c r="B5" s="1" t="inlineStr">
        <is>
          <t>Garcia</t>
        </is>
      </c>
      <c r="C5" s="1" t="inlineStr">
        <is>
          <t>Lopez</t>
        </is>
      </c>
      <c r="D5" s="1" t="inlineStr">
        <is>
          <t>Piad</t>
        </is>
      </c>
      <c r="E5" s="1" t="inlineStr">
        <is>
          <t>Soto</t>
        </is>
      </c>
      <c r="F5" s="1" t="inlineStr">
        <is>
          <t>Torres</t>
        </is>
      </c>
      <c r="G5" s="1" t="inlineStr">
        <is>
          <t>Lunes</t>
        </is>
      </c>
      <c r="H5" s="1" t="inlineStr">
        <is>
          <t>14:00</t>
        </is>
      </c>
      <c r="I5" s="1" t="inlineStr">
        <is>
          <t>Aula 2</t>
        </is>
      </c>
      <c r="J5" t="inlineStr"/>
      <c r="K5" s="1" t="inlineStr">
        <is>
          <t>Garcia</t>
        </is>
      </c>
      <c r="L5" s="1" t="inlineStr">
        <is>
          <t>Dr</t>
        </is>
      </c>
      <c r="M5" s="1">
        <f>COUNTIF($B$4:$F$6,K5)</f>
        <v/>
      </c>
      <c r="N5" t="inlineStr"/>
    </row>
    <row r="6">
      <c r="A6" s="1" t="inlineStr">
        <is>
          <t>Luis Mora</t>
        </is>
      </c>
      <c r="B6" s="1" t="inlineStr">
        <is>
          <t>Lopez</t>
        </is>
      </c>
      <c r="C6" s="1" t="inlineStr">
        <is>
          <t>Torres</t>
        </is>
      </c>
      <c r="D6" s="1" t="inlineStr">
        <is>
          <t>Garcia</t>
        </is>
      </c>
      <c r="E6" s="1" t="inlineStr">
        <is>
          <t>Ruiz</t>
        </is>
      </c>
      <c r="F6" s="1" t="inlineStr">
        <is>
          <t>Soto</t>
        </is>
      </c>
      <c r="G6" s="1" t="inlineStr">
        <is>
          <t>Lunes</t>
        </is>
      </c>
      <c r="H6" s="1" t="inlineStr">
        <is>
          <t>10:00</t>
        </is>
      </c>
      <c r="I6" s="1" t="inlineStr">
        <is>
          <t>Aula 3</t>
        </is>
      </c>
      <c r="J6" t="inlineStr"/>
      <c r="K6" s="1" t="inlineStr">
        <is>
          <t>Lopez</t>
        </is>
      </c>
      <c r="L6" s="1" t="inlineStr">
        <is>
          <t>Msc</t>
        </is>
      </c>
      <c r="M6" s="1">
        <f>COUNTIF($B$4:$F$6,K6)</f>
        <v/>
      </c>
      <c r="N6" t="inlineStr"/>
    </row>
    <row r="7">
      <c r="A7">
        <f>"Total defensas:"</f>
        <v/>
      </c>
      <c r="B7">
        <f>COUNTA($A$4:$A$6)</f>
        <v/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s="1" t="inlineStr">
        <is>
          <t>Torres</t>
        </is>
      </c>
      <c r="L7" s="1" t="inlineStr">
        <is>
          <t>Msc</t>
        </is>
      </c>
      <c r="M7" s="1">
        <f>COUNTIF($B$4:$F$6,K7)</f>
        <v/>
      </c>
      <c r="N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s="1" t="inlineStr">
        <is>
          <t>Ruiz</t>
        </is>
      </c>
      <c r="L8" s="1" t="inlineStr">
        <is>
          <t>Lic</t>
        </is>
      </c>
      <c r="M8" s="1">
        <f>COUNTIF($B$4:$F$6,K8)</f>
        <v/>
      </c>
      <c r="N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s="1" t="inlineStr">
        <is>
          <t>Soto</t>
        </is>
      </c>
      <c r="L9" s="1" t="inlineStr">
        <is>
          <t>Msc</t>
        </is>
      </c>
      <c r="M9" s="1">
        <f>COUNTIF($B$4:$F$6,K9)</f>
        <v/>
      </c>
      <c r="N9" t="inlineStr"/>
    </row>
    <row r="10">
      <c r="K10">
        <f>"Total profesores:"</f>
        <v/>
      </c>
      <c r="M10">
        <f>SUM($M$4:$M$9)</f>
        <v/>
      </c>
    </row>
  </sheetData>
  <conditionalFormatting sqref="K4:K9">
    <cfRule type="expression" priority="1" dxfId="0" stopIfTrue="0">
      <formula>SUMPRODUCT((($B$4:$B$6=$K4)+($C$4:$C$6=$K4)+($D$4:$D$6=$K4)+($E$4:$E$6=$K4)+($F$4:$F$6=$K4))*(COUNTIFS($G$4:$G$6,$G$4:$G$6,$H$4:$H$6,$H$4:$H$6)&gt;1))&gt;0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2026-06-07T20:04:44Z</dcterms:created>
  <dcterms:modified xmlns:dcterms="http://purl.org/dc/terms/" xmlns:xsi="http://www.w3.org/2001/XMLSchema-instance" xsi:type="dcterms:W3CDTF">2026-06-07T20:04:44Z</dcterms:modified>
</cp:coreProperties>
</file>