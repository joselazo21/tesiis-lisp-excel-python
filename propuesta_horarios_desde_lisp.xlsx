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D311" sheetId="3" state="visible" r:id="rId3"/>
    <sheet xmlns:r="http://schemas.openxmlformats.org/officeDocument/2006/relationships" name="D411" sheetId="4" state="visible" r:id="rId4"/>
    <sheet xmlns:r="http://schemas.openxmlformats.org/officeDocument/2006/relationships" name="C111" sheetId="5" state="visible" r:id="rId5"/>
    <sheet xmlns:r="http://schemas.openxmlformats.org/officeDocument/2006/relationships" name="C121" sheetId="6" state="visible" r:id="rId6"/>
    <sheet xmlns:r="http://schemas.openxmlformats.org/officeDocument/2006/relationships" name="C122" sheetId="7" state="visible" r:id="rId7"/>
    <sheet xmlns:r="http://schemas.openxmlformats.org/officeDocument/2006/relationships" name="C211" sheetId="8" state="visible" r:id="rId8"/>
    <sheet xmlns:r="http://schemas.openxmlformats.org/officeDocument/2006/relationships" name="C212" sheetId="9" state="visible" r:id="rId9"/>
    <sheet xmlns:r="http://schemas.openxmlformats.org/officeDocument/2006/relationships" name="C311" sheetId="10" state="visible" r:id="rId10"/>
    <sheet xmlns:r="http://schemas.openxmlformats.org/officeDocument/2006/relationships" name="C312" sheetId="11" state="visible" r:id="rId11"/>
    <sheet xmlns:r="http://schemas.openxmlformats.org/officeDocument/2006/relationships" name="C411" sheetId="12" state="visible" r:id="rId12"/>
    <sheet xmlns:r="http://schemas.openxmlformats.org/officeDocument/2006/relationships" name="C412" sheetId="13" state="visible" r:id="rId13"/>
    <sheet xmlns:r="http://schemas.openxmlformats.org/officeDocument/2006/relationships" name="M111" sheetId="14" state="visible" r:id="rId14"/>
    <sheet xmlns:r="http://schemas.openxmlformats.org/officeDocument/2006/relationships" name="M211" sheetId="15" state="visible" r:id="rId15"/>
    <sheet xmlns:r="http://schemas.openxmlformats.org/officeDocument/2006/relationships" name="M311" sheetId="16" state="visible" r:id="rId16"/>
    <sheet xmlns:r="http://schemas.openxmlformats.org/officeDocument/2006/relationships" name="M411" sheetId="17" state="visible" r:id="rId17"/>
    <sheet xmlns:r="http://schemas.openxmlformats.org/officeDocument/2006/relationships" name="Au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3" borderId="2" pivotButton="0" quotePrefix="0" xfId="0"/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4" borderId="8" pivotButton="0" quotePrefix="0" xfId="0"/>
    <xf numFmtId="0" fontId="0" fillId="0" borderId="8" pivotButton="0" quotePrefix="0" xfId="0"/>
  </cellXfs>
  <cellStyles count="1">
    <cellStyle name="Normal" xfId="0" builtinId="0" hidden="0"/>
  </cellStyles>
  <dxfs count="6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F</t>
        </is>
      </c>
      <c r="D4" s="4" t="inlineStr">
        <is>
          <t>ICD</t>
        </is>
      </c>
      <c r="E4" s="4" t="inlineStr">
        <is>
          <t>AL</t>
        </is>
      </c>
      <c r="F4" s="4" t="inlineStr">
        <is>
          <t>AM I</t>
        </is>
      </c>
      <c r="G4" s="4" t="inlineStr">
        <is>
          <t>AL</t>
        </is>
      </c>
      <c r="H4" t="inlineStr"/>
      <c r="I4" s="2" t="inlineStr">
        <is>
          <t>AL</t>
        </is>
      </c>
      <c r="J4" s="1" t="inlineStr">
        <is>
          <t>Álgebra Lineal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6*</t>
        </is>
      </c>
    </row>
    <row r="5">
      <c r="A5" t="inlineStr"/>
      <c r="B5" s="5" t="n"/>
      <c r="C5" s="6" t="inlineStr">
        <is>
          <t>Aula 8</t>
        </is>
      </c>
      <c r="D5" s="6" t="inlineStr">
        <is>
          <t>Aula 7</t>
        </is>
      </c>
      <c r="E5" s="6" t="inlineStr">
        <is>
          <t>Aula 7*</t>
        </is>
      </c>
      <c r="F5" s="6" t="inlineStr">
        <is>
          <t>Aula 7*</t>
        </is>
      </c>
      <c r="G5" s="6" t="inlineStr">
        <is>
          <t>Aula 7*</t>
        </is>
      </c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7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IP</t>
        </is>
      </c>
      <c r="J6" s="1" t="inlineStr">
        <is>
          <t>Introducción a la Programación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s="1" t="inlineStr">
        <is>
          <t>Aula 7*</t>
        </is>
      </c>
    </row>
    <row r="7">
      <c r="A7" t="inlineStr"/>
      <c r="B7" s="3" t="inlineStr">
        <is>
          <t>Turno 2</t>
        </is>
      </c>
      <c r="C7" s="4" t="inlineStr">
        <is>
          <t>L</t>
        </is>
      </c>
      <c r="D7" s="4" t="inlineStr">
        <is>
          <t>AL</t>
        </is>
      </c>
      <c r="E7" s="4" t="inlineStr">
        <is>
          <t>EF</t>
        </is>
      </c>
      <c r="F7" s="4" t="inlineStr">
        <is>
          <t>L</t>
        </is>
      </c>
      <c r="G7" s="4" t="inlineStr"/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s="1" t="inlineStr">
        <is>
          <t>Aula 8</t>
        </is>
      </c>
    </row>
    <row r="8">
      <c r="A8" t="inlineStr"/>
      <c r="B8" s="5" t="n"/>
      <c r="C8" s="6" t="inlineStr">
        <is>
          <t>Aula 6*</t>
        </is>
      </c>
      <c r="D8" s="6" t="inlineStr">
        <is>
          <t>Aula 6*</t>
        </is>
      </c>
      <c r="E8" s="6" t="inlineStr">
        <is>
          <t>SEDER</t>
        </is>
      </c>
      <c r="F8" s="6" t="inlineStr">
        <is>
          <t>Aula 7</t>
        </is>
      </c>
      <c r="G8" s="6" t="inlineStr"/>
      <c r="H8" t="inlineStr"/>
      <c r="I8" s="2" t="inlineStr">
        <is>
          <t>ICD</t>
        </is>
      </c>
      <c r="J8" s="1" t="inlineStr">
        <is>
          <t>Introducción a la Ciencia de Datos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s="1" t="inlineStr">
        <is>
          <t>Lab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F</t>
        </is>
      </c>
      <c r="J9" s="1" t="inlineStr">
        <is>
          <t>Filosofía</t>
        </is>
      </c>
      <c r="K9" s="1" t="n">
        <v>2</v>
      </c>
      <c r="L9" s="1">
        <f>K9-M9</f>
        <v/>
      </c>
      <c r="M9" s="1">
        <f>COUNTIF(C4:G22,I9)</f>
        <v/>
      </c>
      <c r="N9" t="inlineStr">
        <is>
          <t>Total:</t>
        </is>
      </c>
      <c r="O9">
        <f>COUNTA(O4:O8)</f>
        <v/>
      </c>
    </row>
    <row r="10">
      <c r="A10" t="inlineStr"/>
      <c r="B10" s="3" t="inlineStr">
        <is>
          <t>Turno 3</t>
        </is>
      </c>
      <c r="C10" s="4" t="inlineStr">
        <is>
          <t>IP</t>
        </is>
      </c>
      <c r="D10" s="4" t="inlineStr">
        <is>
          <t>AM I</t>
        </is>
      </c>
      <c r="E10" s="4" t="inlineStr">
        <is>
          <t>AM I</t>
        </is>
      </c>
      <c r="F10" s="4" t="inlineStr">
        <is>
          <t>IP</t>
        </is>
      </c>
      <c r="G10" s="4" t="inlineStr"/>
      <c r="H10" t="inlineStr"/>
      <c r="I10" s="2" t="inlineStr">
        <is>
          <t>EF</t>
        </is>
      </c>
      <c r="J10" s="1" t="inlineStr">
        <is>
          <t>Educación Física I</t>
        </is>
      </c>
      <c r="K10" s="1" t="n">
        <v>2</v>
      </c>
      <c r="L10" s="1">
        <f>K10-M10</f>
        <v/>
      </c>
      <c r="M10" s="1">
        <f>COUNTIF(C4:G22,I10)</f>
        <v/>
      </c>
      <c r="N10" t="inlineStr"/>
      <c r="O10" t="inlineStr"/>
    </row>
    <row r="11">
      <c r="A11" t="inlineStr"/>
      <c r="B11" s="5" t="n"/>
      <c r="C11" s="6" t="inlineStr">
        <is>
          <t>Aula 7</t>
        </is>
      </c>
      <c r="D11" s="6" t="inlineStr">
        <is>
          <t>Aula 6*</t>
        </is>
      </c>
      <c r="E11" s="6" t="inlineStr">
        <is>
          <t>Aula 7*</t>
        </is>
      </c>
      <c r="F11" s="6" t="inlineStr">
        <is>
          <t>Lab</t>
        </is>
      </c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7">
    <cfRule type="expression" priority="6" dxfId="0" stopIfTrue="1">
      <formula>AND(C7&lt;&gt;"", COUNTIF($I4:I10,C7)=0)</formula>
    </cfRule>
  </conditionalFormatting>
  <conditionalFormatting sqref="D7">
    <cfRule type="expression" priority="7" dxfId="0" stopIfTrue="1">
      <formula>AND(D7&lt;&gt;"", COUNTIF($I4:I10,D7)=0)</formula>
    </cfRule>
  </conditionalFormatting>
  <conditionalFormatting sqref="E7">
    <cfRule type="expression" priority="8" dxfId="0" stopIfTrue="1">
      <formula>AND(E7&lt;&gt;"", COUNTIF($I4:I10,E7)=0)</formula>
    </cfRule>
  </conditionalFormatting>
  <conditionalFormatting sqref="F7">
    <cfRule type="expression" priority="9" dxfId="0" stopIfTrue="1">
      <formula>AND(F7&lt;&gt;"", COUNTIF($I4:I10,F7)=0)</formula>
    </cfRule>
  </conditionalFormatting>
  <conditionalFormatting sqref="G7">
    <cfRule type="expression" priority="10" dxfId="0" stopIfTrue="1">
      <formula>AND(G7&lt;&gt;"", COUNTIF($I4:I10,G7)=0)</formula>
    </cfRule>
  </conditionalFormatting>
  <conditionalFormatting sqref="C10">
    <cfRule type="expression" priority="11" dxfId="0" stopIfTrue="1">
      <formula>AND(C10&lt;&gt;"", COUNTIF($I4:I10,C10)=0)</formula>
    </cfRule>
  </conditionalFormatting>
  <conditionalFormatting sqref="D10">
    <cfRule type="expression" priority="12" dxfId="0" stopIfTrue="1">
      <formula>AND(D10&lt;&gt;"", COUNTIF($I4:I10,D10)=0)</formula>
    </cfRule>
  </conditionalFormatting>
  <conditionalFormatting sqref="E10">
    <cfRule type="expression" priority="13" dxfId="0" stopIfTrue="1">
      <formula>AND(E10&lt;&gt;"", COUNTIF($I4:I10,E10)=0)</formula>
    </cfRule>
  </conditionalFormatting>
  <conditionalFormatting sqref="F10">
    <cfRule type="expression" priority="14" dxfId="0" stopIfTrue="1">
      <formula>AND(F10&lt;&gt;"", COUNTIF($I4:I10,F10)=0)</formula>
    </cfRule>
  </conditionalFormatting>
  <conditionalFormatting sqref="G10">
    <cfRule type="expression" priority="15" dxfId="0" stopIfTrue="1">
      <formula>AND(G10&lt;&gt;"", COUNTIF($I4:I10,G10)=0)</formula>
    </cfRule>
  </conditionalFormatting>
  <conditionalFormatting sqref="C13">
    <cfRule type="expression" priority="16" dxfId="0" stopIfTrue="1">
      <formula>AND(C13&lt;&gt;"", COUNTIF($I4:I10,C13)=0)</formula>
    </cfRule>
  </conditionalFormatting>
  <conditionalFormatting sqref="D13">
    <cfRule type="expression" priority="17" dxfId="0" stopIfTrue="1">
      <formula>AND(D13&lt;&gt;"", COUNTIF($I4:I10,D13)=0)</formula>
    </cfRule>
  </conditionalFormatting>
  <conditionalFormatting sqref="E13">
    <cfRule type="expression" priority="18" dxfId="0" stopIfTrue="1">
      <formula>AND(E13&lt;&gt;"", COUNTIF($I4:I10,E13)=0)</formula>
    </cfRule>
  </conditionalFormatting>
  <conditionalFormatting sqref="F13">
    <cfRule type="expression" priority="19" dxfId="0" stopIfTrue="1">
      <formula>AND(F13&lt;&gt;"", COUNTIF($I4:I10,F13)=0)</formula>
    </cfRule>
  </conditionalFormatting>
  <conditionalFormatting sqref="G13">
    <cfRule type="expression" priority="20" dxfId="0" stopIfTrue="1">
      <formula>AND(G13&lt;&gt;"", COUNTIF($I4:I10,G13)=0)</formula>
    </cfRule>
  </conditionalFormatting>
  <conditionalFormatting sqref="C16">
    <cfRule type="expression" priority="21" dxfId="0" stopIfTrue="1">
      <formula>AND(C16&lt;&gt;"", COUNTIF($I4:I10,C16)=0)</formula>
    </cfRule>
  </conditionalFormatting>
  <conditionalFormatting sqref="D16">
    <cfRule type="expression" priority="22" dxfId="0" stopIfTrue="1">
      <formula>AND(D16&lt;&gt;"", COUNTIF($I4:I10,D16)=0)</formula>
    </cfRule>
  </conditionalFormatting>
  <conditionalFormatting sqref="E16">
    <cfRule type="expression" priority="23" dxfId="0" stopIfTrue="1">
      <formula>AND(E16&lt;&gt;"", COUNTIF($I4:I10,E16)=0)</formula>
    </cfRule>
  </conditionalFormatting>
  <conditionalFormatting sqref="F16">
    <cfRule type="expression" priority="24" dxfId="0" stopIfTrue="1">
      <formula>AND(F16&lt;&gt;"", COUNTIF($I4:I10,F16)=0)</formula>
    </cfRule>
  </conditionalFormatting>
  <conditionalFormatting sqref="G16">
    <cfRule type="expression" priority="25" dxfId="0" stopIfTrue="1">
      <formula>AND(G16&lt;&gt;"", COUNTIF($I4:I10,G16)=0)</formula>
    </cfRule>
  </conditionalFormatting>
  <conditionalFormatting sqref="C19">
    <cfRule type="expression" priority="26" dxfId="0" stopIfTrue="1">
      <formula>AND(C19&lt;&gt;"", COUNTIF($I4:I10,C19)=0)</formula>
    </cfRule>
  </conditionalFormatting>
  <conditionalFormatting sqref="D19">
    <cfRule type="expression" priority="27" dxfId="0" stopIfTrue="1">
      <formula>AND(D19&lt;&gt;"", COUNTIF($I4:I10,D19)=0)</formula>
    </cfRule>
  </conditionalFormatting>
  <conditionalFormatting sqref="E19">
    <cfRule type="expression" priority="28" dxfId="0" stopIfTrue="1">
      <formula>AND(E19&lt;&gt;"", COUNTIF($I4:I10,E19)=0)</formula>
    </cfRule>
  </conditionalFormatting>
  <conditionalFormatting sqref="F19">
    <cfRule type="expression" priority="29" dxfId="0" stopIfTrue="1">
      <formula>AND(F19&lt;&gt;"", COUNTIF($I4:I10,F19)=0)</formula>
    </cfRule>
  </conditionalFormatting>
  <conditionalFormatting sqref="G19">
    <cfRule type="expression" priority="30" dxfId="0" stopIfTrue="1">
      <formula>AND(G19&lt;&gt;"", COUNTIF($I4:I10,G19)=0)</formula>
    </cfRule>
  </conditionalFormatting>
  <conditionalFormatting sqref="C22">
    <cfRule type="expression" priority="31" dxfId="0" stopIfTrue="1">
      <formula>AND(C22&lt;&gt;"", COUNTIF($I4:I10,C22)=0)</formula>
    </cfRule>
  </conditionalFormatting>
  <conditionalFormatting sqref="D22">
    <cfRule type="expression" priority="32" dxfId="0" stopIfTrue="1">
      <formula>AND(D22&lt;&gt;"", COUNTIF($I4:I10,D22)=0)</formula>
    </cfRule>
  </conditionalFormatting>
  <conditionalFormatting sqref="E22">
    <cfRule type="expression" priority="33" dxfId="0" stopIfTrue="1">
      <formula>AND(E22&lt;&gt;"", COUNTIF($I4:I10,E22)=0)</formula>
    </cfRule>
  </conditionalFormatting>
  <conditionalFormatting sqref="F22">
    <cfRule type="expression" priority="34" dxfId="0" stopIfTrue="1">
      <formula>AND(F22&lt;&gt;"", COUNTIF($I4:I10,F22)=0)</formula>
    </cfRule>
  </conditionalFormatting>
  <conditionalFormatting sqref="G22">
    <cfRule type="expression" priority="35" dxfId="0" stopIfTrue="1">
      <formula>AND(G22&lt;&gt;"", COUNTIF($I4:I10,G22)=0)</formula>
    </cfRule>
  </conditionalFormatting>
  <conditionalFormatting sqref="C5">
    <cfRule type="expression" priority="36" dxfId="1" stopIfTrue="1">
      <formula>AND(C5&lt;&gt;"", COUNTIF($O4:O8,C5)=0)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COUNTIF($O4:O8,D5)=0)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COUNTIF($O4:O8,E5)=0)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COUNTIF($O4:O8,F5)=0)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COUNTIF($O4:O8,G5)=0)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COUNTIF($O4:O8,C8)=0)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COUNTIF($O4:O8,D8)=0)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COUNTIF($O4:O8,E8)=0)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COUNTIF($O4:O8,F8)=0)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COUNTIF($O4:O8,G8)=0)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COUNTIF($O4:O8,C11)=0)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COUNTIF($O4:O8,D11)=0)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COUNTIF($O4:O8,E11)=0)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COUNTIF($O4:O8,F11)=0)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COUNTIF($O4:O8,G11)=0)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COUNTIF($O4:O8,C14)=0)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COUNTIF($O4:O8,D14)=0)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COUNTIF($O4:O8,E14)=0)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COUNTIF($O4:O8,F14)=0)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COUNTIF($O4:O8,G14)=0)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COUNTIF($O4:O8,C17)=0)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COUNTIF($O4:O8,D17)=0)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COUNTIF($O4:O8,E17)=0)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COUNTIF($O4:O8,F17)=0)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COUNTIF($O4:O8,G17)=0)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COUNTIF($O4:O8,C20)=0)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COUNTIF($O4:O8,D20)=0)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COUNTIF($O4:O8,E20)=0)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COUNTIF($O4:O8,F20)=0)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COUNTIF($O4:O8,G20)=0)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3" dxfId="4" stopIfTrue="1">
      <formula>AND(J4&lt;&gt;"", M4&gt;0, L4&lt;0)</formula>
    </cfRule>
    <cfRule type="expression" priority="110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4" dxfId="4" stopIfTrue="1">
      <formula>AND(J5&lt;&gt;"", M5&gt;0, L5&lt;0)</formula>
    </cfRule>
    <cfRule type="expression" priority="111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5" dxfId="4" stopIfTrue="1">
      <formula>AND(J6&lt;&gt;"", M6&gt;0, L6&lt;0)</formula>
    </cfRule>
    <cfRule type="expression" priority="112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6" dxfId="4" stopIfTrue="1">
      <formula>AND(J7&lt;&gt;"", M7&gt;0, L7&lt;0)</formula>
    </cfRule>
    <cfRule type="expression" priority="113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7" dxfId="4" stopIfTrue="1">
      <formula>AND(J8&lt;&gt;"", M8&gt;0, L8&lt;0)</formula>
    </cfRule>
    <cfRule type="expression" priority="114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8" dxfId="4" stopIfTrue="1">
      <formula>AND(J9&lt;&gt;"", M9&gt;0, L9&lt;0)</formula>
    </cfRule>
    <cfRule type="expression" priority="115" dxfId="5" stopIfTrue="1">
      <formula>AND(J9&lt;&gt;"", M9&gt;0, L9&gt;0, L9&lt;K9)</formula>
    </cfRule>
  </conditionalFormatting>
  <conditionalFormatting sqref="J10">
    <cfRule type="expression" priority="102" dxfId="3" stopIfTrue="1">
      <formula>AND(J10&lt;&gt;"", M10&gt;0, L10=0)</formula>
    </cfRule>
    <cfRule type="expression" priority="109" dxfId="4" stopIfTrue="1">
      <formula>AND(J10&lt;&gt;"", M10&gt;0, L10&lt;0)</formula>
    </cfRule>
    <cfRule type="expression" priority="116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MA</t>
        </is>
      </c>
      <c r="J4" s="1" t="inlineStr">
        <is>
          <t>Matemática y Aplicaciones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c 6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Prb</t>
        </is>
      </c>
      <c r="J5" s="1" t="inlineStr">
        <is>
          <t>Probabilidades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c 7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BD</t>
        </is>
      </c>
      <c r="J6" s="1" t="inlineStr">
        <is>
          <t>Bases de Datos</t>
        </is>
      </c>
      <c r="K6" s="1" t="n">
        <v>2</v>
      </c>
      <c r="L6" s="1">
        <f>K6-M6</f>
        <v/>
      </c>
      <c r="M6" s="1">
        <f>COUNTIF(C4:G22,I6)</f>
        <v/>
      </c>
      <c r="N6" t="inlineStr">
        <is>
          <t>Total:</t>
        </is>
      </c>
      <c r="O6">
        <f>COUNTA(O4:O5)</f>
        <v/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ED</t>
        </is>
      </c>
      <c r="J7" s="1" t="inlineStr">
        <is>
          <t>Estructura de Datos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VD</t>
        </is>
      </c>
      <c r="J8" s="1" t="inlineStr">
        <is>
          <t>Visualización de Datos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EP</t>
        </is>
      </c>
      <c r="J9" s="1" t="inlineStr">
        <is>
          <t>Economía Política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s="2" t="inlineStr">
        <is>
          <t>EF</t>
        </is>
      </c>
      <c r="J10" s="1" t="inlineStr">
        <is>
          <t>Educación Física III</t>
        </is>
      </c>
      <c r="K10" s="1" t="n">
        <v>2</v>
      </c>
      <c r="L10" s="1">
        <f>K10-M10</f>
        <v/>
      </c>
      <c r="M10" s="1">
        <f>COUNTIF(C4:G22,I10)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ED</t>
        </is>
      </c>
      <c r="D14" s="6" t="inlineStr">
        <is>
          <t>BD</t>
        </is>
      </c>
      <c r="E14" s="6" t="inlineStr">
        <is>
          <t>MA (EDO) cp 6 (con</t>
        </is>
      </c>
      <c r="F14" s="6" t="inlineStr">
        <is>
          <t>BD</t>
        </is>
      </c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c 7</t>
        </is>
      </c>
      <c r="D15" s="8" t="inlineStr">
        <is>
          <t>c 7</t>
        </is>
      </c>
      <c r="E15" s="8" t="inlineStr">
        <is>
          <t>C211</t>
        </is>
      </c>
      <c r="F15" s="8" t="inlineStr">
        <is>
          <t>cp 7</t>
        </is>
      </c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VD</t>
        </is>
      </c>
      <c r="D17" s="6" t="inlineStr">
        <is>
          <t>EP</t>
        </is>
      </c>
      <c r="E17" s="6" t="inlineStr">
        <is>
          <t>EP</t>
        </is>
      </c>
      <c r="F17" s="6" t="inlineStr">
        <is>
          <t>Prb</t>
        </is>
      </c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>
        <is>
          <t>c 7</t>
        </is>
      </c>
      <c r="D18" s="8" t="inlineStr">
        <is>
          <t>c 7</t>
        </is>
      </c>
      <c r="E18" s="8" t="inlineStr">
        <is>
          <t>c 7</t>
        </is>
      </c>
      <c r="F18" s="8" t="inlineStr">
        <is>
          <t>cp 7</t>
        </is>
      </c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MA</t>
        </is>
      </c>
      <c r="D20" s="6" t="inlineStr">
        <is>
          <t>Prb</t>
        </is>
      </c>
      <c r="E20" s="6" t="inlineStr">
        <is>
          <t>EF 4:45pm a 5:35pm</t>
        </is>
      </c>
      <c r="F20" s="6" t="inlineStr">
        <is>
          <t>ED</t>
        </is>
      </c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>
        <is>
          <t>c 6</t>
        </is>
      </c>
      <c r="D21" s="8" t="inlineStr">
        <is>
          <t>c 7</t>
        </is>
      </c>
      <c r="E21" s="8" t="inlineStr"/>
      <c r="F21" s="8" t="inlineStr">
        <is>
          <t>cp 7</t>
        </is>
      </c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7">
    <cfRule type="expression" priority="6" dxfId="0" stopIfTrue="1">
      <formula>AND(C7&lt;&gt;"", COUNTIF($I4:I10,C7)=0)</formula>
    </cfRule>
  </conditionalFormatting>
  <conditionalFormatting sqref="D7">
    <cfRule type="expression" priority="7" dxfId="0" stopIfTrue="1">
      <formula>AND(D7&lt;&gt;"", COUNTIF($I4:I10,D7)=0)</formula>
    </cfRule>
  </conditionalFormatting>
  <conditionalFormatting sqref="E7">
    <cfRule type="expression" priority="8" dxfId="0" stopIfTrue="1">
      <formula>AND(E7&lt;&gt;"", COUNTIF($I4:I10,E7)=0)</formula>
    </cfRule>
  </conditionalFormatting>
  <conditionalFormatting sqref="F7">
    <cfRule type="expression" priority="9" dxfId="0" stopIfTrue="1">
      <formula>AND(F7&lt;&gt;"", COUNTIF($I4:I10,F7)=0)</formula>
    </cfRule>
  </conditionalFormatting>
  <conditionalFormatting sqref="G7">
    <cfRule type="expression" priority="10" dxfId="0" stopIfTrue="1">
      <formula>AND(G7&lt;&gt;"", COUNTIF($I4:I10,G7)=0)</formula>
    </cfRule>
  </conditionalFormatting>
  <conditionalFormatting sqref="C10">
    <cfRule type="expression" priority="11" dxfId="0" stopIfTrue="1">
      <formula>AND(C10&lt;&gt;"", COUNTIF($I4:I10,C10)=0)</formula>
    </cfRule>
  </conditionalFormatting>
  <conditionalFormatting sqref="D10">
    <cfRule type="expression" priority="12" dxfId="0" stopIfTrue="1">
      <formula>AND(D10&lt;&gt;"", COUNTIF($I4:I10,D10)=0)</formula>
    </cfRule>
  </conditionalFormatting>
  <conditionalFormatting sqref="E10">
    <cfRule type="expression" priority="13" dxfId="0" stopIfTrue="1">
      <formula>AND(E10&lt;&gt;"", COUNTIF($I4:I10,E10)=0)</formula>
    </cfRule>
  </conditionalFormatting>
  <conditionalFormatting sqref="F10">
    <cfRule type="expression" priority="14" dxfId="0" stopIfTrue="1">
      <formula>AND(F10&lt;&gt;"", COUNTIF($I4:I10,F10)=0)</formula>
    </cfRule>
  </conditionalFormatting>
  <conditionalFormatting sqref="G10">
    <cfRule type="expression" priority="15" dxfId="0" stopIfTrue="1">
      <formula>AND(G10&lt;&gt;"", COUNTIF($I4:I10,G10)=0)</formula>
    </cfRule>
  </conditionalFormatting>
  <conditionalFormatting sqref="C13">
    <cfRule type="expression" priority="16" dxfId="0" stopIfTrue="1">
      <formula>AND(C13&lt;&gt;"", COUNTIF($I4:I10,C13)=0)</formula>
    </cfRule>
  </conditionalFormatting>
  <conditionalFormatting sqref="D13">
    <cfRule type="expression" priority="17" dxfId="0" stopIfTrue="1">
      <formula>AND(D13&lt;&gt;"", COUNTIF($I4:I10,D13)=0)</formula>
    </cfRule>
  </conditionalFormatting>
  <conditionalFormatting sqref="E13">
    <cfRule type="expression" priority="18" dxfId="0" stopIfTrue="1">
      <formula>AND(E13&lt;&gt;"", COUNTIF($I4:I10,E13)=0)</formula>
    </cfRule>
  </conditionalFormatting>
  <conditionalFormatting sqref="F13">
    <cfRule type="expression" priority="19" dxfId="0" stopIfTrue="1">
      <formula>AND(F13&lt;&gt;"", COUNTIF($I4:I10,F13)=0)</formula>
    </cfRule>
  </conditionalFormatting>
  <conditionalFormatting sqref="G13">
    <cfRule type="expression" priority="20" dxfId="0" stopIfTrue="1">
      <formula>AND(G13&lt;&gt;"", COUNTIF($I4:I10,G13)=0)</formula>
    </cfRule>
  </conditionalFormatting>
  <conditionalFormatting sqref="C16">
    <cfRule type="expression" priority="21" dxfId="0" stopIfTrue="1">
      <formula>AND(C16&lt;&gt;"", COUNTIF($I4:I10,C16)=0)</formula>
    </cfRule>
  </conditionalFormatting>
  <conditionalFormatting sqref="D16">
    <cfRule type="expression" priority="22" dxfId="0" stopIfTrue="1">
      <formula>AND(D16&lt;&gt;"", COUNTIF($I4:I10,D16)=0)</formula>
    </cfRule>
  </conditionalFormatting>
  <conditionalFormatting sqref="E16">
    <cfRule type="expression" priority="23" dxfId="0" stopIfTrue="1">
      <formula>AND(E16&lt;&gt;"", COUNTIF($I4:I10,E16)=0)</formula>
    </cfRule>
  </conditionalFormatting>
  <conditionalFormatting sqref="F16">
    <cfRule type="expression" priority="24" dxfId="0" stopIfTrue="1">
      <formula>AND(F16&lt;&gt;"", COUNTIF($I4:I10,F16)=0)</formula>
    </cfRule>
  </conditionalFormatting>
  <conditionalFormatting sqref="G16">
    <cfRule type="expression" priority="25" dxfId="0" stopIfTrue="1">
      <formula>AND(G16&lt;&gt;"", COUNTIF($I4:I10,G16)=0)</formula>
    </cfRule>
  </conditionalFormatting>
  <conditionalFormatting sqref="C19">
    <cfRule type="expression" priority="26" dxfId="0" stopIfTrue="1">
      <formula>AND(C19&lt;&gt;"", COUNTIF($I4:I10,C19)=0)</formula>
    </cfRule>
  </conditionalFormatting>
  <conditionalFormatting sqref="D19">
    <cfRule type="expression" priority="27" dxfId="0" stopIfTrue="1">
      <formula>AND(D19&lt;&gt;"", COUNTIF($I4:I10,D19)=0)</formula>
    </cfRule>
  </conditionalFormatting>
  <conditionalFormatting sqref="E19">
    <cfRule type="expression" priority="28" dxfId="0" stopIfTrue="1">
      <formula>AND(E19&lt;&gt;"", COUNTIF($I4:I10,E19)=0)</formula>
    </cfRule>
  </conditionalFormatting>
  <conditionalFormatting sqref="F19">
    <cfRule type="expression" priority="29" dxfId="0" stopIfTrue="1">
      <formula>AND(F19&lt;&gt;"", COUNTIF($I4:I10,F19)=0)</formula>
    </cfRule>
  </conditionalFormatting>
  <conditionalFormatting sqref="G19">
    <cfRule type="expression" priority="30" dxfId="0" stopIfTrue="1">
      <formula>AND(G19&lt;&gt;"", COUNTIF($I4:I10,G19)=0)</formula>
    </cfRule>
  </conditionalFormatting>
  <conditionalFormatting sqref="C22">
    <cfRule type="expression" priority="31" dxfId="0" stopIfTrue="1">
      <formula>AND(C22&lt;&gt;"", COUNTIF($I4:I10,C22)=0)</formula>
    </cfRule>
  </conditionalFormatting>
  <conditionalFormatting sqref="D22">
    <cfRule type="expression" priority="32" dxfId="0" stopIfTrue="1">
      <formula>AND(D22&lt;&gt;"", COUNTIF($I4:I10,D22)=0)</formula>
    </cfRule>
  </conditionalFormatting>
  <conditionalFormatting sqref="E22">
    <cfRule type="expression" priority="33" dxfId="0" stopIfTrue="1">
      <formula>AND(E22&lt;&gt;"", COUNTIF($I4:I10,E22)=0)</formula>
    </cfRule>
  </conditionalFormatting>
  <conditionalFormatting sqref="F22">
    <cfRule type="expression" priority="34" dxfId="0" stopIfTrue="1">
      <formula>AND(F22&lt;&gt;"", COUNTIF($I4:I10,F22)=0)</formula>
    </cfRule>
  </conditionalFormatting>
  <conditionalFormatting sqref="G22">
    <cfRule type="expression" priority="35" dxfId="0" stopIfTrue="1">
      <formula>AND(G22&lt;&gt;"", COUNTIF($I4:I10,G22)=0)</formula>
    </cfRule>
  </conditionalFormatting>
  <conditionalFormatting sqref="C5">
    <cfRule type="expression" priority="36" dxfId="1" stopIfTrue="1">
      <formula>AND(C5&lt;&gt;"", COUNTIF($O4:O5,C5)=0)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COUNTIF($O4:O5,D5)=0)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COUNTIF($O4:O5,E5)=0)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COUNTIF($O4:O5,F5)=0)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COUNTIF($O4:O5,G5)=0)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COUNTIF($O4:O5,C8)=0)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COUNTIF($O4:O5,D8)=0)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COUNTIF($O4:O5,E8)=0)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COUNTIF($O4:O5,F8)=0)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COUNTIF($O4:O5,G8)=0)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COUNTIF($O4:O5,C14)=0)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COUNTIF($O4:O5,D14)=0)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COUNTIF($O4:O5,E14)=0)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COUNTIF($O4:O5,F14)=0)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COUNTIF($O4:O5,G14)=0)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COUNTIF($O4:O5,C17)=0)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COUNTIF($O4:O5,D17)=0)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COUNTIF($O4:O5,E17)=0)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COUNTIF($O4:O5,F17)=0)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COUNTIF($O4:O5,G17)=0)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COUNTIF($O4:O5,C20)=0)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COUNTIF($O4:O5,D20)=0)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COUNTIF($O4:O5,E20)=0)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COUNTIF($O4:O5,F20)=0)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COUNTIF($O4:O5,G20)=0)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3" dxfId="4" stopIfTrue="1">
      <formula>AND(J4&lt;&gt;"", M4&gt;0, L4&lt;0)</formula>
    </cfRule>
    <cfRule type="expression" priority="110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4" dxfId="4" stopIfTrue="1">
      <formula>AND(J5&lt;&gt;"", M5&gt;0, L5&lt;0)</formula>
    </cfRule>
    <cfRule type="expression" priority="111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5" dxfId="4" stopIfTrue="1">
      <formula>AND(J6&lt;&gt;"", M6&gt;0, L6&lt;0)</formula>
    </cfRule>
    <cfRule type="expression" priority="112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6" dxfId="4" stopIfTrue="1">
      <formula>AND(J7&lt;&gt;"", M7&gt;0, L7&lt;0)</formula>
    </cfRule>
    <cfRule type="expression" priority="113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7" dxfId="4" stopIfTrue="1">
      <formula>AND(J8&lt;&gt;"", M8&gt;0, L8&lt;0)</formula>
    </cfRule>
    <cfRule type="expression" priority="114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8" dxfId="4" stopIfTrue="1">
      <formula>AND(J9&lt;&gt;"", M9&gt;0, L9&lt;0)</formula>
    </cfRule>
    <cfRule type="expression" priority="115" dxfId="5" stopIfTrue="1">
      <formula>AND(J9&lt;&gt;"", M9&gt;0, L9&gt;0, L9&lt;K9)</formula>
    </cfRule>
  </conditionalFormatting>
  <conditionalFormatting sqref="J10">
    <cfRule type="expression" priority="102" dxfId="3" stopIfTrue="1">
      <formula>AND(J10&lt;&gt;"", M10&gt;0, L10=0)</formula>
    </cfRule>
    <cfRule type="expression" priority="109" dxfId="4" stopIfTrue="1">
      <formula>AND(J10&lt;&gt;"", M10&gt;0, L10&lt;0)</formula>
    </cfRule>
    <cfRule type="expression" priority="116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D311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AE2</t>
        </is>
      </c>
      <c r="D4" s="4" t="inlineStr">
        <is>
          <t>RN</t>
        </is>
      </c>
      <c r="E4" s="4" t="inlineStr">
        <is>
          <t>TP 4</t>
        </is>
      </c>
      <c r="F4" s="4" t="inlineStr"/>
      <c r="G4" s="4" t="inlineStr"/>
      <c r="H4" t="inlineStr"/>
      <c r="I4" s="2" t="inlineStr">
        <is>
          <t>AE2</t>
        </is>
      </c>
      <c r="J4" s="1" t="inlineStr">
        <is>
          <t>Análisis Estadístico II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c 2</t>
        </is>
      </c>
    </row>
    <row r="5">
      <c r="A5" t="inlineStr"/>
      <c r="B5" s="5" t="n"/>
      <c r="C5" s="6" t="inlineStr">
        <is>
          <t>c 2</t>
        </is>
      </c>
      <c r="D5" s="6" t="inlineStr">
        <is>
          <t>c 2</t>
        </is>
      </c>
      <c r="E5" s="6" t="inlineStr"/>
      <c r="F5" s="6" t="inlineStr"/>
      <c r="G5" s="6" t="inlineStr"/>
      <c r="H5" t="inlineStr"/>
      <c r="I5" s="2" t="inlineStr">
        <is>
          <t>MDE</t>
        </is>
      </c>
      <c r="J5" s="1" t="inlineStr">
        <is>
          <t>Muestreo y Diseño de Experimentos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c 4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RN</t>
        </is>
      </c>
      <c r="J6" s="1" t="inlineStr">
        <is>
          <t>Redes Neuronales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s="1" t="inlineStr">
        <is>
          <t>cp Lab2</t>
        </is>
      </c>
    </row>
    <row r="7">
      <c r="A7" t="inlineStr"/>
      <c r="B7" s="3" t="inlineStr">
        <is>
          <t>Turno 2</t>
        </is>
      </c>
      <c r="C7" s="4" t="inlineStr">
        <is>
          <t>MDE</t>
        </is>
      </c>
      <c r="D7" s="4" t="inlineStr">
        <is>
          <t>PL</t>
        </is>
      </c>
      <c r="E7" s="4" t="inlineStr">
        <is>
          <t>MDE</t>
        </is>
      </c>
      <c r="F7" s="4" t="inlineStr">
        <is>
          <t>RN</t>
        </is>
      </c>
      <c r="G7" s="4" t="inlineStr"/>
      <c r="H7" t="inlineStr"/>
      <c r="I7" s="2" t="inlineStr">
        <is>
          <t>PL</t>
        </is>
      </c>
      <c r="J7" s="1" t="inlineStr">
        <is>
          <t>Procesamiento del Lenguaje</t>
        </is>
      </c>
      <c r="K7" s="1" t="n">
        <v>2</v>
      </c>
      <c r="L7" s="1">
        <f>K7-M7</f>
        <v/>
      </c>
      <c r="M7" s="1">
        <f>COUNTIF(C4:G22,I7)</f>
        <v/>
      </c>
      <c r="N7" t="inlineStr">
        <is>
          <t>Total:</t>
        </is>
      </c>
      <c r="O7">
        <f>COUNTA(O4:O6)</f>
        <v/>
      </c>
    </row>
    <row r="8">
      <c r="A8" t="inlineStr"/>
      <c r="B8" s="5" t="n"/>
      <c r="C8" s="6" t="inlineStr">
        <is>
          <t>c 2</t>
        </is>
      </c>
      <c r="D8" s="6" t="inlineStr">
        <is>
          <t>c 2</t>
        </is>
      </c>
      <c r="E8" s="6" t="inlineStr">
        <is>
          <t>cp 2</t>
        </is>
      </c>
      <c r="F8" s="6" t="inlineStr">
        <is>
          <t>cp Lab2</t>
        </is>
      </c>
      <c r="G8" s="6" t="inlineStr"/>
      <c r="H8" t="inlineStr"/>
      <c r="I8" s="2" t="inlineStr">
        <is>
          <t>PGVD</t>
        </is>
      </c>
      <c r="J8" s="1" t="inlineStr">
        <is>
          <t>Procesamiento de Grandes Volúmenes de Datos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PGVD</t>
        </is>
      </c>
      <c r="D10" s="4" t="inlineStr">
        <is>
          <t>TP</t>
        </is>
      </c>
      <c r="E10" s="4" t="inlineStr">
        <is>
          <t>AE2</t>
        </is>
      </c>
      <c r="F10" s="4" t="inlineStr">
        <is>
          <t>PGVD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c 2</t>
        </is>
      </c>
      <c r="D11" s="6" t="inlineStr">
        <is>
          <t>c 4</t>
        </is>
      </c>
      <c r="E11" s="6" t="inlineStr">
        <is>
          <t>cp Lab2</t>
        </is>
      </c>
      <c r="F11" s="6" t="inlineStr">
        <is>
          <t>cp 7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COUNTIF($O4:O6,C5)=0)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COUNTIF($O4:O6,D5)=0)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COUNTIF($O4:O6,E5)=0)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COUNTIF($O4:O6,F5)=0)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COUNTIF($O4:O6,G5)=0)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COUNTIF($O4:O6,C8)=0)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COUNTIF($O4:O6,D8)=0)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COUNTIF($O4:O6,E8)=0)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COUNTIF($O4:O6,F8)=0)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COUNTIF($O4:O6,G8)=0)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COUNTIF($O4:O6,C11)=0)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COUNTIF($O4:O6,D11)=0)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COUNTIF($O4:O6,E11)=0)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COUNTIF($O4:O6,F11)=0)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COUNTIF($O4:O6,G11)=0)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COUNTIF($O4:O6,C14)=0)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COUNTIF($O4:O6,D14)=0)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COUNTIF($O4:O6,E14)=0)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COUNTIF($O4:O6,F14)=0)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COUNTIF($O4:O6,G14)=0)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COUNTIF($O4:O6,C17)=0)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COUNTIF($O4:O6,D17)=0)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COUNTIF($O4:O6,E17)=0)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COUNTIF($O4:O6,F17)=0)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COUNTIF($O4:O6,G17)=0)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COUNTIF($O4:O6,C20)=0)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COUNTIF($O4:O6,D20)=0)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COUNTIF($O4:O6,E20)=0)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COUNTIF($O4:O6,F20)=0)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COUNTIF($O4:O6,G20)=0)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D411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>
        <is>
          <t>EIA</t>
        </is>
      </c>
      <c r="E4" s="4" t="inlineStr"/>
      <c r="F4" s="4" t="inlineStr">
        <is>
          <t>SN</t>
        </is>
      </c>
      <c r="G4" s="4" t="inlineStr"/>
      <c r="H4" t="inlineStr"/>
      <c r="I4" s="2" t="inlineStr">
        <is>
          <t>IN</t>
        </is>
      </c>
      <c r="J4" s="1" t="inlineStr">
        <is>
          <t>Inteligencia de Negocios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/>
    </row>
    <row r="5">
      <c r="A5" t="inlineStr"/>
      <c r="B5" s="5" t="n"/>
      <c r="C5" s="6" t="inlineStr">
        <is>
          <t>CP 2</t>
        </is>
      </c>
      <c r="D5" s="6" t="inlineStr">
        <is>
          <t>2</t>
        </is>
      </c>
      <c r="E5" s="6" t="inlineStr">
        <is>
          <t>CP 2</t>
        </is>
      </c>
      <c r="F5" s="6" t="inlineStr">
        <is>
          <t>C4</t>
        </is>
      </c>
      <c r="G5" s="6" t="inlineStr"/>
      <c r="H5" t="inlineStr"/>
      <c r="I5" s="2" t="inlineStr">
        <is>
          <t>EIA</t>
        </is>
      </c>
      <c r="J5" s="1" t="inlineStr">
        <is>
          <t>Elementos de Inteligencia Artificial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CP</t>
        </is>
      </c>
      <c r="J6" s="1" t="inlineStr">
        <is>
          <t>Ciberseguridad y Privacidad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>
        <is>
          <t>IN</t>
        </is>
      </c>
      <c r="D7" s="4" t="inlineStr">
        <is>
          <t>SN</t>
        </is>
      </c>
      <c r="E7" s="4" t="inlineStr">
        <is>
          <t>IN</t>
        </is>
      </c>
      <c r="F7" s="4" t="inlineStr">
        <is>
          <t>SN</t>
        </is>
      </c>
      <c r="G7" s="4" t="inlineStr"/>
      <c r="H7" t="inlineStr"/>
      <c r="I7" s="2" t="inlineStr">
        <is>
          <t>CO2</t>
        </is>
      </c>
      <c r="J7" s="1" t="inlineStr">
        <is>
          <t>Curso Optativo II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>
        <is>
          <t>2</t>
        </is>
      </c>
      <c r="D8" s="6" t="inlineStr">
        <is>
          <t>C4</t>
        </is>
      </c>
      <c r="E8" s="6" t="inlineStr">
        <is>
          <t>2</t>
        </is>
      </c>
      <c r="F8" s="6" t="inlineStr">
        <is>
          <t>C4</t>
        </is>
      </c>
      <c r="G8" s="6" t="inlineStr"/>
      <c r="H8" t="inlineStr"/>
      <c r="I8" s="2" t="inlineStr">
        <is>
          <t>ECTS</t>
        </is>
      </c>
      <c r="J8" s="1" t="inlineStr">
        <is>
          <t>Estudios de Ciencia, Tecnología y Sociedad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SN/DN</t>
        </is>
      </c>
      <c r="J9" s="1" t="inlineStr">
        <is>
          <t>Seguridad Nacional / Defensa Nacional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ECTS 9 (con</t>
        </is>
      </c>
      <c r="D10" s="4" t="inlineStr">
        <is>
          <t>CO</t>
        </is>
      </c>
      <c r="E10" s="4" t="inlineStr">
        <is>
          <t>EIA 2</t>
        </is>
      </c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C4</t>
        </is>
      </c>
      <c r="D11" s="6" t="inlineStr">
        <is>
          <t>2</t>
        </is>
      </c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F</t>
        </is>
      </c>
      <c r="D4" s="4" t="inlineStr">
        <is>
          <t>A I</t>
        </is>
      </c>
      <c r="E4" s="4" t="inlineStr">
        <is>
          <t>AM I</t>
        </is>
      </c>
      <c r="F4" s="4" t="inlineStr">
        <is>
          <t>F</t>
        </is>
      </c>
      <c r="G4" s="4" t="inlineStr"/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6</t>
        </is>
      </c>
    </row>
    <row r="5">
      <c r="A5" t="inlineStr"/>
      <c r="B5" s="5" t="n"/>
      <c r="C5" s="6" t="inlineStr">
        <is>
          <t>Aula 6</t>
        </is>
      </c>
      <c r="D5" s="6" t="inlineStr">
        <is>
          <t>Aula 6*</t>
        </is>
      </c>
      <c r="E5" s="6" t="inlineStr">
        <is>
          <t>Aula 6*</t>
        </is>
      </c>
      <c r="F5" s="6" t="inlineStr">
        <is>
          <t>Aula 6</t>
        </is>
      </c>
      <c r="G5" s="6" t="inlineStr"/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6*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COUNTIF(C4:G22,I6)</f>
        <v/>
      </c>
      <c r="N6" t="inlineStr"/>
      <c r="O6" s="1" t="inlineStr">
        <is>
          <t>Lab</t>
        </is>
      </c>
    </row>
    <row r="7">
      <c r="A7" t="inlineStr"/>
      <c r="B7" s="3" t="inlineStr">
        <is>
          <t>Turno 2</t>
        </is>
      </c>
      <c r="C7" s="4" t="inlineStr">
        <is>
          <t>L</t>
        </is>
      </c>
      <c r="D7" s="4" t="inlineStr">
        <is>
          <t>A I</t>
        </is>
      </c>
      <c r="E7" s="4" t="inlineStr">
        <is>
          <t>EF</t>
        </is>
      </c>
      <c r="F7" s="4" t="inlineStr">
        <is>
          <t>L</t>
        </is>
      </c>
      <c r="G7" s="4" t="inlineStr">
        <is>
          <t>A I</t>
        </is>
      </c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COUNTIF(C4:G22,I7)</f>
        <v/>
      </c>
      <c r="N7" t="inlineStr">
        <is>
          <t>Total:</t>
        </is>
      </c>
      <c r="O7">
        <f>COUNTA(O4:O6)</f>
        <v/>
      </c>
    </row>
    <row r="8">
      <c r="A8" t="inlineStr"/>
      <c r="B8" s="5" t="n"/>
      <c r="C8" s="6" t="inlineStr">
        <is>
          <t>Aula 6*</t>
        </is>
      </c>
      <c r="D8" s="6" t="inlineStr">
        <is>
          <t>Aula 6*</t>
        </is>
      </c>
      <c r="E8" s="6" t="inlineStr">
        <is>
          <t>SEDER</t>
        </is>
      </c>
      <c r="F8" s="6" t="inlineStr">
        <is>
          <t>Aula 6*</t>
        </is>
      </c>
      <c r="G8" s="6" t="inlineStr">
        <is>
          <t>Aula 6*</t>
        </is>
      </c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EF</t>
        </is>
      </c>
      <c r="J9" s="1" t="inlineStr">
        <is>
          <t>Educación Física I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P</t>
        </is>
      </c>
      <c r="D10" s="4" t="inlineStr">
        <is>
          <t>AM I</t>
        </is>
      </c>
      <c r="E10" s="4" t="inlineStr">
        <is>
          <t>AM I</t>
        </is>
      </c>
      <c r="F10" s="4" t="inlineStr">
        <is>
          <t>P</t>
        </is>
      </c>
      <c r="G10" s="4" t="inlineStr">
        <is>
          <t>P</t>
        </is>
      </c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Aula 6</t>
        </is>
      </c>
      <c r="D11" s="6" t="inlineStr">
        <is>
          <t>Aula 6*</t>
        </is>
      </c>
      <c r="E11" s="6" t="inlineStr">
        <is>
          <t>Aula 6*</t>
        </is>
      </c>
      <c r="F11" s="6" t="inlineStr">
        <is>
          <t>Aula 6</t>
        </is>
      </c>
      <c r="G11" s="6" t="inlineStr">
        <is>
          <t>Lab</t>
        </is>
      </c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COUNTIF($O4:O6,C5)=0)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COUNTIF($O4:O6,D5)=0)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COUNTIF($O4:O6,E5)=0)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COUNTIF($O4:O6,F5)=0)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COUNTIF($O4:O6,G5)=0)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COUNTIF($O4:O6,C8)=0)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COUNTIF($O4:O6,D8)=0)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COUNTIF($O4:O6,E8)=0)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COUNTIF($O4:O6,F8)=0)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COUNTIF($O4:O6,G8)=0)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COUNTIF($O4:O6,C11)=0)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COUNTIF($O4:O6,D11)=0)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COUNTIF($O4:O6,E11)=0)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COUNTIF($O4:O6,F11)=0)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COUNTIF($O4:O6,G11)=0)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COUNTIF($O4:O6,C14)=0)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COUNTIF($O4:O6,D14)=0)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COUNTIF($O4:O6,E14)=0)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COUNTIF($O4:O6,F14)=0)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COUNTIF($O4:O6,G14)=0)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COUNTIF($O4:O6,C17)=0)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COUNTIF($O4:O6,D17)=0)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COUNTIF($O4:O6,E17)=0)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COUNTIF($O4:O6,F17)=0)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COUNTIF($O4:O6,G17)=0)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COUNTIF($O4:O6,C20)=0)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COUNTIF($O4:O6,D20)=0)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COUNTIF($O4:O6,E20)=0)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COUNTIF($O4:O6,F20)=0)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COUNTIF($O4:O6,G20)=0)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C121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P</t>
        </is>
      </c>
      <c r="D4" s="4" t="inlineStr">
        <is>
          <t>A I</t>
        </is>
      </c>
      <c r="E4" s="4" t="inlineStr">
        <is>
          <t>AM I</t>
        </is>
      </c>
      <c r="F4" s="4" t="inlineStr">
        <is>
          <t>P</t>
        </is>
      </c>
      <c r="G4" s="4" t="inlineStr">
        <is>
          <t>A I</t>
        </is>
      </c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5</t>
        </is>
      </c>
    </row>
    <row r="5">
      <c r="A5" t="inlineStr"/>
      <c r="B5" s="5" t="n"/>
      <c r="C5" s="6" t="inlineStr">
        <is>
          <t>Aula 5</t>
        </is>
      </c>
      <c r="D5" s="6" t="inlineStr">
        <is>
          <t>Aula 5</t>
        </is>
      </c>
      <c r="E5" s="6" t="inlineStr">
        <is>
          <t>Aula 5</t>
        </is>
      </c>
      <c r="F5" s="6" t="inlineStr">
        <is>
          <t>Aula 5</t>
        </is>
      </c>
      <c r="G5" s="6" t="inlineStr">
        <is>
          <t>Aula 5</t>
        </is>
      </c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>
        <is>
          <t>F</t>
        </is>
      </c>
      <c r="D7" s="4" t="inlineStr">
        <is>
          <t>AM I</t>
        </is>
      </c>
      <c r="E7" s="4" t="inlineStr">
        <is>
          <t>EF</t>
        </is>
      </c>
      <c r="F7" s="4" t="inlineStr">
        <is>
          <t>L</t>
        </is>
      </c>
      <c r="G7" s="4" t="inlineStr">
        <is>
          <t>P</t>
        </is>
      </c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>
        <is>
          <t>Aula 5</t>
        </is>
      </c>
      <c r="D8" s="6" t="inlineStr">
        <is>
          <t>Aula 5</t>
        </is>
      </c>
      <c r="E8" s="6" t="inlineStr">
        <is>
          <t>SEDER</t>
        </is>
      </c>
      <c r="F8" s="6" t="inlineStr">
        <is>
          <t>Aula 5</t>
        </is>
      </c>
      <c r="G8" s="6" t="inlineStr">
        <is>
          <t>Lab</t>
        </is>
      </c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EF</t>
        </is>
      </c>
      <c r="J9" s="1" t="inlineStr">
        <is>
          <t>Educación Física I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L</t>
        </is>
      </c>
      <c r="D10" s="4" t="inlineStr">
        <is>
          <t>A I</t>
        </is>
      </c>
      <c r="E10" s="4" t="inlineStr">
        <is>
          <t>AM I</t>
        </is>
      </c>
      <c r="F10" s="4" t="inlineStr">
        <is>
          <t>F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Aula 5</t>
        </is>
      </c>
      <c r="D11" s="6" t="inlineStr">
        <is>
          <t>Aula 5</t>
        </is>
      </c>
      <c r="E11" s="6" t="inlineStr">
        <is>
          <t>Aula 5</t>
        </is>
      </c>
      <c r="F11" s="6" t="inlineStr">
        <is>
          <t>Aula 5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C122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P</t>
        </is>
      </c>
      <c r="D4" s="4" t="inlineStr">
        <is>
          <t>A I</t>
        </is>
      </c>
      <c r="E4" s="4" t="inlineStr">
        <is>
          <t>AM I</t>
        </is>
      </c>
      <c r="F4" s="4" t="inlineStr">
        <is>
          <t>L</t>
        </is>
      </c>
      <c r="G4" s="4" t="inlineStr">
        <is>
          <t>P</t>
        </is>
      </c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1</t>
        </is>
      </c>
    </row>
    <row r="5">
      <c r="A5" t="inlineStr"/>
      <c r="B5" s="5" t="n"/>
      <c r="C5" s="6" t="inlineStr">
        <is>
          <t>Aula 5</t>
        </is>
      </c>
      <c r="D5" s="6" t="inlineStr">
        <is>
          <t>Aula 5</t>
        </is>
      </c>
      <c r="E5" s="6" t="inlineStr">
        <is>
          <t>Aula 1</t>
        </is>
      </c>
      <c r="F5" s="6" t="inlineStr">
        <is>
          <t>Aula 1</t>
        </is>
      </c>
      <c r="G5" s="6" t="inlineStr">
        <is>
          <t>Lab</t>
        </is>
      </c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5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COUNTIF(C4:G22,I6)</f>
        <v/>
      </c>
      <c r="N6" t="inlineStr"/>
      <c r="O6" s="1" t="inlineStr">
        <is>
          <t>Lab</t>
        </is>
      </c>
    </row>
    <row r="7">
      <c r="A7" t="inlineStr"/>
      <c r="B7" s="3" t="inlineStr">
        <is>
          <t>Turno 2</t>
        </is>
      </c>
      <c r="C7" s="4" t="inlineStr">
        <is>
          <t>F</t>
        </is>
      </c>
      <c r="D7" s="4" t="inlineStr">
        <is>
          <t>AM I</t>
        </is>
      </c>
      <c r="E7" s="4" t="inlineStr">
        <is>
          <t>EF</t>
        </is>
      </c>
      <c r="F7" s="4" t="inlineStr">
        <is>
          <t>AM I</t>
        </is>
      </c>
      <c r="G7" s="4" t="inlineStr">
        <is>
          <t>A I</t>
        </is>
      </c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COUNTIF(C4:G22,I7)</f>
        <v/>
      </c>
      <c r="N7" t="inlineStr">
        <is>
          <t>Total:</t>
        </is>
      </c>
      <c r="O7">
        <f>COUNTA(O4:O6)</f>
        <v/>
      </c>
    </row>
    <row r="8">
      <c r="A8" t="inlineStr"/>
      <c r="B8" s="5" t="n"/>
      <c r="C8" s="6" t="inlineStr">
        <is>
          <t>Aula 5</t>
        </is>
      </c>
      <c r="D8" s="6" t="inlineStr">
        <is>
          <t>Aula 5</t>
        </is>
      </c>
      <c r="E8" s="6" t="inlineStr">
        <is>
          <t>SEDER</t>
        </is>
      </c>
      <c r="F8" s="6" t="inlineStr">
        <is>
          <t>Aula 1</t>
        </is>
      </c>
      <c r="G8" s="6" t="inlineStr">
        <is>
          <t>Aula 1</t>
        </is>
      </c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EF</t>
        </is>
      </c>
      <c r="J9" s="1" t="inlineStr">
        <is>
          <t>Educación Física I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L</t>
        </is>
      </c>
      <c r="D10" s="4" t="inlineStr">
        <is>
          <t>A I</t>
        </is>
      </c>
      <c r="E10" s="4" t="inlineStr">
        <is>
          <t>P</t>
        </is>
      </c>
      <c r="F10" s="4" t="inlineStr">
        <is>
          <t>F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Aula 5</t>
        </is>
      </c>
      <c r="D11" s="6" t="inlineStr">
        <is>
          <t>Aula 1</t>
        </is>
      </c>
      <c r="E11" s="6" t="inlineStr">
        <is>
          <t>Aula 1</t>
        </is>
      </c>
      <c r="F11" s="6" t="inlineStr">
        <is>
          <t>Aula 5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COUNTIF($O4:O6,C5)=0)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COUNTIF($O4:O6,D5)=0)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COUNTIF($O4:O6,E5)=0)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COUNTIF($O4:O6,F5)=0)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COUNTIF($O4:O6,G5)=0)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COUNTIF($O4:O6,C8)=0)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COUNTIF($O4:O6,D8)=0)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COUNTIF($O4:O6,E8)=0)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COUNTIF($O4:O6,F8)=0)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COUNTIF($O4:O6,G8)=0)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COUNTIF($O4:O6,C11)=0)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COUNTIF($O4:O6,D11)=0)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COUNTIF($O4:O6,E11)=0)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COUNTIF($O4:O6,F11)=0)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COUNTIF($O4:O6,G11)=0)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COUNTIF($O4:O6,C14)=0)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COUNTIF($O4:O6,D14)=0)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COUNTIF($O4:O6,E14)=0)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COUNTIF($O4:O6,F14)=0)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COUNTIF($O4:O6,G14)=0)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COUNTIF($O4:O6,C17)=0)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COUNTIF($O4:O6,D17)=0)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COUNTIF($O4:O6,E17)=0)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COUNTIF($O4:O6,F17)=0)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COUNTIF($O4:O6,G17)=0)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COUNTIF($O4:O6,C20)=0)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COUNTIF($O4:O6,D20)=0)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COUNTIF($O4:O6,E20)=0)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COUNTIF($O4:O6,F20)=0)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COUNTIF($O4:O6,G20)=0)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EDA</t>
        </is>
      </c>
      <c r="J4" s="1" t="inlineStr">
        <is>
          <t>Estructuras de Datos y Algoritmos I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c 6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MD</t>
        </is>
      </c>
      <c r="J5" s="1" t="inlineStr">
        <is>
          <t>Matemática Discreta I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AC</t>
        </is>
      </c>
      <c r="J6" s="1" t="inlineStr">
        <is>
          <t>Arquitectura de computadoras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EDO</t>
        </is>
      </c>
      <c r="J7" s="1" t="inlineStr">
        <is>
          <t>Ecuaciones Diferenciales Ordinarias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MN</t>
        </is>
      </c>
      <c r="J8" s="1" t="inlineStr">
        <is>
          <t>Matemática Numérica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s="2" t="inlineStr">
        <is>
          <t>EF3</t>
        </is>
      </c>
      <c r="J10" s="1" t="inlineStr">
        <is>
          <t>Educación Física III</t>
        </is>
      </c>
      <c r="K10" s="1" t="n">
        <v>2</v>
      </c>
      <c r="L10" s="1">
        <f>K10-M10</f>
        <v/>
      </c>
      <c r="M10" s="1">
        <f>COUNTIF(C4:G22,I10)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EDA I</t>
        </is>
      </c>
      <c r="D14" s="6" t="inlineStr">
        <is>
          <t>MD</t>
        </is>
      </c>
      <c r="E14" s="6" t="inlineStr">
        <is>
          <t>EDO</t>
        </is>
      </c>
      <c r="F14" s="6" t="inlineStr">
        <is>
          <t>MN</t>
        </is>
      </c>
      <c r="G14" s="6" t="inlineStr">
        <is>
          <t>AC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c 6</t>
        </is>
      </c>
      <c r="D15" s="8" t="inlineStr">
        <is>
          <t>c6</t>
        </is>
      </c>
      <c r="E15" s="8" t="inlineStr">
        <is>
          <t>cp 6</t>
        </is>
      </c>
      <c r="F15" s="8" t="inlineStr">
        <is>
          <t>cp 6</t>
        </is>
      </c>
      <c r="G15" s="8" t="inlineStr">
        <is>
          <t>lab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TP</t>
        </is>
      </c>
      <c r="D17" s="6" t="inlineStr">
        <is>
          <t>MN</t>
        </is>
      </c>
      <c r="E17" s="6" t="inlineStr">
        <is>
          <t>EDA I</t>
        </is>
      </c>
      <c r="F17" s="6" t="inlineStr">
        <is>
          <t>TP</t>
        </is>
      </c>
      <c r="G17" s="6" t="inlineStr">
        <is>
          <t>MD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>
        <is>
          <t>c 6</t>
        </is>
      </c>
      <c r="D18" s="8" t="inlineStr">
        <is>
          <t>c 6</t>
        </is>
      </c>
      <c r="E18" s="8" t="inlineStr">
        <is>
          <t>cp 6</t>
        </is>
      </c>
      <c r="F18" s="8" t="inlineStr">
        <is>
          <t>c 6</t>
        </is>
      </c>
      <c r="G18" s="8" t="inlineStr">
        <is>
          <t>cp 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EDO</t>
        </is>
      </c>
      <c r="D20" s="6" t="inlineStr">
        <is>
          <t>AC</t>
        </is>
      </c>
      <c r="E20" s="6" t="inlineStr">
        <is>
          <t>EF 4:45pm a 5:35pm</t>
        </is>
      </c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>
        <is>
          <t>c 6</t>
        </is>
      </c>
      <c r="D21" s="8" t="inlineStr">
        <is>
          <t>c 6</t>
        </is>
      </c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7">
    <cfRule type="expression" priority="6" dxfId="0" stopIfTrue="1">
      <formula>AND(C7&lt;&gt;"", COUNTIF($I4:I10,C7)=0)</formula>
    </cfRule>
  </conditionalFormatting>
  <conditionalFormatting sqref="D7">
    <cfRule type="expression" priority="7" dxfId="0" stopIfTrue="1">
      <formula>AND(D7&lt;&gt;"", COUNTIF($I4:I10,D7)=0)</formula>
    </cfRule>
  </conditionalFormatting>
  <conditionalFormatting sqref="E7">
    <cfRule type="expression" priority="8" dxfId="0" stopIfTrue="1">
      <formula>AND(E7&lt;&gt;"", COUNTIF($I4:I10,E7)=0)</formula>
    </cfRule>
  </conditionalFormatting>
  <conditionalFormatting sqref="F7">
    <cfRule type="expression" priority="9" dxfId="0" stopIfTrue="1">
      <formula>AND(F7&lt;&gt;"", COUNTIF($I4:I10,F7)=0)</formula>
    </cfRule>
  </conditionalFormatting>
  <conditionalFormatting sqref="G7">
    <cfRule type="expression" priority="10" dxfId="0" stopIfTrue="1">
      <formula>AND(G7&lt;&gt;"", COUNTIF($I4:I10,G7)=0)</formula>
    </cfRule>
  </conditionalFormatting>
  <conditionalFormatting sqref="C10">
    <cfRule type="expression" priority="11" dxfId="0" stopIfTrue="1">
      <formula>AND(C10&lt;&gt;"", COUNTIF($I4:I10,C10)=0)</formula>
    </cfRule>
  </conditionalFormatting>
  <conditionalFormatting sqref="D10">
    <cfRule type="expression" priority="12" dxfId="0" stopIfTrue="1">
      <formula>AND(D10&lt;&gt;"", COUNTIF($I4:I10,D10)=0)</formula>
    </cfRule>
  </conditionalFormatting>
  <conditionalFormatting sqref="E10">
    <cfRule type="expression" priority="13" dxfId="0" stopIfTrue="1">
      <formula>AND(E10&lt;&gt;"", COUNTIF($I4:I10,E10)=0)</formula>
    </cfRule>
  </conditionalFormatting>
  <conditionalFormatting sqref="F10">
    <cfRule type="expression" priority="14" dxfId="0" stopIfTrue="1">
      <formula>AND(F10&lt;&gt;"", COUNTIF($I4:I10,F10)=0)</formula>
    </cfRule>
  </conditionalFormatting>
  <conditionalFormatting sqref="G10">
    <cfRule type="expression" priority="15" dxfId="0" stopIfTrue="1">
      <formula>AND(G10&lt;&gt;"", COUNTIF($I4:I10,G10)=0)</formula>
    </cfRule>
  </conditionalFormatting>
  <conditionalFormatting sqref="C13">
    <cfRule type="expression" priority="16" dxfId="0" stopIfTrue="1">
      <formula>AND(C13&lt;&gt;"", COUNTIF($I4:I10,C13)=0)</formula>
    </cfRule>
  </conditionalFormatting>
  <conditionalFormatting sqref="D13">
    <cfRule type="expression" priority="17" dxfId="0" stopIfTrue="1">
      <formula>AND(D13&lt;&gt;"", COUNTIF($I4:I10,D13)=0)</formula>
    </cfRule>
  </conditionalFormatting>
  <conditionalFormatting sqref="E13">
    <cfRule type="expression" priority="18" dxfId="0" stopIfTrue="1">
      <formula>AND(E13&lt;&gt;"", COUNTIF($I4:I10,E13)=0)</formula>
    </cfRule>
  </conditionalFormatting>
  <conditionalFormatting sqref="F13">
    <cfRule type="expression" priority="19" dxfId="0" stopIfTrue="1">
      <formula>AND(F13&lt;&gt;"", COUNTIF($I4:I10,F13)=0)</formula>
    </cfRule>
  </conditionalFormatting>
  <conditionalFormatting sqref="G13">
    <cfRule type="expression" priority="20" dxfId="0" stopIfTrue="1">
      <formula>AND(G13&lt;&gt;"", COUNTIF($I4:I10,G13)=0)</formula>
    </cfRule>
  </conditionalFormatting>
  <conditionalFormatting sqref="C16">
    <cfRule type="expression" priority="21" dxfId="0" stopIfTrue="1">
      <formula>AND(C16&lt;&gt;"", COUNTIF($I4:I10,C16)=0)</formula>
    </cfRule>
  </conditionalFormatting>
  <conditionalFormatting sqref="D16">
    <cfRule type="expression" priority="22" dxfId="0" stopIfTrue="1">
      <formula>AND(D16&lt;&gt;"", COUNTIF($I4:I10,D16)=0)</formula>
    </cfRule>
  </conditionalFormatting>
  <conditionalFormatting sqref="E16">
    <cfRule type="expression" priority="23" dxfId="0" stopIfTrue="1">
      <formula>AND(E16&lt;&gt;"", COUNTIF($I4:I10,E16)=0)</formula>
    </cfRule>
  </conditionalFormatting>
  <conditionalFormatting sqref="F16">
    <cfRule type="expression" priority="24" dxfId="0" stopIfTrue="1">
      <formula>AND(F16&lt;&gt;"", COUNTIF($I4:I10,F16)=0)</formula>
    </cfRule>
  </conditionalFormatting>
  <conditionalFormatting sqref="G16">
    <cfRule type="expression" priority="25" dxfId="0" stopIfTrue="1">
      <formula>AND(G16&lt;&gt;"", COUNTIF($I4:I10,G16)=0)</formula>
    </cfRule>
  </conditionalFormatting>
  <conditionalFormatting sqref="C19">
    <cfRule type="expression" priority="26" dxfId="0" stopIfTrue="1">
      <formula>AND(C19&lt;&gt;"", COUNTIF($I4:I10,C19)=0)</formula>
    </cfRule>
  </conditionalFormatting>
  <conditionalFormatting sqref="D19">
    <cfRule type="expression" priority="27" dxfId="0" stopIfTrue="1">
      <formula>AND(D19&lt;&gt;"", COUNTIF($I4:I10,D19)=0)</formula>
    </cfRule>
  </conditionalFormatting>
  <conditionalFormatting sqref="E19">
    <cfRule type="expression" priority="28" dxfId="0" stopIfTrue="1">
      <formula>AND(E19&lt;&gt;"", COUNTIF($I4:I10,E19)=0)</formula>
    </cfRule>
  </conditionalFormatting>
  <conditionalFormatting sqref="F19">
    <cfRule type="expression" priority="29" dxfId="0" stopIfTrue="1">
      <formula>AND(F19&lt;&gt;"", COUNTIF($I4:I10,F19)=0)</formula>
    </cfRule>
  </conditionalFormatting>
  <conditionalFormatting sqref="G19">
    <cfRule type="expression" priority="30" dxfId="0" stopIfTrue="1">
      <formula>AND(G19&lt;&gt;"", COUNTIF($I4:I10,G19)=0)</formula>
    </cfRule>
  </conditionalFormatting>
  <conditionalFormatting sqref="C22">
    <cfRule type="expression" priority="31" dxfId="0" stopIfTrue="1">
      <formula>AND(C22&lt;&gt;"", COUNTIF($I4:I10,C22)=0)</formula>
    </cfRule>
  </conditionalFormatting>
  <conditionalFormatting sqref="D22">
    <cfRule type="expression" priority="32" dxfId="0" stopIfTrue="1">
      <formula>AND(D22&lt;&gt;"", COUNTIF($I4:I10,D22)=0)</formula>
    </cfRule>
  </conditionalFormatting>
  <conditionalFormatting sqref="E22">
    <cfRule type="expression" priority="33" dxfId="0" stopIfTrue="1">
      <formula>AND(E22&lt;&gt;"", COUNTIF($I4:I10,E22)=0)</formula>
    </cfRule>
  </conditionalFormatting>
  <conditionalFormatting sqref="F22">
    <cfRule type="expression" priority="34" dxfId="0" stopIfTrue="1">
      <formula>AND(F22&lt;&gt;"", COUNTIF($I4:I10,F22)=0)</formula>
    </cfRule>
  </conditionalFormatting>
  <conditionalFormatting sqref="G22">
    <cfRule type="expression" priority="35" dxfId="0" stopIfTrue="1">
      <formula>AND(G22&lt;&gt;"", COUNTIF($I4:I10,G22)=0)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3" dxfId="4" stopIfTrue="1">
      <formula>AND(J4&lt;&gt;"", M4&gt;0, L4&lt;0)</formula>
    </cfRule>
    <cfRule type="expression" priority="110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4" dxfId="4" stopIfTrue="1">
      <formula>AND(J5&lt;&gt;"", M5&gt;0, L5&lt;0)</formula>
    </cfRule>
    <cfRule type="expression" priority="111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5" dxfId="4" stopIfTrue="1">
      <formula>AND(J6&lt;&gt;"", M6&gt;0, L6&lt;0)</formula>
    </cfRule>
    <cfRule type="expression" priority="112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6" dxfId="4" stopIfTrue="1">
      <formula>AND(J7&lt;&gt;"", M7&gt;0, L7&lt;0)</formula>
    </cfRule>
    <cfRule type="expression" priority="113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7" dxfId="4" stopIfTrue="1">
      <formula>AND(J8&lt;&gt;"", M8&gt;0, L8&lt;0)</formula>
    </cfRule>
    <cfRule type="expression" priority="114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8" dxfId="4" stopIfTrue="1">
      <formula>AND(J9&lt;&gt;"", M9&gt;0, L9&lt;0)</formula>
    </cfRule>
    <cfRule type="expression" priority="115" dxfId="5" stopIfTrue="1">
      <formula>AND(J9&lt;&gt;"", M9&gt;0, L9&gt;0, L9&lt;K9)</formula>
    </cfRule>
  </conditionalFormatting>
  <conditionalFormatting sqref="J10">
    <cfRule type="expression" priority="102" dxfId="3" stopIfTrue="1">
      <formula>AND(J10&lt;&gt;"", M10&gt;0, L10=0)</formula>
    </cfRule>
    <cfRule type="expression" priority="109" dxfId="4" stopIfTrue="1">
      <formula>AND(J10&lt;&gt;"", M10&gt;0, L10&lt;0)</formula>
    </cfRule>
    <cfRule type="expression" priority="116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C212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EDA</t>
        </is>
      </c>
      <c r="J4" s="1" t="inlineStr">
        <is>
          <t>Estructuras de Datos y Algoritmos I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c 6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MD</t>
        </is>
      </c>
      <c r="J5" s="1" t="inlineStr">
        <is>
          <t>Matemática Discreta I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AC</t>
        </is>
      </c>
      <c r="J6" s="1" t="inlineStr">
        <is>
          <t>Arquitectura de computadoras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EDO</t>
        </is>
      </c>
      <c r="J7" s="1" t="inlineStr">
        <is>
          <t>Ecuaciones Diferenciales Ordinarias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MN</t>
        </is>
      </c>
      <c r="J8" s="1" t="inlineStr">
        <is>
          <t>Matemática Numérica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s="2" t="inlineStr">
        <is>
          <t>EF3</t>
        </is>
      </c>
      <c r="J10" s="1" t="inlineStr">
        <is>
          <t>Educación Física III</t>
        </is>
      </c>
      <c r="K10" s="1" t="n">
        <v>2</v>
      </c>
      <c r="L10" s="1">
        <f>K10-M10</f>
        <v/>
      </c>
      <c r="M10" s="1">
        <f>COUNTIF(C4:G22,I10)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EDA I</t>
        </is>
      </c>
      <c r="D14" s="6" t="inlineStr">
        <is>
          <t>MD</t>
        </is>
      </c>
      <c r="E14" s="6" t="inlineStr">
        <is>
          <t>EDO I</t>
        </is>
      </c>
      <c r="F14" s="6" t="inlineStr">
        <is>
          <t>MN</t>
        </is>
      </c>
      <c r="G14" s="6" t="inlineStr">
        <is>
          <t>AC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c 6</t>
        </is>
      </c>
      <c r="D15" s="8" t="inlineStr">
        <is>
          <t>c6</t>
        </is>
      </c>
      <c r="E15" s="8" t="inlineStr">
        <is>
          <t>cp 5</t>
        </is>
      </c>
      <c r="F15" s="8" t="inlineStr">
        <is>
          <t>cp 5</t>
        </is>
      </c>
      <c r="G15" s="8" t="inlineStr">
        <is>
          <t>lab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TP</t>
        </is>
      </c>
      <c r="D17" s="6" t="inlineStr">
        <is>
          <t>MN</t>
        </is>
      </c>
      <c r="E17" s="6" t="inlineStr">
        <is>
          <t>EDA I</t>
        </is>
      </c>
      <c r="F17" s="6" t="inlineStr">
        <is>
          <t>TP</t>
        </is>
      </c>
      <c r="G17" s="6" t="inlineStr">
        <is>
          <t>MD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>
        <is>
          <t>c 6</t>
        </is>
      </c>
      <c r="D18" s="8" t="inlineStr">
        <is>
          <t>c 6</t>
        </is>
      </c>
      <c r="E18" s="8" t="inlineStr">
        <is>
          <t>cp 5</t>
        </is>
      </c>
      <c r="F18" s="8" t="inlineStr">
        <is>
          <t>c 6</t>
        </is>
      </c>
      <c r="G18" s="8" t="inlineStr">
        <is>
          <t>cp 5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EDO</t>
        </is>
      </c>
      <c r="D20" s="6" t="inlineStr">
        <is>
          <t>AC</t>
        </is>
      </c>
      <c r="E20" s="6" t="inlineStr">
        <is>
          <t>EF 4:45pm a 5:35pm</t>
        </is>
      </c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>
        <is>
          <t>c 6</t>
        </is>
      </c>
      <c r="D21" s="8" t="inlineStr">
        <is>
          <t>c 6</t>
        </is>
      </c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7">
    <cfRule type="expression" priority="6" dxfId="0" stopIfTrue="1">
      <formula>AND(C7&lt;&gt;"", COUNTIF($I4:I10,C7)=0)</formula>
    </cfRule>
  </conditionalFormatting>
  <conditionalFormatting sqref="D7">
    <cfRule type="expression" priority="7" dxfId="0" stopIfTrue="1">
      <formula>AND(D7&lt;&gt;"", COUNTIF($I4:I10,D7)=0)</formula>
    </cfRule>
  </conditionalFormatting>
  <conditionalFormatting sqref="E7">
    <cfRule type="expression" priority="8" dxfId="0" stopIfTrue="1">
      <formula>AND(E7&lt;&gt;"", COUNTIF($I4:I10,E7)=0)</formula>
    </cfRule>
  </conditionalFormatting>
  <conditionalFormatting sqref="F7">
    <cfRule type="expression" priority="9" dxfId="0" stopIfTrue="1">
      <formula>AND(F7&lt;&gt;"", COUNTIF($I4:I10,F7)=0)</formula>
    </cfRule>
  </conditionalFormatting>
  <conditionalFormatting sqref="G7">
    <cfRule type="expression" priority="10" dxfId="0" stopIfTrue="1">
      <formula>AND(G7&lt;&gt;"", COUNTIF($I4:I10,G7)=0)</formula>
    </cfRule>
  </conditionalFormatting>
  <conditionalFormatting sqref="C10">
    <cfRule type="expression" priority="11" dxfId="0" stopIfTrue="1">
      <formula>AND(C10&lt;&gt;"", COUNTIF($I4:I10,C10)=0)</formula>
    </cfRule>
  </conditionalFormatting>
  <conditionalFormatting sqref="D10">
    <cfRule type="expression" priority="12" dxfId="0" stopIfTrue="1">
      <formula>AND(D10&lt;&gt;"", COUNTIF($I4:I10,D10)=0)</formula>
    </cfRule>
  </conditionalFormatting>
  <conditionalFormatting sqref="E10">
    <cfRule type="expression" priority="13" dxfId="0" stopIfTrue="1">
      <formula>AND(E10&lt;&gt;"", COUNTIF($I4:I10,E10)=0)</formula>
    </cfRule>
  </conditionalFormatting>
  <conditionalFormatting sqref="F10">
    <cfRule type="expression" priority="14" dxfId="0" stopIfTrue="1">
      <formula>AND(F10&lt;&gt;"", COUNTIF($I4:I10,F10)=0)</formula>
    </cfRule>
  </conditionalFormatting>
  <conditionalFormatting sqref="G10">
    <cfRule type="expression" priority="15" dxfId="0" stopIfTrue="1">
      <formula>AND(G10&lt;&gt;"", COUNTIF($I4:I10,G10)=0)</formula>
    </cfRule>
  </conditionalFormatting>
  <conditionalFormatting sqref="C13">
    <cfRule type="expression" priority="16" dxfId="0" stopIfTrue="1">
      <formula>AND(C13&lt;&gt;"", COUNTIF($I4:I10,C13)=0)</formula>
    </cfRule>
  </conditionalFormatting>
  <conditionalFormatting sqref="D13">
    <cfRule type="expression" priority="17" dxfId="0" stopIfTrue="1">
      <formula>AND(D13&lt;&gt;"", COUNTIF($I4:I10,D13)=0)</formula>
    </cfRule>
  </conditionalFormatting>
  <conditionalFormatting sqref="E13">
    <cfRule type="expression" priority="18" dxfId="0" stopIfTrue="1">
      <formula>AND(E13&lt;&gt;"", COUNTIF($I4:I10,E13)=0)</formula>
    </cfRule>
  </conditionalFormatting>
  <conditionalFormatting sqref="F13">
    <cfRule type="expression" priority="19" dxfId="0" stopIfTrue="1">
      <formula>AND(F13&lt;&gt;"", COUNTIF($I4:I10,F13)=0)</formula>
    </cfRule>
  </conditionalFormatting>
  <conditionalFormatting sqref="G13">
    <cfRule type="expression" priority="20" dxfId="0" stopIfTrue="1">
      <formula>AND(G13&lt;&gt;"", COUNTIF($I4:I10,G13)=0)</formula>
    </cfRule>
  </conditionalFormatting>
  <conditionalFormatting sqref="C16">
    <cfRule type="expression" priority="21" dxfId="0" stopIfTrue="1">
      <formula>AND(C16&lt;&gt;"", COUNTIF($I4:I10,C16)=0)</formula>
    </cfRule>
  </conditionalFormatting>
  <conditionalFormatting sqref="D16">
    <cfRule type="expression" priority="22" dxfId="0" stopIfTrue="1">
      <formula>AND(D16&lt;&gt;"", COUNTIF($I4:I10,D16)=0)</formula>
    </cfRule>
  </conditionalFormatting>
  <conditionalFormatting sqref="E16">
    <cfRule type="expression" priority="23" dxfId="0" stopIfTrue="1">
      <formula>AND(E16&lt;&gt;"", COUNTIF($I4:I10,E16)=0)</formula>
    </cfRule>
  </conditionalFormatting>
  <conditionalFormatting sqref="F16">
    <cfRule type="expression" priority="24" dxfId="0" stopIfTrue="1">
      <formula>AND(F16&lt;&gt;"", COUNTIF($I4:I10,F16)=0)</formula>
    </cfRule>
  </conditionalFormatting>
  <conditionalFormatting sqref="G16">
    <cfRule type="expression" priority="25" dxfId="0" stopIfTrue="1">
      <formula>AND(G16&lt;&gt;"", COUNTIF($I4:I10,G16)=0)</formula>
    </cfRule>
  </conditionalFormatting>
  <conditionalFormatting sqref="C19">
    <cfRule type="expression" priority="26" dxfId="0" stopIfTrue="1">
      <formula>AND(C19&lt;&gt;"", COUNTIF($I4:I10,C19)=0)</formula>
    </cfRule>
  </conditionalFormatting>
  <conditionalFormatting sqref="D19">
    <cfRule type="expression" priority="27" dxfId="0" stopIfTrue="1">
      <formula>AND(D19&lt;&gt;"", COUNTIF($I4:I10,D19)=0)</formula>
    </cfRule>
  </conditionalFormatting>
  <conditionalFormatting sqref="E19">
    <cfRule type="expression" priority="28" dxfId="0" stopIfTrue="1">
      <formula>AND(E19&lt;&gt;"", COUNTIF($I4:I10,E19)=0)</formula>
    </cfRule>
  </conditionalFormatting>
  <conditionalFormatting sqref="F19">
    <cfRule type="expression" priority="29" dxfId="0" stopIfTrue="1">
      <formula>AND(F19&lt;&gt;"", COUNTIF($I4:I10,F19)=0)</formula>
    </cfRule>
  </conditionalFormatting>
  <conditionalFormatting sqref="G19">
    <cfRule type="expression" priority="30" dxfId="0" stopIfTrue="1">
      <formula>AND(G19&lt;&gt;"", COUNTIF($I4:I10,G19)=0)</formula>
    </cfRule>
  </conditionalFormatting>
  <conditionalFormatting sqref="C22">
    <cfRule type="expression" priority="31" dxfId="0" stopIfTrue="1">
      <formula>AND(C22&lt;&gt;"", COUNTIF($I4:I10,C22)=0)</formula>
    </cfRule>
  </conditionalFormatting>
  <conditionalFormatting sqref="D22">
    <cfRule type="expression" priority="32" dxfId="0" stopIfTrue="1">
      <formula>AND(D22&lt;&gt;"", COUNTIF($I4:I10,D22)=0)</formula>
    </cfRule>
  </conditionalFormatting>
  <conditionalFormatting sqref="E22">
    <cfRule type="expression" priority="33" dxfId="0" stopIfTrue="1">
      <formula>AND(E22&lt;&gt;"", COUNTIF($I4:I10,E22)=0)</formula>
    </cfRule>
  </conditionalFormatting>
  <conditionalFormatting sqref="F22">
    <cfRule type="expression" priority="34" dxfId="0" stopIfTrue="1">
      <formula>AND(F22&lt;&gt;"", COUNTIF($I4:I10,F22)=0)</formula>
    </cfRule>
  </conditionalFormatting>
  <conditionalFormatting sqref="G22">
    <cfRule type="expression" priority="35" dxfId="0" stopIfTrue="1">
      <formula>AND(G22&lt;&gt;"", COUNTIF($I4:I10,G22)=0)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3" dxfId="4" stopIfTrue="1">
      <formula>AND(J4&lt;&gt;"", M4&gt;0, L4&lt;0)</formula>
    </cfRule>
    <cfRule type="expression" priority="110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4" dxfId="4" stopIfTrue="1">
      <formula>AND(J5&lt;&gt;"", M5&gt;0, L5&lt;0)</formula>
    </cfRule>
    <cfRule type="expression" priority="111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5" dxfId="4" stopIfTrue="1">
      <formula>AND(J6&lt;&gt;"", M6&gt;0, L6&lt;0)</formula>
    </cfRule>
    <cfRule type="expression" priority="112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6" dxfId="4" stopIfTrue="1">
      <formula>AND(J7&lt;&gt;"", M7&gt;0, L7&lt;0)</formula>
    </cfRule>
    <cfRule type="expression" priority="113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7" dxfId="4" stopIfTrue="1">
      <formula>AND(J8&lt;&gt;"", M8&gt;0, L8&lt;0)</formula>
    </cfRule>
    <cfRule type="expression" priority="114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8" dxfId="4" stopIfTrue="1">
      <formula>AND(J9&lt;&gt;"", M9&gt;0, L9&lt;0)</formula>
    </cfRule>
    <cfRule type="expression" priority="115" dxfId="5" stopIfTrue="1">
      <formula>AND(J9&lt;&gt;"", M9&gt;0, L9&gt;0, L9&lt;K9)</formula>
    </cfRule>
  </conditionalFormatting>
  <conditionalFormatting sqref="J10">
    <cfRule type="expression" priority="102" dxfId="3" stopIfTrue="1">
      <formula>AND(J10&lt;&gt;"", M10&gt;0, L10=0)</formula>
    </cfRule>
    <cfRule type="expression" priority="109" dxfId="4" stopIfTrue="1">
      <formula>AND(J10&lt;&gt;"", M10&gt;0, L10&lt;0)</formula>
    </cfRule>
    <cfRule type="expression" priority="116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C311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BD2</t>
        </is>
      </c>
      <c r="D4" s="4" t="inlineStr">
        <is>
          <t>Est</t>
        </is>
      </c>
      <c r="E4" s="4" t="inlineStr">
        <is>
          <t>BD2 cp</t>
        </is>
      </c>
      <c r="F4" s="4" t="inlineStr">
        <is>
          <t>MO</t>
        </is>
      </c>
      <c r="G4" s="4" t="inlineStr"/>
      <c r="H4" t="inlineStr"/>
      <c r="I4" s="2" t="inlineStr">
        <is>
          <t>RC</t>
        </is>
      </c>
      <c r="J4" s="1" t="inlineStr">
        <is>
          <t>Redes de Computadoras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Aula 9</t>
        </is>
      </c>
    </row>
    <row r="5">
      <c r="A5" t="inlineStr"/>
      <c r="B5" s="5" t="n"/>
      <c r="C5" s="6" t="inlineStr">
        <is>
          <t>Aula 9</t>
        </is>
      </c>
      <c r="D5" s="6" t="inlineStr">
        <is>
          <t>Aula 9</t>
        </is>
      </c>
      <c r="E5" s="6" t="inlineStr">
        <is>
          <t>Aula 9</t>
        </is>
      </c>
      <c r="F5" s="6" t="inlineStr">
        <is>
          <t>Aula 9</t>
        </is>
      </c>
      <c r="G5" s="6" t="inlineStr"/>
      <c r="H5" t="inlineStr"/>
      <c r="I5" s="2" t="inlineStr">
        <is>
          <t>IS</t>
        </is>
      </c>
      <c r="J5" s="1" t="inlineStr">
        <is>
          <t>Ingeniería de Software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MO</t>
        </is>
      </c>
      <c r="J6" s="1" t="inlineStr">
        <is>
          <t>Modelos de Optimización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>
        <is>
          <t>IS c</t>
        </is>
      </c>
      <c r="D7" s="4" t="inlineStr">
        <is>
          <t>PD c</t>
        </is>
      </c>
      <c r="E7" s="4" t="inlineStr">
        <is>
          <t>IS c</t>
        </is>
      </c>
      <c r="F7" s="4" t="inlineStr">
        <is>
          <t>PD cp</t>
        </is>
      </c>
      <c r="G7" s="4" t="inlineStr"/>
      <c r="H7" t="inlineStr"/>
      <c r="I7" s="2" t="inlineStr">
        <is>
          <t>BD2</t>
        </is>
      </c>
      <c r="J7" s="1" t="inlineStr">
        <is>
          <t>Bases de Datos II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>
        <is>
          <t>Aula 9</t>
        </is>
      </c>
      <c r="D8" s="6" t="inlineStr">
        <is>
          <t>Aula 9</t>
        </is>
      </c>
      <c r="E8" s="6" t="inlineStr">
        <is>
          <t>Aula 9</t>
        </is>
      </c>
      <c r="F8" s="6" t="inlineStr">
        <is>
          <t>Aula 9</t>
        </is>
      </c>
      <c r="G8" s="6" t="inlineStr"/>
      <c r="H8" t="inlineStr"/>
      <c r="I8" s="2" t="inlineStr">
        <is>
          <t>PD</t>
        </is>
      </c>
      <c r="J8" s="1" t="inlineStr">
        <is>
          <t>Programación Declarativa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Est</t>
        </is>
      </c>
      <c r="J9" s="1" t="inlineStr">
        <is>
          <t>Estadística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RC</t>
        </is>
      </c>
      <c r="D10" s="4" t="inlineStr">
        <is>
          <t>MO</t>
        </is>
      </c>
      <c r="E10" s="4" t="inlineStr">
        <is>
          <t>RC cp</t>
        </is>
      </c>
      <c r="F10" s="4" t="inlineStr">
        <is>
          <t>Est cp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Aula 9</t>
        </is>
      </c>
      <c r="D11" s="6" t="inlineStr">
        <is>
          <t>Aula 9</t>
        </is>
      </c>
      <c r="E11" s="6" t="inlineStr">
        <is>
          <t>Aula 9</t>
        </is>
      </c>
      <c r="F11" s="6" t="inlineStr">
        <is>
          <t>Aula 9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C312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BD2</t>
        </is>
      </c>
      <c r="D4" s="4" t="inlineStr">
        <is>
          <t>Est</t>
        </is>
      </c>
      <c r="E4" s="4" t="inlineStr">
        <is>
          <t>BD2 cp</t>
        </is>
      </c>
      <c r="F4" s="4" t="inlineStr">
        <is>
          <t>PD cp</t>
        </is>
      </c>
      <c r="G4" s="4" t="inlineStr"/>
      <c r="H4" t="inlineStr"/>
      <c r="I4" s="2" t="inlineStr">
        <is>
          <t>RC</t>
        </is>
      </c>
      <c r="J4" s="1" t="inlineStr">
        <is>
          <t>Redes de Computadoras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Aula 3</t>
        </is>
      </c>
    </row>
    <row r="5">
      <c r="A5" t="inlineStr"/>
      <c r="B5" s="5" t="n"/>
      <c r="C5" s="6" t="inlineStr">
        <is>
          <t>Aula 9</t>
        </is>
      </c>
      <c r="D5" s="6" t="inlineStr">
        <is>
          <t>Aula 9</t>
        </is>
      </c>
      <c r="E5" s="6" t="inlineStr">
        <is>
          <t>Aula 3</t>
        </is>
      </c>
      <c r="F5" s="6" t="inlineStr">
        <is>
          <t>Aula 3</t>
        </is>
      </c>
      <c r="G5" s="6" t="inlineStr"/>
      <c r="H5" t="inlineStr"/>
      <c r="I5" s="2" t="inlineStr">
        <is>
          <t>IS</t>
        </is>
      </c>
      <c r="J5" s="1" t="inlineStr">
        <is>
          <t>Ingeniería de Software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9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MO</t>
        </is>
      </c>
      <c r="J6" s="1" t="inlineStr">
        <is>
          <t>Modelos de Optimización</t>
        </is>
      </c>
      <c r="K6" s="1" t="n">
        <v>2</v>
      </c>
      <c r="L6" s="1">
        <f>K6-M6</f>
        <v/>
      </c>
      <c r="M6" s="1">
        <f>COUNTIF(C4:G22,I6)</f>
        <v/>
      </c>
      <c r="N6" t="inlineStr">
        <is>
          <t>Total:</t>
        </is>
      </c>
      <c r="O6">
        <f>COUNTA(O4:O5)</f>
        <v/>
      </c>
    </row>
    <row r="7">
      <c r="A7" t="inlineStr"/>
      <c r="B7" s="3" t="inlineStr">
        <is>
          <t>Turno 2</t>
        </is>
      </c>
      <c r="C7" s="4" t="inlineStr">
        <is>
          <t>IS c</t>
        </is>
      </c>
      <c r="D7" s="4" t="inlineStr">
        <is>
          <t>PD c</t>
        </is>
      </c>
      <c r="E7" s="4" t="inlineStr">
        <is>
          <t>IS c</t>
        </is>
      </c>
      <c r="F7" s="4" t="inlineStr">
        <is>
          <t>MO</t>
        </is>
      </c>
      <c r="G7" s="4" t="inlineStr"/>
      <c r="H7" t="inlineStr"/>
      <c r="I7" s="2" t="inlineStr">
        <is>
          <t>BD2</t>
        </is>
      </c>
      <c r="J7" s="1" t="inlineStr">
        <is>
          <t>Bases de Datos II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>
        <is>
          <t>Aula 9</t>
        </is>
      </c>
      <c r="D8" s="6" t="inlineStr">
        <is>
          <t>Aula 9</t>
        </is>
      </c>
      <c r="E8" s="6" t="inlineStr">
        <is>
          <t>Aula 3</t>
        </is>
      </c>
      <c r="F8" s="6" t="inlineStr">
        <is>
          <t>Aula 3</t>
        </is>
      </c>
      <c r="G8" s="6" t="inlineStr"/>
      <c r="H8" t="inlineStr"/>
      <c r="I8" s="2" t="inlineStr">
        <is>
          <t>PD</t>
        </is>
      </c>
      <c r="J8" s="1" t="inlineStr">
        <is>
          <t>Programación Declarativa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Est</t>
        </is>
      </c>
      <c r="J9" s="1" t="inlineStr">
        <is>
          <t>Estadística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RC</t>
        </is>
      </c>
      <c r="D10" s="4" t="inlineStr">
        <is>
          <t>MO</t>
        </is>
      </c>
      <c r="E10" s="4" t="inlineStr">
        <is>
          <t>RC cp</t>
        </is>
      </c>
      <c r="F10" s="4" t="inlineStr">
        <is>
          <t>Est cp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Aula 9</t>
        </is>
      </c>
      <c r="D11" s="6" t="inlineStr">
        <is>
          <t>Aula 9</t>
        </is>
      </c>
      <c r="E11" s="6" t="inlineStr">
        <is>
          <t>Aula 3</t>
        </is>
      </c>
      <c r="F11" s="6" t="inlineStr">
        <is>
          <t>Aula 3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COUNTIF($O4:O5,C5)=0)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COUNTIF($O4:O5,D5)=0)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COUNTIF($O4:O5,E5)=0)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COUNTIF($O4:O5,F5)=0)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COUNTIF($O4:O5,G5)=0)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COUNTIF($O4:O5,C8)=0)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COUNTIF($O4:O5,D8)=0)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COUNTIF($O4:O5,E8)=0)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COUNTIF($O4:O5,F8)=0)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COUNTIF($O4:O5,G8)=0)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COUNTIF($O4:O5,C14)=0)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COUNTIF($O4:O5,D14)=0)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COUNTIF($O4:O5,E14)=0)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COUNTIF($O4:O5,F14)=0)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COUNTIF($O4:O5,G14)=0)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COUNTIF($O4:O5,C17)=0)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COUNTIF($O4:O5,D17)=0)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COUNTIF($O4:O5,E17)=0)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COUNTIF($O4:O5,F17)=0)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COUNTIF($O4:O5,G17)=0)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COUNTIF($O4:O5,C20)=0)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COUNTIF($O4:O5,D20)=0)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COUNTIF($O4:O5,E20)=0)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COUNTIF($O4:O5,F20)=0)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COUNTIF($O4:O5,G20)=0)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C411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AM</t>
        </is>
      </c>
      <c r="J4" s="1" t="inlineStr">
        <is>
          <t>Aprendizaje de Máquinas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/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DAA</t>
        </is>
      </c>
      <c r="J5" s="1" t="inlineStr">
        <is>
          <t>Diseño y Análisis de Algoritmos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SD</t>
        </is>
      </c>
      <c r="J6" s="1" t="inlineStr">
        <is>
          <t>Sistemas Distribuidos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AE</t>
        </is>
      </c>
      <c r="J7" s="1" t="inlineStr">
        <is>
          <t>Asignatura Electiva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ECTS</t>
        </is>
      </c>
      <c r="J8" s="1" t="inlineStr">
        <is>
          <t>Estudios de Ciencia, Tecnología y Sociedad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SN/DN</t>
        </is>
      </c>
      <c r="J9" s="1" t="inlineStr">
        <is>
          <t>Seguridad Nacional / Defensa Nacionaol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AM</t>
        </is>
      </c>
      <c r="D14" s="6" t="inlineStr">
        <is>
          <t>DAA</t>
        </is>
      </c>
      <c r="E14" s="6" t="inlineStr">
        <is>
          <t>DAA</t>
        </is>
      </c>
      <c r="F14" s="6" t="inlineStr">
        <is>
          <t>SN</t>
        </is>
      </c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9</t>
        </is>
      </c>
      <c r="D15" s="8" t="inlineStr">
        <is>
          <t>9</t>
        </is>
      </c>
      <c r="E15" s="8" t="inlineStr">
        <is>
          <t>9</t>
        </is>
      </c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SD 9</t>
        </is>
      </c>
      <c r="D17" s="6" t="inlineStr">
        <is>
          <t>SN</t>
        </is>
      </c>
      <c r="E17" s="6" t="inlineStr">
        <is>
          <t>AM</t>
        </is>
      </c>
      <c r="F17" s="6" t="inlineStr">
        <is>
          <t>SN</t>
        </is>
      </c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>
        <is>
          <t>9</t>
        </is>
      </c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ECTS 9</t>
        </is>
      </c>
      <c r="D20" s="6" t="inlineStr">
        <is>
          <t>AE</t>
        </is>
      </c>
      <c r="E20" s="6" t="inlineStr">
        <is>
          <t>SD</t>
        </is>
      </c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>
        <is>
          <t>9</t>
        </is>
      </c>
      <c r="E21" s="8" t="inlineStr">
        <is>
          <t>9</t>
        </is>
      </c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C412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AM</t>
        </is>
      </c>
      <c r="J4" s="1" t="inlineStr">
        <is>
          <t>Aprendizaje de Máquinas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/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DAA</t>
        </is>
      </c>
      <c r="J5" s="1" t="inlineStr">
        <is>
          <t>Diseño y Análisis de Algoritmos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SD</t>
        </is>
      </c>
      <c r="J6" s="1" t="inlineStr">
        <is>
          <t>Sistemas Distribuidos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AE</t>
        </is>
      </c>
      <c r="J7" s="1" t="inlineStr">
        <is>
          <t>Asignatura Electiva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ECTS</t>
        </is>
      </c>
      <c r="J8" s="1" t="inlineStr">
        <is>
          <t>Estudios de Ciencia, Tecnología y Sociedad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SN/DN</t>
        </is>
      </c>
      <c r="J9" s="1" t="inlineStr">
        <is>
          <t>Seguridad Nacional / Defensa Nacionaol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AM</t>
        </is>
      </c>
      <c r="D14" s="6" t="inlineStr">
        <is>
          <t>DAA</t>
        </is>
      </c>
      <c r="E14" s="6" t="inlineStr">
        <is>
          <t>DAA</t>
        </is>
      </c>
      <c r="F14" s="6" t="inlineStr">
        <is>
          <t>SN</t>
        </is>
      </c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9</t>
        </is>
      </c>
      <c r="D15" s="8" t="inlineStr">
        <is>
          <t>9</t>
        </is>
      </c>
      <c r="E15" s="8" t="inlineStr">
        <is>
          <t>9</t>
        </is>
      </c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SD 9</t>
        </is>
      </c>
      <c r="D17" s="6" t="inlineStr">
        <is>
          <t>SN</t>
        </is>
      </c>
      <c r="E17" s="6" t="inlineStr">
        <is>
          <t>AM</t>
        </is>
      </c>
      <c r="F17" s="6" t="inlineStr">
        <is>
          <t>SN</t>
        </is>
      </c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>
        <is>
          <t>1</t>
        </is>
      </c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ECTS 9</t>
        </is>
      </c>
      <c r="D20" s="6" t="inlineStr">
        <is>
          <t>AE</t>
        </is>
      </c>
      <c r="E20" s="6" t="inlineStr">
        <is>
          <t>SD</t>
        </is>
      </c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>
        <is>
          <t>9</t>
        </is>
      </c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F</t>
        </is>
      </c>
      <c r="D4" s="4" t="inlineStr">
        <is>
          <t>IM</t>
        </is>
      </c>
      <c r="E4" s="4" t="inlineStr">
        <is>
          <t>IAM</t>
        </is>
      </c>
      <c r="F4" s="4" t="inlineStr">
        <is>
          <t>IA</t>
        </is>
      </c>
      <c r="G4" s="4" t="inlineStr">
        <is>
          <t>IA</t>
        </is>
      </c>
      <c r="H4" t="inlineStr"/>
      <c r="I4" s="2" t="inlineStr">
        <is>
          <t>IAM</t>
        </is>
      </c>
      <c r="J4" s="1" t="inlineStr">
        <is>
          <t>Introducción al Análisis Matemático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8</t>
        </is>
      </c>
    </row>
    <row r="5">
      <c r="A5" t="inlineStr"/>
      <c r="B5" s="5" t="n"/>
      <c r="C5" s="6" t="inlineStr">
        <is>
          <t>Aula 8</t>
        </is>
      </c>
      <c r="D5" s="6" t="inlineStr">
        <is>
          <t>Aula 8</t>
        </is>
      </c>
      <c r="E5" s="6" t="inlineStr">
        <is>
          <t>Aula 8</t>
        </is>
      </c>
      <c r="F5" s="6" t="inlineStr">
        <is>
          <t>Aula 8</t>
        </is>
      </c>
      <c r="G5" s="6" t="inlineStr">
        <is>
          <t>Aula 8</t>
        </is>
      </c>
      <c r="H5" t="inlineStr"/>
      <c r="I5" s="2" t="inlineStr">
        <is>
          <t>IA</t>
        </is>
      </c>
      <c r="J5" s="1" t="inlineStr">
        <is>
          <t>Introducción al Álgebra</t>
        </is>
      </c>
      <c r="K5" s="1" t="n">
        <v>3</v>
      </c>
      <c r="L5" s="1">
        <f>K5-M5</f>
        <v/>
      </c>
      <c r="M5" s="1">
        <f>COUNTIF(C4:G22,I5)</f>
        <v/>
      </c>
      <c r="N5" t="inlineStr"/>
      <c r="O5" s="1" t="inlineStr">
        <is>
          <t>PA Aula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GA</t>
        </is>
      </c>
      <c r="J6" s="1" t="inlineStr">
        <is>
          <t>Geometría Analítica</t>
        </is>
      </c>
      <c r="K6" s="1" t="n">
        <v>2</v>
      </c>
      <c r="L6" s="1">
        <f>K6-M6</f>
        <v/>
      </c>
      <c r="M6" s="1">
        <f>COUNTIF(C4:G22,I6)</f>
        <v/>
      </c>
      <c r="N6" t="inlineStr">
        <is>
          <t>Total:</t>
        </is>
      </c>
      <c r="O6">
        <f>COUNTA(O4:O5)</f>
        <v/>
      </c>
    </row>
    <row r="7">
      <c r="A7" t="inlineStr"/>
      <c r="B7" s="3" t="inlineStr">
        <is>
          <t>Turno 2</t>
        </is>
      </c>
      <c r="C7" s="4" t="inlineStr">
        <is>
          <t>PA</t>
        </is>
      </c>
      <c r="D7" s="4" t="inlineStr">
        <is>
          <t>IAM</t>
        </is>
      </c>
      <c r="E7" s="4" t="inlineStr">
        <is>
          <t>EF</t>
        </is>
      </c>
      <c r="F7" s="4" t="inlineStr">
        <is>
          <t>PA Aula</t>
        </is>
      </c>
      <c r="G7" s="4" t="inlineStr">
        <is>
          <t>IAM</t>
        </is>
      </c>
      <c r="H7" t="inlineStr"/>
      <c r="I7" s="2" t="inlineStr">
        <is>
          <t>PA</t>
        </is>
      </c>
      <c r="J7" s="1" t="inlineStr">
        <is>
          <t>Programación y Algoritmos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>
        <is>
          <t>Aula 8</t>
        </is>
      </c>
      <c r="D8" s="6" t="inlineStr">
        <is>
          <t>Aula 8</t>
        </is>
      </c>
      <c r="E8" s="6" t="inlineStr">
        <is>
          <t>SEDER</t>
        </is>
      </c>
      <c r="F8" s="6" t="inlineStr">
        <is>
          <t>Lab</t>
        </is>
      </c>
      <c r="G8" s="6" t="inlineStr">
        <is>
          <t>Aula 8</t>
        </is>
      </c>
      <c r="H8" t="inlineStr"/>
      <c r="I8" s="2" t="inlineStr">
        <is>
          <t>IM</t>
        </is>
      </c>
      <c r="J8" s="1" t="inlineStr">
        <is>
          <t>Introducción a la Matemática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F</t>
        </is>
      </c>
      <c r="J9" s="1" t="inlineStr">
        <is>
          <t>Filosofía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GA</t>
        </is>
      </c>
      <c r="D10" s="4" t="inlineStr">
        <is>
          <t>GA</t>
        </is>
      </c>
      <c r="E10" s="4" t="inlineStr">
        <is>
          <t>IA</t>
        </is>
      </c>
      <c r="F10" s="4" t="inlineStr">
        <is>
          <t>GA 8</t>
        </is>
      </c>
      <c r="G10" s="4" t="inlineStr"/>
      <c r="H10" t="inlineStr"/>
      <c r="I10" s="2" t="inlineStr">
        <is>
          <t>EF</t>
        </is>
      </c>
      <c r="J10" s="1" t="inlineStr">
        <is>
          <t>Educación Física I</t>
        </is>
      </c>
      <c r="K10" s="1" t="n">
        <v>2</v>
      </c>
      <c r="L10" s="1">
        <f>K10-M10</f>
        <v/>
      </c>
      <c r="M10" s="1">
        <f>COUNTIF(C4:G22,I10)</f>
        <v/>
      </c>
      <c r="N10" t="inlineStr"/>
      <c r="O10" t="inlineStr"/>
    </row>
    <row r="11">
      <c r="A11" t="inlineStr"/>
      <c r="B11" s="5" t="n"/>
      <c r="C11" s="6" t="inlineStr">
        <is>
          <t>Aula 8</t>
        </is>
      </c>
      <c r="D11" s="6" t="inlineStr">
        <is>
          <t>Aula 8</t>
        </is>
      </c>
      <c r="E11" s="6" t="inlineStr">
        <is>
          <t>Aula 8</t>
        </is>
      </c>
      <c r="F11" s="6" t="inlineStr"/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7">
    <cfRule type="expression" priority="6" dxfId="0" stopIfTrue="1">
      <formula>AND(C7&lt;&gt;"", COUNTIF($I4:I10,C7)=0)</formula>
    </cfRule>
  </conditionalFormatting>
  <conditionalFormatting sqref="D7">
    <cfRule type="expression" priority="7" dxfId="0" stopIfTrue="1">
      <formula>AND(D7&lt;&gt;"", COUNTIF($I4:I10,D7)=0)</formula>
    </cfRule>
  </conditionalFormatting>
  <conditionalFormatting sqref="E7">
    <cfRule type="expression" priority="8" dxfId="0" stopIfTrue="1">
      <formula>AND(E7&lt;&gt;"", COUNTIF($I4:I10,E7)=0)</formula>
    </cfRule>
  </conditionalFormatting>
  <conditionalFormatting sqref="F7">
    <cfRule type="expression" priority="9" dxfId="0" stopIfTrue="1">
      <formula>AND(F7&lt;&gt;"", COUNTIF($I4:I10,F7)=0)</formula>
    </cfRule>
  </conditionalFormatting>
  <conditionalFormatting sqref="G7">
    <cfRule type="expression" priority="10" dxfId="0" stopIfTrue="1">
      <formula>AND(G7&lt;&gt;"", COUNTIF($I4:I10,G7)=0)</formula>
    </cfRule>
  </conditionalFormatting>
  <conditionalFormatting sqref="C10">
    <cfRule type="expression" priority="11" dxfId="0" stopIfTrue="1">
      <formula>AND(C10&lt;&gt;"", COUNTIF($I4:I10,C10)=0)</formula>
    </cfRule>
  </conditionalFormatting>
  <conditionalFormatting sqref="D10">
    <cfRule type="expression" priority="12" dxfId="0" stopIfTrue="1">
      <formula>AND(D10&lt;&gt;"", COUNTIF($I4:I10,D10)=0)</formula>
    </cfRule>
  </conditionalFormatting>
  <conditionalFormatting sqref="E10">
    <cfRule type="expression" priority="13" dxfId="0" stopIfTrue="1">
      <formula>AND(E10&lt;&gt;"", COUNTIF($I4:I10,E10)=0)</formula>
    </cfRule>
  </conditionalFormatting>
  <conditionalFormatting sqref="F10">
    <cfRule type="expression" priority="14" dxfId="0" stopIfTrue="1">
      <formula>AND(F10&lt;&gt;"", COUNTIF($I4:I10,F10)=0)</formula>
    </cfRule>
  </conditionalFormatting>
  <conditionalFormatting sqref="G10">
    <cfRule type="expression" priority="15" dxfId="0" stopIfTrue="1">
      <formula>AND(G10&lt;&gt;"", COUNTIF($I4:I10,G10)=0)</formula>
    </cfRule>
  </conditionalFormatting>
  <conditionalFormatting sqref="C13">
    <cfRule type="expression" priority="16" dxfId="0" stopIfTrue="1">
      <formula>AND(C13&lt;&gt;"", COUNTIF($I4:I10,C13)=0)</formula>
    </cfRule>
  </conditionalFormatting>
  <conditionalFormatting sqref="D13">
    <cfRule type="expression" priority="17" dxfId="0" stopIfTrue="1">
      <formula>AND(D13&lt;&gt;"", COUNTIF($I4:I10,D13)=0)</formula>
    </cfRule>
  </conditionalFormatting>
  <conditionalFormatting sqref="E13">
    <cfRule type="expression" priority="18" dxfId="0" stopIfTrue="1">
      <formula>AND(E13&lt;&gt;"", COUNTIF($I4:I10,E13)=0)</formula>
    </cfRule>
  </conditionalFormatting>
  <conditionalFormatting sqref="F13">
    <cfRule type="expression" priority="19" dxfId="0" stopIfTrue="1">
      <formula>AND(F13&lt;&gt;"", COUNTIF($I4:I10,F13)=0)</formula>
    </cfRule>
  </conditionalFormatting>
  <conditionalFormatting sqref="G13">
    <cfRule type="expression" priority="20" dxfId="0" stopIfTrue="1">
      <formula>AND(G13&lt;&gt;"", COUNTIF($I4:I10,G13)=0)</formula>
    </cfRule>
  </conditionalFormatting>
  <conditionalFormatting sqref="C16">
    <cfRule type="expression" priority="21" dxfId="0" stopIfTrue="1">
      <formula>AND(C16&lt;&gt;"", COUNTIF($I4:I10,C16)=0)</formula>
    </cfRule>
  </conditionalFormatting>
  <conditionalFormatting sqref="D16">
    <cfRule type="expression" priority="22" dxfId="0" stopIfTrue="1">
      <formula>AND(D16&lt;&gt;"", COUNTIF($I4:I10,D16)=0)</formula>
    </cfRule>
  </conditionalFormatting>
  <conditionalFormatting sqref="E16">
    <cfRule type="expression" priority="23" dxfId="0" stopIfTrue="1">
      <formula>AND(E16&lt;&gt;"", COUNTIF($I4:I10,E16)=0)</formula>
    </cfRule>
  </conditionalFormatting>
  <conditionalFormatting sqref="F16">
    <cfRule type="expression" priority="24" dxfId="0" stopIfTrue="1">
      <formula>AND(F16&lt;&gt;"", COUNTIF($I4:I10,F16)=0)</formula>
    </cfRule>
  </conditionalFormatting>
  <conditionalFormatting sqref="G16">
    <cfRule type="expression" priority="25" dxfId="0" stopIfTrue="1">
      <formula>AND(G16&lt;&gt;"", COUNTIF($I4:I10,G16)=0)</formula>
    </cfRule>
  </conditionalFormatting>
  <conditionalFormatting sqref="C19">
    <cfRule type="expression" priority="26" dxfId="0" stopIfTrue="1">
      <formula>AND(C19&lt;&gt;"", COUNTIF($I4:I10,C19)=0)</formula>
    </cfRule>
  </conditionalFormatting>
  <conditionalFormatting sqref="D19">
    <cfRule type="expression" priority="27" dxfId="0" stopIfTrue="1">
      <formula>AND(D19&lt;&gt;"", COUNTIF($I4:I10,D19)=0)</formula>
    </cfRule>
  </conditionalFormatting>
  <conditionalFormatting sqref="E19">
    <cfRule type="expression" priority="28" dxfId="0" stopIfTrue="1">
      <formula>AND(E19&lt;&gt;"", COUNTIF($I4:I10,E19)=0)</formula>
    </cfRule>
  </conditionalFormatting>
  <conditionalFormatting sqref="F19">
    <cfRule type="expression" priority="29" dxfId="0" stopIfTrue="1">
      <formula>AND(F19&lt;&gt;"", COUNTIF($I4:I10,F19)=0)</formula>
    </cfRule>
  </conditionalFormatting>
  <conditionalFormatting sqref="G19">
    <cfRule type="expression" priority="30" dxfId="0" stopIfTrue="1">
      <formula>AND(G19&lt;&gt;"", COUNTIF($I4:I10,G19)=0)</formula>
    </cfRule>
  </conditionalFormatting>
  <conditionalFormatting sqref="C22">
    <cfRule type="expression" priority="31" dxfId="0" stopIfTrue="1">
      <formula>AND(C22&lt;&gt;"", COUNTIF($I4:I10,C22)=0)</formula>
    </cfRule>
  </conditionalFormatting>
  <conditionalFormatting sqref="D22">
    <cfRule type="expression" priority="32" dxfId="0" stopIfTrue="1">
      <formula>AND(D22&lt;&gt;"", COUNTIF($I4:I10,D22)=0)</formula>
    </cfRule>
  </conditionalFormatting>
  <conditionalFormatting sqref="E22">
    <cfRule type="expression" priority="33" dxfId="0" stopIfTrue="1">
      <formula>AND(E22&lt;&gt;"", COUNTIF($I4:I10,E22)=0)</formula>
    </cfRule>
  </conditionalFormatting>
  <conditionalFormatting sqref="F22">
    <cfRule type="expression" priority="34" dxfId="0" stopIfTrue="1">
      <formula>AND(F22&lt;&gt;"", COUNTIF($I4:I10,F22)=0)</formula>
    </cfRule>
  </conditionalFormatting>
  <conditionalFormatting sqref="G22">
    <cfRule type="expression" priority="35" dxfId="0" stopIfTrue="1">
      <formula>AND(G22&lt;&gt;"", COUNTIF($I4:I10,G22)=0)</formula>
    </cfRule>
  </conditionalFormatting>
  <conditionalFormatting sqref="C5">
    <cfRule type="expression" priority="36" dxfId="1" stopIfTrue="1">
      <formula>AND(C5&lt;&gt;"", COUNTIF($O4:O5,C5)=0)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COUNTIF($O4:O5,D5)=0)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COUNTIF($O4:O5,E5)=0)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COUNTIF($O4:O5,F5)=0)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COUNTIF($O4:O5,G5)=0)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COUNTIF($O4:O5,C8)=0)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COUNTIF($O4:O5,D8)=0)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COUNTIF($O4:O5,E8)=0)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COUNTIF($O4:O5,F8)=0)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COUNTIF($O4:O5,G8)=0)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COUNTIF($O4:O5,C14)=0)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COUNTIF($O4:O5,D14)=0)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COUNTIF($O4:O5,E14)=0)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COUNTIF($O4:O5,F14)=0)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COUNTIF($O4:O5,G14)=0)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COUNTIF($O4:O5,C17)=0)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COUNTIF($O4:O5,D17)=0)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COUNTIF($O4:O5,E17)=0)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COUNTIF($O4:O5,F17)=0)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COUNTIF($O4:O5,G17)=0)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COUNTIF($O4:O5,C20)=0)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COUNTIF($O4:O5,D20)=0)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COUNTIF($O4:O5,E20)=0)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COUNTIF($O4:O5,F20)=0)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COUNTIF($O4:O5,G20)=0)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3" dxfId="4" stopIfTrue="1">
      <formula>AND(J4&lt;&gt;"", M4&gt;0, L4&lt;0)</formula>
    </cfRule>
    <cfRule type="expression" priority="110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4" dxfId="4" stopIfTrue="1">
      <formula>AND(J5&lt;&gt;"", M5&gt;0, L5&lt;0)</formula>
    </cfRule>
    <cfRule type="expression" priority="111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5" dxfId="4" stopIfTrue="1">
      <formula>AND(J6&lt;&gt;"", M6&gt;0, L6&lt;0)</formula>
    </cfRule>
    <cfRule type="expression" priority="112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6" dxfId="4" stopIfTrue="1">
      <formula>AND(J7&lt;&gt;"", M7&gt;0, L7&lt;0)</formula>
    </cfRule>
    <cfRule type="expression" priority="113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7" dxfId="4" stopIfTrue="1">
      <formula>AND(J8&lt;&gt;"", M8&gt;0, L8&lt;0)</formula>
    </cfRule>
    <cfRule type="expression" priority="114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8" dxfId="4" stopIfTrue="1">
      <formula>AND(J9&lt;&gt;"", M9&gt;0, L9&lt;0)</formula>
    </cfRule>
    <cfRule type="expression" priority="115" dxfId="5" stopIfTrue="1">
      <formula>AND(J9&lt;&gt;"", M9&gt;0, L9&gt;0, L9&lt;K9)</formula>
    </cfRule>
  </conditionalFormatting>
  <conditionalFormatting sqref="J10">
    <cfRule type="expression" priority="102" dxfId="3" stopIfTrue="1">
      <formula>AND(J10&lt;&gt;"", M10&gt;0, L10=0)</formula>
    </cfRule>
    <cfRule type="expression" priority="109" dxfId="4" stopIfTrue="1">
      <formula>AND(J10&lt;&gt;"", M10&gt;0, L10&lt;0)</formula>
    </cfRule>
    <cfRule type="expression" priority="116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FVV</t>
        </is>
      </c>
      <c r="J4" s="1" t="inlineStr">
        <is>
          <t>Funciones de Varias Variables</t>
        </is>
      </c>
      <c r="K4" s="1" t="n">
        <v>4</v>
      </c>
      <c r="L4" s="1">
        <f>K4-M4</f>
        <v/>
      </c>
      <c r="M4" s="1">
        <f>COUNTIF(C4:G22,I4)</f>
        <v/>
      </c>
      <c r="N4" t="inlineStr"/>
      <c r="O4" s="1" t="inlineStr">
        <is>
          <t>c 3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CAL</t>
        </is>
      </c>
      <c r="J5" s="1" t="inlineStr">
        <is>
          <t>Complementos de Álgebra Lineal</t>
        </is>
      </c>
      <c r="K5" s="1" t="n">
        <v>3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SP2</t>
        </is>
      </c>
      <c r="J6" s="1" t="inlineStr">
        <is>
          <t>Seminario de Problemas II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AE</t>
        </is>
      </c>
      <c r="J7" s="1" t="inlineStr">
        <is>
          <t>Asignatura Electiva 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EP</t>
        </is>
      </c>
      <c r="J8" s="1" t="inlineStr">
        <is>
          <t>Economía Política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EF</t>
        </is>
      </c>
      <c r="J9" s="1" t="inlineStr">
        <is>
          <t>Educación Física III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CAL</t>
        </is>
      </c>
      <c r="D10" s="4" t="inlineStr">
        <is>
          <t>CAL</t>
        </is>
      </c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c 3</t>
        </is>
      </c>
      <c r="D11" s="6" t="inlineStr">
        <is>
          <t>c 3</t>
        </is>
      </c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FVV</t>
        </is>
      </c>
      <c r="D14" s="6" t="inlineStr">
        <is>
          <t>FVV</t>
        </is>
      </c>
      <c r="E14" s="6" t="inlineStr">
        <is>
          <t>FVV</t>
        </is>
      </c>
      <c r="F14" s="6" t="inlineStr">
        <is>
          <t>CAL</t>
        </is>
      </c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c 3</t>
        </is>
      </c>
      <c r="D15" s="8" t="inlineStr">
        <is>
          <t>c 3</t>
        </is>
      </c>
      <c r="E15" s="8" t="inlineStr">
        <is>
          <t>cp 3</t>
        </is>
      </c>
      <c r="F15" s="8" t="inlineStr">
        <is>
          <t>cp 3</t>
        </is>
      </c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EP</t>
        </is>
      </c>
      <c r="D17" s="6" t="inlineStr">
        <is>
          <t>EP</t>
        </is>
      </c>
      <c r="E17" s="6" t="inlineStr">
        <is>
          <t>FVV</t>
        </is>
      </c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>
        <is>
          <t>c 7</t>
        </is>
      </c>
      <c r="D18" s="8" t="inlineStr">
        <is>
          <t>c 7</t>
        </is>
      </c>
      <c r="E18" s="8" t="inlineStr">
        <is>
          <t>cp 3</t>
        </is>
      </c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EF 4:45pm a 5:35pm</t>
        </is>
      </c>
      <c r="D20" s="6" t="inlineStr">
        <is>
          <t>SP</t>
        </is>
      </c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>
        <is>
          <t>2</t>
        </is>
      </c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M311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MN</t>
        </is>
      </c>
      <c r="D4" s="4" t="inlineStr">
        <is>
          <t>EDO</t>
        </is>
      </c>
      <c r="E4" s="4" t="inlineStr">
        <is>
          <t>MN</t>
        </is>
      </c>
      <c r="F4" s="4" t="inlineStr">
        <is>
          <t>FV</t>
        </is>
      </c>
      <c r="G4" s="4" t="inlineStr">
        <is>
          <t>FVC</t>
        </is>
      </c>
      <c r="H4" t="inlineStr"/>
      <c r="I4" s="2" t="inlineStr">
        <is>
          <t>FVC</t>
        </is>
      </c>
      <c r="J4" s="1" t="inlineStr">
        <is>
          <t>Funciones de variable Compleja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Aula 4</t>
        </is>
      </c>
    </row>
    <row r="5">
      <c r="A5" t="inlineStr"/>
      <c r="B5" s="5" t="n"/>
      <c r="C5" s="6" t="inlineStr">
        <is>
          <t>Aula 4</t>
        </is>
      </c>
      <c r="D5" s="6" t="inlineStr">
        <is>
          <t>Aula 4</t>
        </is>
      </c>
      <c r="E5" s="6" t="inlineStr">
        <is>
          <t>4</t>
        </is>
      </c>
      <c r="F5" s="6" t="inlineStr">
        <is>
          <t>C 4</t>
        </is>
      </c>
      <c r="G5" s="6" t="inlineStr">
        <is>
          <t>Aula 4</t>
        </is>
      </c>
      <c r="H5" t="inlineStr"/>
      <c r="I5" s="2" t="inlineStr">
        <is>
          <t>IE</t>
        </is>
      </c>
      <c r="J5" s="1" t="inlineStr">
        <is>
          <t>Inferencia Estadística</t>
        </is>
      </c>
      <c r="K5" s="1" t="n">
        <v>3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EDO</t>
        </is>
      </c>
      <c r="J6" s="1" t="inlineStr">
        <is>
          <t>Ecuaciones Diferenciales Ordinarias</t>
        </is>
      </c>
      <c r="K6" s="1" t="n">
        <v>3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>
        <is>
          <t>FVC</t>
        </is>
      </c>
      <c r="D7" s="4" t="inlineStr">
        <is>
          <t>OM</t>
        </is>
      </c>
      <c r="E7" s="4" t="inlineStr">
        <is>
          <t>EDO</t>
        </is>
      </c>
      <c r="F7" s="4" t="inlineStr">
        <is>
          <t>IE</t>
        </is>
      </c>
      <c r="G7" s="4" t="inlineStr">
        <is>
          <t>EDO</t>
        </is>
      </c>
      <c r="H7" t="inlineStr"/>
      <c r="I7" s="2" t="inlineStr">
        <is>
          <t>MN</t>
        </is>
      </c>
      <c r="J7" s="1" t="inlineStr">
        <is>
          <t>Matemática Numérica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>
        <is>
          <t>Aula 4</t>
        </is>
      </c>
      <c r="D8" s="6" t="inlineStr">
        <is>
          <t>Aula 4</t>
        </is>
      </c>
      <c r="E8" s="6" t="inlineStr">
        <is>
          <t>Aula 4</t>
        </is>
      </c>
      <c r="F8" s="6" t="inlineStr">
        <is>
          <t>Aula 4</t>
        </is>
      </c>
      <c r="G8" s="6" t="inlineStr">
        <is>
          <t>Aula 4</t>
        </is>
      </c>
      <c r="H8" t="inlineStr"/>
      <c r="I8" s="2" t="inlineStr">
        <is>
          <t>OM</t>
        </is>
      </c>
      <c r="J8" s="1" t="inlineStr">
        <is>
          <t>Optimización Matemática I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>
        <is>
          <t>IE</t>
        </is>
      </c>
      <c r="D10" s="4" t="inlineStr">
        <is>
          <t>TP</t>
        </is>
      </c>
      <c r="E10" s="4" t="inlineStr">
        <is>
          <t>IE</t>
        </is>
      </c>
      <c r="F10" s="4" t="inlineStr">
        <is>
          <t>OM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Aula 4</t>
        </is>
      </c>
      <c r="D11" s="6" t="inlineStr">
        <is>
          <t>Aula 4</t>
        </is>
      </c>
      <c r="E11" s="6" t="inlineStr">
        <is>
          <t>Aula 4</t>
        </is>
      </c>
      <c r="F11" s="6" t="inlineStr">
        <is>
          <t>Aula 4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/>
      <c r="D14" s="6" t="inlineStr"/>
      <c r="E14" s="6" t="inlineStr"/>
      <c r="F14" s="6" t="inlineStr"/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/>
      <c r="D15" s="8" t="inlineStr"/>
      <c r="E15" s="8" t="inlineStr"/>
      <c r="F15" s="8" t="inlineStr"/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/>
      <c r="D17" s="6" t="inlineStr"/>
      <c r="E17" s="6" t="inlineStr"/>
      <c r="F17" s="6" t="inlineStr"/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/>
      <c r="D18" s="8" t="inlineStr"/>
      <c r="E18" s="8" t="inlineStr"/>
      <c r="F18" s="8" t="inlineStr"/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/>
      <c r="D20" s="6" t="inlineStr"/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/>
      <c r="D21" s="8" t="inlineStr"/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M411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MI</t>
        </is>
      </c>
      <c r="J4" s="1" t="inlineStr">
        <is>
          <t>Medida e Integración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/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GD</t>
        </is>
      </c>
      <c r="J5" s="1" t="inlineStr">
        <is>
          <t>Geometría Diferencial</t>
        </is>
      </c>
      <c r="K5" s="1" t="n">
        <v>2</v>
      </c>
      <c r="L5" s="1">
        <f>K5-M5</f>
        <v/>
      </c>
      <c r="M5" s="1">
        <f>COUNTIF(C4:G22,I5)</f>
        <v/>
      </c>
      <c r="N5" t="inlineStr">
        <is>
          <t>Total:</t>
        </is>
      </c>
      <c r="O5">
        <f>COUNTA(O4:O4)</f>
        <v/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HM</t>
        </is>
      </c>
      <c r="J6" s="1" t="inlineStr">
        <is>
          <t>Historia de la Matemática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t="inlineStr"/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ECTS</t>
        </is>
      </c>
      <c r="J7" s="1" t="inlineStr">
        <is>
          <t>Estudios de Ciencia, Tecnología y Sociedad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t="inlineStr"/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AO2</t>
        </is>
      </c>
      <c r="J8" s="1" t="inlineStr">
        <is>
          <t>Asignatura Optativa II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t="inlineStr"/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s="2" t="inlineStr">
        <is>
          <t>AO3</t>
        </is>
      </c>
      <c r="J9" s="1" t="inlineStr">
        <is>
          <t>Asignatura Optativa III</t>
        </is>
      </c>
      <c r="K9" s="1" t="n">
        <v>2</v>
      </c>
      <c r="L9" s="1">
        <f>K9-M9</f>
        <v/>
      </c>
      <c r="M9" s="1">
        <f>COUNTIF(C4:G22,I9)</f>
        <v/>
      </c>
      <c r="N9" t="inlineStr"/>
      <c r="O9" t="inlineStr"/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9" t="inlineStr"/>
      <c r="C13" s="4" t="inlineStr"/>
      <c r="D13" s="4" t="inlineStr"/>
      <c r="E13" s="4" t="inlineStr"/>
      <c r="F13" s="4" t="inlineStr"/>
      <c r="G13" s="4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10" t="inlineStr">
        <is>
          <t>Turno 4</t>
        </is>
      </c>
      <c r="C14" s="6" t="inlineStr">
        <is>
          <t>GD</t>
        </is>
      </c>
      <c r="D14" s="6" t="inlineStr">
        <is>
          <t>HM</t>
        </is>
      </c>
      <c r="E14" s="6" t="inlineStr">
        <is>
          <t>MI</t>
        </is>
      </c>
      <c r="F14" s="6" t="inlineStr">
        <is>
          <t>AO</t>
        </is>
      </c>
      <c r="G14" s="6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8" t="inlineStr">
        <is>
          <t>4</t>
        </is>
      </c>
      <c r="D15" s="8" t="inlineStr">
        <is>
          <t>4</t>
        </is>
      </c>
      <c r="E15" s="8" t="inlineStr">
        <is>
          <t>4</t>
        </is>
      </c>
      <c r="F15" s="8" t="inlineStr">
        <is>
          <t>2</t>
        </is>
      </c>
      <c r="G15" s="8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5" t="n"/>
      <c r="C16" s="4" t="inlineStr"/>
      <c r="D16" s="4" t="inlineStr"/>
      <c r="E16" s="4" t="inlineStr"/>
      <c r="F16" s="4" t="inlineStr"/>
      <c r="G16" s="4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10" t="inlineStr">
        <is>
          <t>Turno 5</t>
        </is>
      </c>
      <c r="C17" s="6" t="inlineStr">
        <is>
          <t>MI</t>
        </is>
      </c>
      <c r="D17" s="6" t="inlineStr">
        <is>
          <t>HM</t>
        </is>
      </c>
      <c r="E17" s="6" t="inlineStr">
        <is>
          <t>GD</t>
        </is>
      </c>
      <c r="F17" s="6" t="inlineStr">
        <is>
          <t>AO</t>
        </is>
      </c>
      <c r="G17" s="6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8" t="inlineStr">
        <is>
          <t>4</t>
        </is>
      </c>
      <c r="D18" s="8" t="inlineStr">
        <is>
          <t>4</t>
        </is>
      </c>
      <c r="E18" s="8" t="inlineStr">
        <is>
          <t>4</t>
        </is>
      </c>
      <c r="F18" s="8" t="inlineStr">
        <is>
          <t>3</t>
        </is>
      </c>
      <c r="G18" s="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5" t="n"/>
      <c r="C19" s="4" t="inlineStr"/>
      <c r="D19" s="4" t="inlineStr"/>
      <c r="E19" s="4" t="inlineStr"/>
      <c r="F19" s="4" t="inlineStr"/>
      <c r="G19" s="4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11" t="inlineStr">
        <is>
          <t>Turno 6</t>
        </is>
      </c>
      <c r="C20" s="6" t="inlineStr">
        <is>
          <t>ECTS 9 (Con</t>
        </is>
      </c>
      <c r="D20" s="6" t="inlineStr">
        <is>
          <t>GD</t>
        </is>
      </c>
      <c r="E20" s="6" t="inlineStr"/>
      <c r="F20" s="6" t="inlineStr"/>
      <c r="G20" s="6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8" t="inlineStr">
        <is>
          <t>C4</t>
        </is>
      </c>
      <c r="D21" s="8" t="inlineStr">
        <is>
          <t>4</t>
        </is>
      </c>
      <c r="E21" s="8" t="inlineStr"/>
      <c r="F21" s="8" t="inlineStr"/>
      <c r="G21" s="8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1" t="inlineStr"/>
      <c r="D22" s="1" t="inlineStr"/>
      <c r="E22" s="1" t="inlineStr"/>
      <c r="F22" s="1" t="inlineStr"/>
      <c r="G22" s="1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7">
    <cfRule type="expression" priority="6" dxfId="0" stopIfTrue="1">
      <formula>AND(C7&lt;&gt;"", COUNTIF($I4:I9,C7)=0)</formula>
    </cfRule>
  </conditionalFormatting>
  <conditionalFormatting sqref="D7">
    <cfRule type="expression" priority="7" dxfId="0" stopIfTrue="1">
      <formula>AND(D7&lt;&gt;"", COUNTIF($I4:I9,D7)=0)</formula>
    </cfRule>
  </conditionalFormatting>
  <conditionalFormatting sqref="E7">
    <cfRule type="expression" priority="8" dxfId="0" stopIfTrue="1">
      <formula>AND(E7&lt;&gt;"", COUNTIF($I4:I9,E7)=0)</formula>
    </cfRule>
  </conditionalFormatting>
  <conditionalFormatting sqref="F7">
    <cfRule type="expression" priority="9" dxfId="0" stopIfTrue="1">
      <formula>AND(F7&lt;&gt;"", COUNTIF($I4:I9,F7)=0)</formula>
    </cfRule>
  </conditionalFormatting>
  <conditionalFormatting sqref="G7">
    <cfRule type="expression" priority="10" dxfId="0" stopIfTrue="1">
      <formula>AND(G7&lt;&gt;"", COUNTIF($I4:I9,G7)=0)</formula>
    </cfRule>
  </conditionalFormatting>
  <conditionalFormatting sqref="C10">
    <cfRule type="expression" priority="11" dxfId="0" stopIfTrue="1">
      <formula>AND(C10&lt;&gt;"", COUNTIF($I4:I9,C10)=0)</formula>
    </cfRule>
  </conditionalFormatting>
  <conditionalFormatting sqref="D10">
    <cfRule type="expression" priority="12" dxfId="0" stopIfTrue="1">
      <formula>AND(D10&lt;&gt;"", COUNTIF($I4:I9,D10)=0)</formula>
    </cfRule>
  </conditionalFormatting>
  <conditionalFormatting sqref="E10">
    <cfRule type="expression" priority="13" dxfId="0" stopIfTrue="1">
      <formula>AND(E10&lt;&gt;"", COUNTIF($I4:I9,E10)=0)</formula>
    </cfRule>
  </conditionalFormatting>
  <conditionalFormatting sqref="F10">
    <cfRule type="expression" priority="14" dxfId="0" stopIfTrue="1">
      <formula>AND(F10&lt;&gt;"", COUNTIF($I4:I9,F10)=0)</formula>
    </cfRule>
  </conditionalFormatting>
  <conditionalFormatting sqref="G10">
    <cfRule type="expression" priority="15" dxfId="0" stopIfTrue="1">
      <formula>AND(G10&lt;&gt;"", COUNTIF($I4:I9,G10)=0)</formula>
    </cfRule>
  </conditionalFormatting>
  <conditionalFormatting sqref="C13">
    <cfRule type="expression" priority="16" dxfId="0" stopIfTrue="1">
      <formula>AND(C13&lt;&gt;"", COUNTIF($I4:I9,C13)=0)</formula>
    </cfRule>
  </conditionalFormatting>
  <conditionalFormatting sqref="D13">
    <cfRule type="expression" priority="17" dxfId="0" stopIfTrue="1">
      <formula>AND(D13&lt;&gt;"", COUNTIF($I4:I9,D13)=0)</formula>
    </cfRule>
  </conditionalFormatting>
  <conditionalFormatting sqref="E13">
    <cfRule type="expression" priority="18" dxfId="0" stopIfTrue="1">
      <formula>AND(E13&lt;&gt;"", COUNTIF($I4:I9,E13)=0)</formula>
    </cfRule>
  </conditionalFormatting>
  <conditionalFormatting sqref="F13">
    <cfRule type="expression" priority="19" dxfId="0" stopIfTrue="1">
      <formula>AND(F13&lt;&gt;"", COUNTIF($I4:I9,F13)=0)</formula>
    </cfRule>
  </conditionalFormatting>
  <conditionalFormatting sqref="G13">
    <cfRule type="expression" priority="20" dxfId="0" stopIfTrue="1">
      <formula>AND(G13&lt;&gt;"", COUNTIF($I4:I9,G13)=0)</formula>
    </cfRule>
  </conditionalFormatting>
  <conditionalFormatting sqref="C16">
    <cfRule type="expression" priority="21" dxfId="0" stopIfTrue="1">
      <formula>AND(C16&lt;&gt;"", COUNTIF($I4:I9,C16)=0)</formula>
    </cfRule>
  </conditionalFormatting>
  <conditionalFormatting sqref="D16">
    <cfRule type="expression" priority="22" dxfId="0" stopIfTrue="1">
      <formula>AND(D16&lt;&gt;"", COUNTIF($I4:I9,D16)=0)</formula>
    </cfRule>
  </conditionalFormatting>
  <conditionalFormatting sqref="E16">
    <cfRule type="expression" priority="23" dxfId="0" stopIfTrue="1">
      <formula>AND(E16&lt;&gt;"", COUNTIF($I4:I9,E16)=0)</formula>
    </cfRule>
  </conditionalFormatting>
  <conditionalFormatting sqref="F16">
    <cfRule type="expression" priority="24" dxfId="0" stopIfTrue="1">
      <formula>AND(F16&lt;&gt;"", COUNTIF($I4:I9,F16)=0)</formula>
    </cfRule>
  </conditionalFormatting>
  <conditionalFormatting sqref="G16">
    <cfRule type="expression" priority="25" dxfId="0" stopIfTrue="1">
      <formula>AND(G16&lt;&gt;"", COUNTIF($I4:I9,G16)=0)</formula>
    </cfRule>
  </conditionalFormatting>
  <conditionalFormatting sqref="C19">
    <cfRule type="expression" priority="26" dxfId="0" stopIfTrue="1">
      <formula>AND(C19&lt;&gt;"", COUNTIF($I4:I9,C19)=0)</formula>
    </cfRule>
  </conditionalFormatting>
  <conditionalFormatting sqref="D19">
    <cfRule type="expression" priority="27" dxfId="0" stopIfTrue="1">
      <formula>AND(D19&lt;&gt;"", COUNTIF($I4:I9,D19)=0)</formula>
    </cfRule>
  </conditionalFormatting>
  <conditionalFormatting sqref="E19">
    <cfRule type="expression" priority="28" dxfId="0" stopIfTrue="1">
      <formula>AND(E19&lt;&gt;"", COUNTIF($I4:I9,E19)=0)</formula>
    </cfRule>
  </conditionalFormatting>
  <conditionalFormatting sqref="F19">
    <cfRule type="expression" priority="29" dxfId="0" stopIfTrue="1">
      <formula>AND(F19&lt;&gt;"", COUNTIF($I4:I9,F19)=0)</formula>
    </cfRule>
  </conditionalFormatting>
  <conditionalFormatting sqref="G19">
    <cfRule type="expression" priority="30" dxfId="0" stopIfTrue="1">
      <formula>AND(G19&lt;&gt;"", COUNTIF($I4:I9,G19)=0)</formula>
    </cfRule>
  </conditionalFormatting>
  <conditionalFormatting sqref="C22">
    <cfRule type="expression" priority="31" dxfId="0" stopIfTrue="1">
      <formula>AND(C22&lt;&gt;"", COUNTIF($I4:I9,C22)=0)</formula>
    </cfRule>
  </conditionalFormatting>
  <conditionalFormatting sqref="D22">
    <cfRule type="expression" priority="32" dxfId="0" stopIfTrue="1">
      <formula>AND(D22&lt;&gt;"", COUNTIF($I4:I9,D22)=0)</formula>
    </cfRule>
  </conditionalFormatting>
  <conditionalFormatting sqref="E22">
    <cfRule type="expression" priority="33" dxfId="0" stopIfTrue="1">
      <formula>AND(E22&lt;&gt;"", COUNTIF($I4:I9,E22)=0)</formula>
    </cfRule>
  </conditionalFormatting>
  <conditionalFormatting sqref="F22">
    <cfRule type="expression" priority="34" dxfId="0" stopIfTrue="1">
      <formula>AND(F22&lt;&gt;"", COUNTIF($I4:I9,F22)=0)</formula>
    </cfRule>
  </conditionalFormatting>
  <conditionalFormatting sqref="G22">
    <cfRule type="expression" priority="35" dxfId="0" stopIfTrue="1">
      <formula>AND(G22&lt;&gt;"", COUNTIF($I4:I9,G22)=0)</formula>
    </cfRule>
  </conditionalFormatting>
  <conditionalFormatting sqref="C5">
    <cfRule type="expression" priority="36" dxfId="1" stopIfTrue="1">
      <formula>AND(C5&lt;&gt;"", COUNTIF($O4:O4,C5)=0)</formula>
    </cfRule>
    <cfRule type="expression" priority="66" dxfId="2" stopIfTrue="1">
      <formula>AND(C4&lt;&gt;"", C5="")</formula>
    </cfRule>
  </conditionalFormatting>
  <conditionalFormatting sqref="D5">
    <cfRule type="expression" priority="37" dxfId="1" stopIfTrue="1">
      <formula>AND(D5&lt;&gt;"", COUNTIF($O4:O4,D5)=0)</formula>
    </cfRule>
    <cfRule type="expression" priority="67" dxfId="2" stopIfTrue="1">
      <formula>AND(D4&lt;&gt;"", D5="")</formula>
    </cfRule>
  </conditionalFormatting>
  <conditionalFormatting sqref="E5">
    <cfRule type="expression" priority="38" dxfId="1" stopIfTrue="1">
      <formula>AND(E5&lt;&gt;"", COUNTIF($O4:O4,E5)=0)</formula>
    </cfRule>
    <cfRule type="expression" priority="68" dxfId="2" stopIfTrue="1">
      <formula>AND(E4&lt;&gt;"", E5="")</formula>
    </cfRule>
  </conditionalFormatting>
  <conditionalFormatting sqref="F5">
    <cfRule type="expression" priority="39" dxfId="1" stopIfTrue="1">
      <formula>AND(F5&lt;&gt;"", COUNTIF($O4:O4,F5)=0)</formula>
    </cfRule>
    <cfRule type="expression" priority="69" dxfId="2" stopIfTrue="1">
      <formula>AND(F4&lt;&gt;"", F5="")</formula>
    </cfRule>
  </conditionalFormatting>
  <conditionalFormatting sqref="G5">
    <cfRule type="expression" priority="40" dxfId="1" stopIfTrue="1">
      <formula>AND(G5&lt;&gt;"", COUNTIF($O4:O4,G5)=0)</formula>
    </cfRule>
    <cfRule type="expression" priority="70" dxfId="2" stopIfTrue="1">
      <formula>AND(G4&lt;&gt;"", G5="")</formula>
    </cfRule>
  </conditionalFormatting>
  <conditionalFormatting sqref="C8">
    <cfRule type="expression" priority="41" dxfId="1" stopIfTrue="1">
      <formula>AND(C8&lt;&gt;"", COUNTIF($O4:O4,C8)=0)</formula>
    </cfRule>
    <cfRule type="expression" priority="71" dxfId="2" stopIfTrue="1">
      <formula>AND(C7&lt;&gt;"", C8="")</formula>
    </cfRule>
  </conditionalFormatting>
  <conditionalFormatting sqref="D8">
    <cfRule type="expression" priority="42" dxfId="1" stopIfTrue="1">
      <formula>AND(D8&lt;&gt;"", COUNTIF($O4:O4,D8)=0)</formula>
    </cfRule>
    <cfRule type="expression" priority="72" dxfId="2" stopIfTrue="1">
      <formula>AND(D7&lt;&gt;"", D8="")</formula>
    </cfRule>
  </conditionalFormatting>
  <conditionalFormatting sqref="E8">
    <cfRule type="expression" priority="43" dxfId="1" stopIfTrue="1">
      <formula>AND(E8&lt;&gt;"", COUNTIF($O4:O4,E8)=0)</formula>
    </cfRule>
    <cfRule type="expression" priority="73" dxfId="2" stopIfTrue="1">
      <formula>AND(E7&lt;&gt;"", E8="")</formula>
    </cfRule>
  </conditionalFormatting>
  <conditionalFormatting sqref="F8">
    <cfRule type="expression" priority="44" dxfId="1" stopIfTrue="1">
      <formula>AND(F8&lt;&gt;"", COUNTIF($O4:O4,F8)=0)</formula>
    </cfRule>
    <cfRule type="expression" priority="74" dxfId="2" stopIfTrue="1">
      <formula>AND(F7&lt;&gt;"", F8="")</formula>
    </cfRule>
  </conditionalFormatting>
  <conditionalFormatting sqref="G8">
    <cfRule type="expression" priority="45" dxfId="1" stopIfTrue="1">
      <formula>AND(G8&lt;&gt;"", COUNTIF($O4:O4,G8)=0)</formula>
    </cfRule>
    <cfRule type="expression" priority="75" dxfId="2" stopIfTrue="1">
      <formula>AND(G7&lt;&gt;"", G8="")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4">
    <cfRule type="expression" priority="51" dxfId="1" stopIfTrue="1">
      <formula>AND(C14&lt;&gt;"", COUNTIF($O4:O4,C14)=0)</formula>
    </cfRule>
    <cfRule type="expression" priority="81" dxfId="2" stopIfTrue="1">
      <formula>AND(C13&lt;&gt;"", C14="")</formula>
    </cfRule>
  </conditionalFormatting>
  <conditionalFormatting sqref="D14">
    <cfRule type="expression" priority="52" dxfId="1" stopIfTrue="1">
      <formula>AND(D14&lt;&gt;"", COUNTIF($O4:O4,D14)=0)</formula>
    </cfRule>
    <cfRule type="expression" priority="82" dxfId="2" stopIfTrue="1">
      <formula>AND(D13&lt;&gt;"", D14="")</formula>
    </cfRule>
  </conditionalFormatting>
  <conditionalFormatting sqref="E14">
    <cfRule type="expression" priority="53" dxfId="1" stopIfTrue="1">
      <formula>AND(E14&lt;&gt;"", COUNTIF($O4:O4,E14)=0)</formula>
    </cfRule>
    <cfRule type="expression" priority="83" dxfId="2" stopIfTrue="1">
      <formula>AND(E13&lt;&gt;"", E14="")</formula>
    </cfRule>
  </conditionalFormatting>
  <conditionalFormatting sqref="F14">
    <cfRule type="expression" priority="54" dxfId="1" stopIfTrue="1">
      <formula>AND(F14&lt;&gt;"", COUNTIF($O4:O4,F14)=0)</formula>
    </cfRule>
    <cfRule type="expression" priority="84" dxfId="2" stopIfTrue="1">
      <formula>AND(F13&lt;&gt;"", F14="")</formula>
    </cfRule>
  </conditionalFormatting>
  <conditionalFormatting sqref="G14">
    <cfRule type="expression" priority="55" dxfId="1" stopIfTrue="1">
      <formula>AND(G14&lt;&gt;"", COUNTIF($O4:O4,G14)=0)</formula>
    </cfRule>
    <cfRule type="expression" priority="85" dxfId="2" stopIfTrue="1">
      <formula>AND(G13&lt;&gt;"", G14="")</formula>
    </cfRule>
  </conditionalFormatting>
  <conditionalFormatting sqref="C17">
    <cfRule type="expression" priority="56" dxfId="1" stopIfTrue="1">
      <formula>AND(C17&lt;&gt;"", COUNTIF($O4:O4,C17)=0)</formula>
    </cfRule>
    <cfRule type="expression" priority="86" dxfId="2" stopIfTrue="1">
      <formula>AND(C16&lt;&gt;"", C17="")</formula>
    </cfRule>
  </conditionalFormatting>
  <conditionalFormatting sqref="D17">
    <cfRule type="expression" priority="57" dxfId="1" stopIfTrue="1">
      <formula>AND(D17&lt;&gt;"", COUNTIF($O4:O4,D17)=0)</formula>
    </cfRule>
    <cfRule type="expression" priority="87" dxfId="2" stopIfTrue="1">
      <formula>AND(D16&lt;&gt;"", D17="")</formula>
    </cfRule>
  </conditionalFormatting>
  <conditionalFormatting sqref="E17">
    <cfRule type="expression" priority="58" dxfId="1" stopIfTrue="1">
      <formula>AND(E17&lt;&gt;"", COUNTIF($O4:O4,E17)=0)</formula>
    </cfRule>
    <cfRule type="expression" priority="88" dxfId="2" stopIfTrue="1">
      <formula>AND(E16&lt;&gt;"", E17="")</formula>
    </cfRule>
  </conditionalFormatting>
  <conditionalFormatting sqref="F17">
    <cfRule type="expression" priority="59" dxfId="1" stopIfTrue="1">
      <formula>AND(F17&lt;&gt;"", COUNTIF($O4:O4,F17)=0)</formula>
    </cfRule>
    <cfRule type="expression" priority="89" dxfId="2" stopIfTrue="1">
      <formula>AND(F16&lt;&gt;"", F17="")</formula>
    </cfRule>
  </conditionalFormatting>
  <conditionalFormatting sqref="G17">
    <cfRule type="expression" priority="60" dxfId="1" stopIfTrue="1">
      <formula>AND(G17&lt;&gt;"", COUNTIF($O4:O4,G17)=0)</formula>
    </cfRule>
    <cfRule type="expression" priority="90" dxfId="2" stopIfTrue="1">
      <formula>AND(G16&lt;&gt;"", G17="")</formula>
    </cfRule>
  </conditionalFormatting>
  <conditionalFormatting sqref="C20">
    <cfRule type="expression" priority="61" dxfId="1" stopIfTrue="1">
      <formula>AND(C20&lt;&gt;"", COUNTIF($O4:O4,C20)=0)</formula>
    </cfRule>
    <cfRule type="expression" priority="91" dxfId="2" stopIfTrue="1">
      <formula>AND(C19&lt;&gt;"", C20="")</formula>
    </cfRule>
  </conditionalFormatting>
  <conditionalFormatting sqref="D20">
    <cfRule type="expression" priority="62" dxfId="1" stopIfTrue="1">
      <formula>AND(D20&lt;&gt;"", COUNTIF($O4:O4,D20)=0)</formula>
    </cfRule>
    <cfRule type="expression" priority="92" dxfId="2" stopIfTrue="1">
      <formula>AND(D19&lt;&gt;"", D20="")</formula>
    </cfRule>
  </conditionalFormatting>
  <conditionalFormatting sqref="E20">
    <cfRule type="expression" priority="63" dxfId="1" stopIfTrue="1">
      <formula>AND(E20&lt;&gt;"", COUNTIF($O4:O4,E20)=0)</formula>
    </cfRule>
    <cfRule type="expression" priority="93" dxfId="2" stopIfTrue="1">
      <formula>AND(E19&lt;&gt;"", E20="")</formula>
    </cfRule>
  </conditionalFormatting>
  <conditionalFormatting sqref="F20">
    <cfRule type="expression" priority="64" dxfId="1" stopIfTrue="1">
      <formula>AND(F20&lt;&gt;"", COUNTIF($O4:O4,F20)=0)</formula>
    </cfRule>
    <cfRule type="expression" priority="94" dxfId="2" stopIfTrue="1">
      <formula>AND(F19&lt;&gt;"", F20="")</formula>
    </cfRule>
  </conditionalFormatting>
  <conditionalFormatting sqref="G20">
    <cfRule type="expression" priority="65" dxfId="1" stopIfTrue="1">
      <formula>AND(G20&lt;&gt;"", COUNTIF($O4:O4,G20)=0)</formula>
    </cfRule>
    <cfRule type="expression" priority="95" dxfId="2" stopIfTrue="1">
      <formula>AND(G19&lt;&gt;"", G20="")</formula>
    </cfRule>
  </conditionalFormatting>
  <conditionalFormatting sqref="J4">
    <cfRule type="expression" priority="96" dxfId="3" stopIfTrue="1">
      <formula>AND(J4&lt;&gt;"", M4&gt;0, L4=0)</formula>
    </cfRule>
    <cfRule type="expression" priority="102" dxfId="4" stopIfTrue="1">
      <formula>AND(J4&lt;&gt;"", M4&gt;0, L4&lt;0)</formula>
    </cfRule>
    <cfRule type="expression" priority="108" dxfId="5" stopIfTrue="1">
      <formula>AND(J4&lt;&gt;"", M4&gt;0, L4&gt;0, L4&lt;K4)</formula>
    </cfRule>
  </conditionalFormatting>
  <conditionalFormatting sqref="J5">
    <cfRule type="expression" priority="97" dxfId="3" stopIfTrue="1">
      <formula>AND(J5&lt;&gt;"", M5&gt;0, L5=0)</formula>
    </cfRule>
    <cfRule type="expression" priority="103" dxfId="4" stopIfTrue="1">
      <formula>AND(J5&lt;&gt;"", M5&gt;0, L5&lt;0)</formula>
    </cfRule>
    <cfRule type="expression" priority="109" dxfId="5" stopIfTrue="1">
      <formula>AND(J5&lt;&gt;"", M5&gt;0, L5&gt;0, L5&lt;K5)</formula>
    </cfRule>
  </conditionalFormatting>
  <conditionalFormatting sqref="J6">
    <cfRule type="expression" priority="98" dxfId="3" stopIfTrue="1">
      <formula>AND(J6&lt;&gt;"", M6&gt;0, L6=0)</formula>
    </cfRule>
    <cfRule type="expression" priority="104" dxfId="4" stopIfTrue="1">
      <formula>AND(J6&lt;&gt;"", M6&gt;0, L6&lt;0)</formula>
    </cfRule>
    <cfRule type="expression" priority="110" dxfId="5" stopIfTrue="1">
      <formula>AND(J6&lt;&gt;"", M6&gt;0, L6&gt;0, L6&lt;K6)</formula>
    </cfRule>
  </conditionalFormatting>
  <conditionalFormatting sqref="J7">
    <cfRule type="expression" priority="99" dxfId="3" stopIfTrue="1">
      <formula>AND(J7&lt;&gt;"", M7&gt;0, L7=0)</formula>
    </cfRule>
    <cfRule type="expression" priority="105" dxfId="4" stopIfTrue="1">
      <formula>AND(J7&lt;&gt;"", M7&gt;0, L7&lt;0)</formula>
    </cfRule>
    <cfRule type="expression" priority="111" dxfId="5" stopIfTrue="1">
      <formula>AND(J7&lt;&gt;"", M7&gt;0, L7&gt;0, L7&lt;K7)</formula>
    </cfRule>
  </conditionalFormatting>
  <conditionalFormatting sqref="J8">
    <cfRule type="expression" priority="100" dxfId="3" stopIfTrue="1">
      <formula>AND(J8&lt;&gt;"", M8&gt;0, L8=0)</formula>
    </cfRule>
    <cfRule type="expression" priority="106" dxfId="4" stopIfTrue="1">
      <formula>AND(J8&lt;&gt;"", M8&gt;0, L8&lt;0)</formula>
    </cfRule>
    <cfRule type="expression" priority="112" dxfId="5" stopIfTrue="1">
      <formula>AND(J8&lt;&gt;"", M8&gt;0, L8&gt;0, L8&lt;K8)</formula>
    </cfRule>
  </conditionalFormatting>
  <conditionalFormatting sqref="J9">
    <cfRule type="expression" priority="101" dxfId="3" stopIfTrue="1">
      <formula>AND(J9&lt;&gt;"", M9&gt;0, L9=0)</formula>
    </cfRule>
    <cfRule type="expression" priority="107" dxfId="4" stopIfTrue="1">
      <formula>AND(J9&lt;&gt;"", M9&gt;0, L9&lt;0)</formula>
    </cfRule>
    <cfRule type="expression" priority="113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Lab</t>
        </is>
      </c>
    </row>
    <row r="3">
      <c r="A3" t="inlineStr"/>
      <c r="B3" s="12" t="inlineStr">
        <is>
          <t>Lunes</t>
        </is>
      </c>
      <c r="C3" s="12" t="inlineStr">
        <is>
          <t>Aula 1</t>
        </is>
      </c>
      <c r="D3" s="12" t="inlineStr">
        <is>
          <t>Aula 2</t>
        </is>
      </c>
      <c r="E3" s="12" t="inlineStr">
        <is>
          <t>Aula 3</t>
        </is>
      </c>
      <c r="F3" s="12" t="inlineStr">
        <is>
          <t>Aula 4</t>
        </is>
      </c>
      <c r="G3" s="12" t="inlineStr">
        <is>
          <t>Aula 5</t>
        </is>
      </c>
      <c r="H3" s="12" t="inlineStr">
        <is>
          <t>Aula 6</t>
        </is>
      </c>
      <c r="I3" s="12" t="inlineStr">
        <is>
          <t>Aula 7</t>
        </is>
      </c>
      <c r="J3" s="12" t="inlineStr">
        <is>
          <t>Aula 8</t>
        </is>
      </c>
      <c r="K3" s="12" t="inlineStr">
        <is>
          <t>Aula 9</t>
        </is>
      </c>
      <c r="L3" s="12" t="inlineStr">
        <is>
          <t>Lab</t>
        </is>
      </c>
    </row>
    <row r="4">
      <c r="A4" t="inlineStr"/>
      <c r="B4" s="13" t="inlineStr">
        <is>
          <t>1ro</t>
        </is>
      </c>
      <c r="C4" s="13">
        <f>SUBSTITUTE(TRIM((IF(D111!$C$5=C$3,D111!$B$1 &amp; " ", "") &amp; IF(D211!$C$5=C$3,D211!$B$1 &amp; " ", "") &amp; IF(D311!$C$5=C$3,D311!$B$1 &amp; " ", "") &amp; IF(D411!$C$5=C$3,D411!$B$1 &amp; " ", "") &amp; IF(C111!$C$5=C$3,C111!$B$1 &amp; " ", "") &amp; IF(C121!$C$5=C$3,C121!$B$1 &amp; " ", "") &amp; IF(C122!$C$5=C$3,C122!$B$1 &amp; " ", "") &amp; IF(C211!$C$5=C$3,C211!$B$1 &amp; " ", "") &amp; IF(C212!$C$5=C$3,C212!$B$1 &amp; " ", "") &amp; IF(C311!$C$5=C$3,C311!$B$1 &amp; " ", "") &amp; IF(C312!$C$5=C$3,C312!$B$1 &amp; " ", "") &amp; IF(C411!$C$5=C$3,C411!$B$1 &amp; " ", "") &amp; IF(C412!$C$5=C$3,C412!$B$1 &amp; " ", "") &amp; IF(M111!$C$5=C$3,M111!$B$1 &amp; " ", "") &amp; IF(M211!$C$5=C$3,M211!$B$1 &amp; " ", "") &amp; IF(M311!$C$5=C$3,M311!$B$1 &amp; " ", "") &amp; IF(M411!$C$5=C$3,M411!$B$1 &amp; " ", ""))), " ", ",")</f>
        <v/>
      </c>
      <c r="D4" s="13">
        <f>SUBSTITUTE(TRIM((IF(D111!$C$5=D$3,D111!$B$1 &amp; " ", "") &amp; IF(D211!$C$5=D$3,D211!$B$1 &amp; " ", "") &amp; IF(D311!$C$5=D$3,D311!$B$1 &amp; " ", "") &amp; IF(D411!$C$5=D$3,D411!$B$1 &amp; " ", "") &amp; IF(C111!$C$5=D$3,C111!$B$1 &amp; " ", "") &amp; IF(C121!$C$5=D$3,C121!$B$1 &amp; " ", "") &amp; IF(C122!$C$5=D$3,C122!$B$1 &amp; " ", "") &amp; IF(C211!$C$5=D$3,C211!$B$1 &amp; " ", "") &amp; IF(C212!$C$5=D$3,C212!$B$1 &amp; " ", "") &amp; IF(C311!$C$5=D$3,C311!$B$1 &amp; " ", "") &amp; IF(C312!$C$5=D$3,C312!$B$1 &amp; " ", "") &amp; IF(C411!$C$5=D$3,C411!$B$1 &amp; " ", "") &amp; IF(C412!$C$5=D$3,C412!$B$1 &amp; " ", "") &amp; IF(M111!$C$5=D$3,M111!$B$1 &amp; " ", "") &amp; IF(M211!$C$5=D$3,M211!$B$1 &amp; " ", "") &amp; IF(M311!$C$5=D$3,M311!$B$1 &amp; " ", "") &amp; IF(M411!$C$5=D$3,M411!$B$1 &amp; " ", ""))), " ", ",")</f>
        <v/>
      </c>
      <c r="E4" s="13">
        <f>SUBSTITUTE(TRIM((IF(D111!$C$5=E$3,D111!$B$1 &amp; " ", "") &amp; IF(D211!$C$5=E$3,D211!$B$1 &amp; " ", "") &amp; IF(D311!$C$5=E$3,D311!$B$1 &amp; " ", "") &amp; IF(D411!$C$5=E$3,D411!$B$1 &amp; " ", "") &amp; IF(C111!$C$5=E$3,C111!$B$1 &amp; " ", "") &amp; IF(C121!$C$5=E$3,C121!$B$1 &amp; " ", "") &amp; IF(C122!$C$5=E$3,C122!$B$1 &amp; " ", "") &amp; IF(C211!$C$5=E$3,C211!$B$1 &amp; " ", "") &amp; IF(C212!$C$5=E$3,C212!$B$1 &amp; " ", "") &amp; IF(C311!$C$5=E$3,C311!$B$1 &amp; " ", "") &amp; IF(C312!$C$5=E$3,C312!$B$1 &amp; " ", "") &amp; IF(C411!$C$5=E$3,C411!$B$1 &amp; " ", "") &amp; IF(C412!$C$5=E$3,C412!$B$1 &amp; " ", "") &amp; IF(M111!$C$5=E$3,M111!$B$1 &amp; " ", "") &amp; IF(M211!$C$5=E$3,M211!$B$1 &amp; " ", "") &amp; IF(M311!$C$5=E$3,M311!$B$1 &amp; " ", "") &amp; IF(M411!$C$5=E$3,M411!$B$1 &amp; " ", ""))), " ", ",")</f>
        <v/>
      </c>
      <c r="F4" s="13">
        <f>SUBSTITUTE(TRIM((IF(D111!$C$5=F$3,D111!$B$1 &amp; " ", "") &amp; IF(D211!$C$5=F$3,D211!$B$1 &amp; " ", "") &amp; IF(D311!$C$5=F$3,D311!$B$1 &amp; " ", "") &amp; IF(D411!$C$5=F$3,D411!$B$1 &amp; " ", "") &amp; IF(C111!$C$5=F$3,C111!$B$1 &amp; " ", "") &amp; IF(C121!$C$5=F$3,C121!$B$1 &amp; " ", "") &amp; IF(C122!$C$5=F$3,C122!$B$1 &amp; " ", "") &amp; IF(C211!$C$5=F$3,C211!$B$1 &amp; " ", "") &amp; IF(C212!$C$5=F$3,C212!$B$1 &amp; " ", "") &amp; IF(C311!$C$5=F$3,C311!$B$1 &amp; " ", "") &amp; IF(C312!$C$5=F$3,C312!$B$1 &amp; " ", "") &amp; IF(C411!$C$5=F$3,C411!$B$1 &amp; " ", "") &amp; IF(C412!$C$5=F$3,C412!$B$1 &amp; " ", "") &amp; IF(M111!$C$5=F$3,M111!$B$1 &amp; " ", "") &amp; IF(M211!$C$5=F$3,M211!$B$1 &amp; " ", "") &amp; IF(M311!$C$5=F$3,M311!$B$1 &amp; " ", "") &amp; IF(M411!$C$5=F$3,M411!$B$1 &amp; " ", ""))), " ", ",")</f>
        <v/>
      </c>
      <c r="G4" s="13">
        <f>SUBSTITUTE(TRIM((IF(D111!$C$5=G$3,D111!$B$1 &amp; " ", "") &amp; IF(D211!$C$5=G$3,D211!$B$1 &amp; " ", "") &amp; IF(D311!$C$5=G$3,D311!$B$1 &amp; " ", "") &amp; IF(D411!$C$5=G$3,D411!$B$1 &amp; " ", "") &amp; IF(C111!$C$5=G$3,C111!$B$1 &amp; " ", "") &amp; IF(C121!$C$5=G$3,C121!$B$1 &amp; " ", "") &amp; IF(C122!$C$5=G$3,C122!$B$1 &amp; " ", "") &amp; IF(C211!$C$5=G$3,C211!$B$1 &amp; " ", "") &amp; IF(C212!$C$5=G$3,C212!$B$1 &amp; " ", "") &amp; IF(C311!$C$5=G$3,C311!$B$1 &amp; " ", "") &amp; IF(C312!$C$5=G$3,C312!$B$1 &amp; " ", "") &amp; IF(C411!$C$5=G$3,C411!$B$1 &amp; " ", "") &amp; IF(C412!$C$5=G$3,C412!$B$1 &amp; " ", "") &amp; IF(M111!$C$5=G$3,M111!$B$1 &amp; " ", "") &amp; IF(M211!$C$5=G$3,M211!$B$1 &amp; " ", "") &amp; IF(M311!$C$5=G$3,M311!$B$1 &amp; " ", "") &amp; IF(M411!$C$5=G$3,M411!$B$1 &amp; " ", ""))), " ", ",")</f>
        <v/>
      </c>
      <c r="H4" s="13">
        <f>SUBSTITUTE(TRIM((IF(D111!$C$5=H$3,D111!$B$1 &amp; " ", "") &amp; IF(D211!$C$5=H$3,D211!$B$1 &amp; " ", "") &amp; IF(D311!$C$5=H$3,D311!$B$1 &amp; " ", "") &amp; IF(D411!$C$5=H$3,D411!$B$1 &amp; " ", "") &amp; IF(C111!$C$5=H$3,C111!$B$1 &amp; " ", "") &amp; IF(C121!$C$5=H$3,C121!$B$1 &amp; " ", "") &amp; IF(C122!$C$5=H$3,C122!$B$1 &amp; " ", "") &amp; IF(C211!$C$5=H$3,C211!$B$1 &amp; " ", "") &amp; IF(C212!$C$5=H$3,C212!$B$1 &amp; " ", "") &amp; IF(C311!$C$5=H$3,C311!$B$1 &amp; " ", "") &amp; IF(C312!$C$5=H$3,C312!$B$1 &amp; " ", "") &amp; IF(C411!$C$5=H$3,C411!$B$1 &amp; " ", "") &amp; IF(C412!$C$5=H$3,C412!$B$1 &amp; " ", "") &amp; IF(M111!$C$5=H$3,M111!$B$1 &amp; " ", "") &amp; IF(M211!$C$5=H$3,M211!$B$1 &amp; " ", "") &amp; IF(M311!$C$5=H$3,M311!$B$1 &amp; " ", "") &amp; IF(M411!$C$5=H$3,M411!$B$1 &amp; " ", ""))), " ", ",")</f>
        <v/>
      </c>
      <c r="I4" s="13">
        <f>SUBSTITUTE(TRIM((IF(D111!$C$5=I$3,D111!$B$1 &amp; " ", "") &amp; IF(D211!$C$5=I$3,D211!$B$1 &amp; " ", "") &amp; IF(D311!$C$5=I$3,D311!$B$1 &amp; " ", "") &amp; IF(D411!$C$5=I$3,D411!$B$1 &amp; " ", "") &amp; IF(C111!$C$5=I$3,C111!$B$1 &amp; " ", "") &amp; IF(C121!$C$5=I$3,C121!$B$1 &amp; " ", "") &amp; IF(C122!$C$5=I$3,C122!$B$1 &amp; " ", "") &amp; IF(C211!$C$5=I$3,C211!$B$1 &amp; " ", "") &amp; IF(C212!$C$5=I$3,C212!$B$1 &amp; " ", "") &amp; IF(C311!$C$5=I$3,C311!$B$1 &amp; " ", "") &amp; IF(C312!$C$5=I$3,C312!$B$1 &amp; " ", "") &amp; IF(C411!$C$5=I$3,C411!$B$1 &amp; " ", "") &amp; IF(C412!$C$5=I$3,C412!$B$1 &amp; " ", "") &amp; IF(M111!$C$5=I$3,M111!$B$1 &amp; " ", "") &amp; IF(M211!$C$5=I$3,M211!$B$1 &amp; " ", "") &amp; IF(M311!$C$5=I$3,M311!$B$1 &amp; " ", "") &amp; IF(M411!$C$5=I$3,M411!$B$1 &amp; " ", ""))), " ", ",")</f>
        <v/>
      </c>
      <c r="J4" s="13">
        <f>SUBSTITUTE(TRIM((IF(D111!$C$5=J$3,D111!$B$1 &amp; " ", "") &amp; IF(D211!$C$5=J$3,D211!$B$1 &amp; " ", "") &amp; IF(D311!$C$5=J$3,D311!$B$1 &amp; " ", "") &amp; IF(D411!$C$5=J$3,D411!$B$1 &amp; " ", "") &amp; IF(C111!$C$5=J$3,C111!$B$1 &amp; " ", "") &amp; IF(C121!$C$5=J$3,C121!$B$1 &amp; " ", "") &amp; IF(C122!$C$5=J$3,C122!$B$1 &amp; " ", "") &amp; IF(C211!$C$5=J$3,C211!$B$1 &amp; " ", "") &amp; IF(C212!$C$5=J$3,C212!$B$1 &amp; " ", "") &amp; IF(C311!$C$5=J$3,C311!$B$1 &amp; " ", "") &amp; IF(C312!$C$5=J$3,C312!$B$1 &amp; " ", "") &amp; IF(C411!$C$5=J$3,C411!$B$1 &amp; " ", "") &amp; IF(C412!$C$5=J$3,C412!$B$1 &amp; " ", "") &amp; IF(M111!$C$5=J$3,M111!$B$1 &amp; " ", "") &amp; IF(M211!$C$5=J$3,M211!$B$1 &amp; " ", "") &amp; IF(M311!$C$5=J$3,M311!$B$1 &amp; " ", "") &amp; IF(M411!$C$5=J$3,M411!$B$1 &amp; " ", ""))), " ", ",")</f>
        <v/>
      </c>
      <c r="K4" s="13">
        <f>SUBSTITUTE(TRIM((IF(D111!$C$5=K$3,D111!$B$1 &amp; " ", "") &amp; IF(D211!$C$5=K$3,D211!$B$1 &amp; " ", "") &amp; IF(D311!$C$5=K$3,D311!$B$1 &amp; " ", "") &amp; IF(D411!$C$5=K$3,D411!$B$1 &amp; " ", "") &amp; IF(C111!$C$5=K$3,C111!$B$1 &amp; " ", "") &amp; IF(C121!$C$5=K$3,C121!$B$1 &amp; " ", "") &amp; IF(C122!$C$5=K$3,C122!$B$1 &amp; " ", "") &amp; IF(C211!$C$5=K$3,C211!$B$1 &amp; " ", "") &amp; IF(C212!$C$5=K$3,C212!$B$1 &amp; " ", "") &amp; IF(C311!$C$5=K$3,C311!$B$1 &amp; " ", "") &amp; IF(C312!$C$5=K$3,C312!$B$1 &amp; " ", "") &amp; IF(C411!$C$5=K$3,C411!$B$1 &amp; " ", "") &amp; IF(C412!$C$5=K$3,C412!$B$1 &amp; " ", "") &amp; IF(M111!$C$5=K$3,M111!$B$1 &amp; " ", "") &amp; IF(M211!$C$5=K$3,M211!$B$1 &amp; " ", "") &amp; IF(M311!$C$5=K$3,M311!$B$1 &amp; " ", "") &amp; IF(M411!$C$5=K$3,M411!$B$1 &amp; " ", ""))), " ", ",")</f>
        <v/>
      </c>
      <c r="L4" s="13">
        <f>SUBSTITUTE(TRIM((IF(D111!$C$5=L$3,D111!$B$1 &amp; " ", "") &amp; IF(D211!$C$5=L$3,D211!$B$1 &amp; " ", "") &amp; IF(D311!$C$5=L$3,D311!$B$1 &amp; " ", "") &amp; IF(D411!$C$5=L$3,D411!$B$1 &amp; " ", "") &amp; IF(C111!$C$5=L$3,C111!$B$1 &amp; " ", "") &amp; IF(C121!$C$5=L$3,C121!$B$1 &amp; " ", "") &amp; IF(C122!$C$5=L$3,C122!$B$1 &amp; " ", "") &amp; IF(C211!$C$5=L$3,C211!$B$1 &amp; " ", "") &amp; IF(C212!$C$5=L$3,C212!$B$1 &amp; " ", "") &amp; IF(C311!$C$5=L$3,C311!$B$1 &amp; " ", "") &amp; IF(C312!$C$5=L$3,C312!$B$1 &amp; " ", "") &amp; IF(C411!$C$5=L$3,C411!$B$1 &amp; " ", "") &amp; IF(C412!$C$5=L$3,C412!$B$1 &amp; " ", "") &amp; IF(M111!$C$5=L$3,M111!$B$1 &amp; " ", "") &amp; IF(M211!$C$5=L$3,M211!$B$1 &amp; " ", "") &amp; IF(M311!$C$5=L$3,M311!$B$1 &amp; " ", "") &amp; IF(M411!$C$5=L$3,M411!$B$1 &amp; " ", ""))), " ", ",")</f>
        <v/>
      </c>
    </row>
    <row r="5">
      <c r="A5" t="inlineStr"/>
      <c r="B5" s="13" t="inlineStr">
        <is>
          <t>2do</t>
        </is>
      </c>
      <c r="C5" s="13">
        <f>SUBSTITUTE(TRIM((IF(D111!$C$8=C$3,D111!$B$1 &amp; " ", "") &amp; IF(D211!$C$8=C$3,D211!$B$1 &amp; " ", "") &amp; IF(D311!$C$8=C$3,D311!$B$1 &amp; " ", "") &amp; IF(D411!$C$8=C$3,D411!$B$1 &amp; " ", "") &amp; IF(C111!$C$8=C$3,C111!$B$1 &amp; " ", "") &amp; IF(C121!$C$8=C$3,C121!$B$1 &amp; " ", "") &amp; IF(C122!$C$8=C$3,C122!$B$1 &amp; " ", "") &amp; IF(C211!$C$8=C$3,C211!$B$1 &amp; " ", "") &amp; IF(C212!$C$8=C$3,C212!$B$1 &amp; " ", "") &amp; IF(C311!$C$8=C$3,C311!$B$1 &amp; " ", "") &amp; IF(C312!$C$8=C$3,C312!$B$1 &amp; " ", "") &amp; IF(C411!$C$8=C$3,C411!$B$1 &amp; " ", "") &amp; IF(C412!$C$8=C$3,C412!$B$1 &amp; " ", "") &amp; IF(M111!$C$8=C$3,M111!$B$1 &amp; " ", "") &amp; IF(M211!$C$8=C$3,M211!$B$1 &amp; " ", "") &amp; IF(M311!$C$8=C$3,M311!$B$1 &amp; " ", "") &amp; IF(M411!$C$8=C$3,M411!$B$1 &amp; " ", ""))), " ", ",")</f>
        <v/>
      </c>
      <c r="D5" s="13">
        <f>SUBSTITUTE(TRIM((IF(D111!$C$8=D$3,D111!$B$1 &amp; " ", "") &amp; IF(D211!$C$8=D$3,D211!$B$1 &amp; " ", "") &amp; IF(D311!$C$8=D$3,D311!$B$1 &amp; " ", "") &amp; IF(D411!$C$8=D$3,D411!$B$1 &amp; " ", "") &amp; IF(C111!$C$8=D$3,C111!$B$1 &amp; " ", "") &amp; IF(C121!$C$8=D$3,C121!$B$1 &amp; " ", "") &amp; IF(C122!$C$8=D$3,C122!$B$1 &amp; " ", "") &amp; IF(C211!$C$8=D$3,C211!$B$1 &amp; " ", "") &amp; IF(C212!$C$8=D$3,C212!$B$1 &amp; " ", "") &amp; IF(C311!$C$8=D$3,C311!$B$1 &amp; " ", "") &amp; IF(C312!$C$8=D$3,C312!$B$1 &amp; " ", "") &amp; IF(C411!$C$8=D$3,C411!$B$1 &amp; " ", "") &amp; IF(C412!$C$8=D$3,C412!$B$1 &amp; " ", "") &amp; IF(M111!$C$8=D$3,M111!$B$1 &amp; " ", "") &amp; IF(M211!$C$8=D$3,M211!$B$1 &amp; " ", "") &amp; IF(M311!$C$8=D$3,M311!$B$1 &amp; " ", "") &amp; IF(M411!$C$8=D$3,M411!$B$1 &amp; " ", ""))), " ", ",")</f>
        <v/>
      </c>
      <c r="E5" s="13">
        <f>SUBSTITUTE(TRIM((IF(D111!$C$8=E$3,D111!$B$1 &amp; " ", "") &amp; IF(D211!$C$8=E$3,D211!$B$1 &amp; " ", "") &amp; IF(D311!$C$8=E$3,D311!$B$1 &amp; " ", "") &amp; IF(D411!$C$8=E$3,D411!$B$1 &amp; " ", "") &amp; IF(C111!$C$8=E$3,C111!$B$1 &amp; " ", "") &amp; IF(C121!$C$8=E$3,C121!$B$1 &amp; " ", "") &amp; IF(C122!$C$8=E$3,C122!$B$1 &amp; " ", "") &amp; IF(C211!$C$8=E$3,C211!$B$1 &amp; " ", "") &amp; IF(C212!$C$8=E$3,C212!$B$1 &amp; " ", "") &amp; IF(C311!$C$8=E$3,C311!$B$1 &amp; " ", "") &amp; IF(C312!$C$8=E$3,C312!$B$1 &amp; " ", "") &amp; IF(C411!$C$8=E$3,C411!$B$1 &amp; " ", "") &amp; IF(C412!$C$8=E$3,C412!$B$1 &amp; " ", "") &amp; IF(M111!$C$8=E$3,M111!$B$1 &amp; " ", "") &amp; IF(M211!$C$8=E$3,M211!$B$1 &amp; " ", "") &amp; IF(M311!$C$8=E$3,M311!$B$1 &amp; " ", "") &amp; IF(M411!$C$8=E$3,M411!$B$1 &amp; " ", ""))), " ", ",")</f>
        <v/>
      </c>
      <c r="F5" s="13">
        <f>SUBSTITUTE(TRIM((IF(D111!$C$8=F$3,D111!$B$1 &amp; " ", "") &amp; IF(D211!$C$8=F$3,D211!$B$1 &amp; " ", "") &amp; IF(D311!$C$8=F$3,D311!$B$1 &amp; " ", "") &amp; IF(D411!$C$8=F$3,D411!$B$1 &amp; " ", "") &amp; IF(C111!$C$8=F$3,C111!$B$1 &amp; " ", "") &amp; IF(C121!$C$8=F$3,C121!$B$1 &amp; " ", "") &amp; IF(C122!$C$8=F$3,C122!$B$1 &amp; " ", "") &amp; IF(C211!$C$8=F$3,C211!$B$1 &amp; " ", "") &amp; IF(C212!$C$8=F$3,C212!$B$1 &amp; " ", "") &amp; IF(C311!$C$8=F$3,C311!$B$1 &amp; " ", "") &amp; IF(C312!$C$8=F$3,C312!$B$1 &amp; " ", "") &amp; IF(C411!$C$8=F$3,C411!$B$1 &amp; " ", "") &amp; IF(C412!$C$8=F$3,C412!$B$1 &amp; " ", "") &amp; IF(M111!$C$8=F$3,M111!$B$1 &amp; " ", "") &amp; IF(M211!$C$8=F$3,M211!$B$1 &amp; " ", "") &amp; IF(M311!$C$8=F$3,M311!$B$1 &amp; " ", "") &amp; IF(M411!$C$8=F$3,M411!$B$1 &amp; " ", ""))), " ", ",")</f>
        <v/>
      </c>
      <c r="G5" s="13">
        <f>SUBSTITUTE(TRIM((IF(D111!$C$8=G$3,D111!$B$1 &amp; " ", "") &amp; IF(D211!$C$8=G$3,D211!$B$1 &amp; " ", "") &amp; IF(D311!$C$8=G$3,D311!$B$1 &amp; " ", "") &amp; IF(D411!$C$8=G$3,D411!$B$1 &amp; " ", "") &amp; IF(C111!$C$8=G$3,C111!$B$1 &amp; " ", "") &amp; IF(C121!$C$8=G$3,C121!$B$1 &amp; " ", "") &amp; IF(C122!$C$8=G$3,C122!$B$1 &amp; " ", "") &amp; IF(C211!$C$8=G$3,C211!$B$1 &amp; " ", "") &amp; IF(C212!$C$8=G$3,C212!$B$1 &amp; " ", "") &amp; IF(C311!$C$8=G$3,C311!$B$1 &amp; " ", "") &amp; IF(C312!$C$8=G$3,C312!$B$1 &amp; " ", "") &amp; IF(C411!$C$8=G$3,C411!$B$1 &amp; " ", "") &amp; IF(C412!$C$8=G$3,C412!$B$1 &amp; " ", "") &amp; IF(M111!$C$8=G$3,M111!$B$1 &amp; " ", "") &amp; IF(M211!$C$8=G$3,M211!$B$1 &amp; " ", "") &amp; IF(M311!$C$8=G$3,M311!$B$1 &amp; " ", "") &amp; IF(M411!$C$8=G$3,M411!$B$1 &amp; " ", ""))), " ", ",")</f>
        <v/>
      </c>
      <c r="H5" s="13">
        <f>SUBSTITUTE(TRIM((IF(D111!$C$8=H$3,D111!$B$1 &amp; " ", "") &amp; IF(D211!$C$8=H$3,D211!$B$1 &amp; " ", "") &amp; IF(D311!$C$8=H$3,D311!$B$1 &amp; " ", "") &amp; IF(D411!$C$8=H$3,D411!$B$1 &amp; " ", "") &amp; IF(C111!$C$8=H$3,C111!$B$1 &amp; " ", "") &amp; IF(C121!$C$8=H$3,C121!$B$1 &amp; " ", "") &amp; IF(C122!$C$8=H$3,C122!$B$1 &amp; " ", "") &amp; IF(C211!$C$8=H$3,C211!$B$1 &amp; " ", "") &amp; IF(C212!$C$8=H$3,C212!$B$1 &amp; " ", "") &amp; IF(C311!$C$8=H$3,C311!$B$1 &amp; " ", "") &amp; IF(C312!$C$8=H$3,C312!$B$1 &amp; " ", "") &amp; IF(C411!$C$8=H$3,C411!$B$1 &amp; " ", "") &amp; IF(C412!$C$8=H$3,C412!$B$1 &amp; " ", "") &amp; IF(M111!$C$8=H$3,M111!$B$1 &amp; " ", "") &amp; IF(M211!$C$8=H$3,M211!$B$1 &amp; " ", "") &amp; IF(M311!$C$8=H$3,M311!$B$1 &amp; " ", "") &amp; IF(M411!$C$8=H$3,M411!$B$1 &amp; " ", ""))), " ", ",")</f>
        <v/>
      </c>
      <c r="I5" s="13">
        <f>SUBSTITUTE(TRIM((IF(D111!$C$8=I$3,D111!$B$1 &amp; " ", "") &amp; IF(D211!$C$8=I$3,D211!$B$1 &amp; " ", "") &amp; IF(D311!$C$8=I$3,D311!$B$1 &amp; " ", "") &amp; IF(D411!$C$8=I$3,D411!$B$1 &amp; " ", "") &amp; IF(C111!$C$8=I$3,C111!$B$1 &amp; " ", "") &amp; IF(C121!$C$8=I$3,C121!$B$1 &amp; " ", "") &amp; IF(C122!$C$8=I$3,C122!$B$1 &amp; " ", "") &amp; IF(C211!$C$8=I$3,C211!$B$1 &amp; " ", "") &amp; IF(C212!$C$8=I$3,C212!$B$1 &amp; " ", "") &amp; IF(C311!$C$8=I$3,C311!$B$1 &amp; " ", "") &amp; IF(C312!$C$8=I$3,C312!$B$1 &amp; " ", "") &amp; IF(C411!$C$8=I$3,C411!$B$1 &amp; " ", "") &amp; IF(C412!$C$8=I$3,C412!$B$1 &amp; " ", "") &amp; IF(M111!$C$8=I$3,M111!$B$1 &amp; " ", "") &amp; IF(M211!$C$8=I$3,M211!$B$1 &amp; " ", "") &amp; IF(M311!$C$8=I$3,M311!$B$1 &amp; " ", "") &amp; IF(M411!$C$8=I$3,M411!$B$1 &amp; " ", ""))), " ", ",")</f>
        <v/>
      </c>
      <c r="J5" s="13">
        <f>SUBSTITUTE(TRIM((IF(D111!$C$8=J$3,D111!$B$1 &amp; " ", "") &amp; IF(D211!$C$8=J$3,D211!$B$1 &amp; " ", "") &amp; IF(D311!$C$8=J$3,D311!$B$1 &amp; " ", "") &amp; IF(D411!$C$8=J$3,D411!$B$1 &amp; " ", "") &amp; IF(C111!$C$8=J$3,C111!$B$1 &amp; " ", "") &amp; IF(C121!$C$8=J$3,C121!$B$1 &amp; " ", "") &amp; IF(C122!$C$8=J$3,C122!$B$1 &amp; " ", "") &amp; IF(C211!$C$8=J$3,C211!$B$1 &amp; " ", "") &amp; IF(C212!$C$8=J$3,C212!$B$1 &amp; " ", "") &amp; IF(C311!$C$8=J$3,C311!$B$1 &amp; " ", "") &amp; IF(C312!$C$8=J$3,C312!$B$1 &amp; " ", "") &amp; IF(C411!$C$8=J$3,C411!$B$1 &amp; " ", "") &amp; IF(C412!$C$8=J$3,C412!$B$1 &amp; " ", "") &amp; IF(M111!$C$8=J$3,M111!$B$1 &amp; " ", "") &amp; IF(M211!$C$8=J$3,M211!$B$1 &amp; " ", "") &amp; IF(M311!$C$8=J$3,M311!$B$1 &amp; " ", "") &amp; IF(M411!$C$8=J$3,M411!$B$1 &amp; " ", ""))), " ", ",")</f>
        <v/>
      </c>
      <c r="K5" s="13">
        <f>SUBSTITUTE(TRIM((IF(D111!$C$8=K$3,D111!$B$1 &amp; " ", "") &amp; IF(D211!$C$8=K$3,D211!$B$1 &amp; " ", "") &amp; IF(D311!$C$8=K$3,D311!$B$1 &amp; " ", "") &amp; IF(D411!$C$8=K$3,D411!$B$1 &amp; " ", "") &amp; IF(C111!$C$8=K$3,C111!$B$1 &amp; " ", "") &amp; IF(C121!$C$8=K$3,C121!$B$1 &amp; " ", "") &amp; IF(C122!$C$8=K$3,C122!$B$1 &amp; " ", "") &amp; IF(C211!$C$8=K$3,C211!$B$1 &amp; " ", "") &amp; IF(C212!$C$8=K$3,C212!$B$1 &amp; " ", "") &amp; IF(C311!$C$8=K$3,C311!$B$1 &amp; " ", "") &amp; IF(C312!$C$8=K$3,C312!$B$1 &amp; " ", "") &amp; IF(C411!$C$8=K$3,C411!$B$1 &amp; " ", "") &amp; IF(C412!$C$8=K$3,C412!$B$1 &amp; " ", "") &amp; IF(M111!$C$8=K$3,M111!$B$1 &amp; " ", "") &amp; IF(M211!$C$8=K$3,M211!$B$1 &amp; " ", "") &amp; IF(M311!$C$8=K$3,M311!$B$1 &amp; " ", "") &amp; IF(M411!$C$8=K$3,M411!$B$1 &amp; " ", ""))), " ", ",")</f>
        <v/>
      </c>
      <c r="L5" s="13">
        <f>SUBSTITUTE(TRIM((IF(D111!$C$8=L$3,D111!$B$1 &amp; " ", "") &amp; IF(D211!$C$8=L$3,D211!$B$1 &amp; " ", "") &amp; IF(D311!$C$8=L$3,D311!$B$1 &amp; " ", "") &amp; IF(D411!$C$8=L$3,D411!$B$1 &amp; " ", "") &amp; IF(C111!$C$8=L$3,C111!$B$1 &amp; " ", "") &amp; IF(C121!$C$8=L$3,C121!$B$1 &amp; " ", "") &amp; IF(C122!$C$8=L$3,C122!$B$1 &amp; " ", "") &amp; IF(C211!$C$8=L$3,C211!$B$1 &amp; " ", "") &amp; IF(C212!$C$8=L$3,C212!$B$1 &amp; " ", "") &amp; IF(C311!$C$8=L$3,C311!$B$1 &amp; " ", "") &amp; IF(C312!$C$8=L$3,C312!$B$1 &amp; " ", "") &amp; IF(C411!$C$8=L$3,C411!$B$1 &amp; " ", "") &amp; IF(C412!$C$8=L$3,C412!$B$1 &amp; " ", "") &amp; IF(M111!$C$8=L$3,M111!$B$1 &amp; " ", "") &amp; IF(M211!$C$8=L$3,M211!$B$1 &amp; " ", "") &amp; IF(M311!$C$8=L$3,M311!$B$1 &amp; " ", "") &amp; IF(M411!$C$8=L$3,M411!$B$1 &amp; " ", ""))), " ", ",")</f>
        <v/>
      </c>
    </row>
    <row r="6">
      <c r="A6" t="inlineStr"/>
      <c r="B6" s="13" t="inlineStr">
        <is>
          <t>3ro</t>
        </is>
      </c>
      <c r="C6" s="13">
        <f>SUBSTITUTE(TRIM((IF(D111!$C$11=C$3,D111!$B$1 &amp; " ", "") &amp; IF(D211!$C$11=C$3,D211!$B$1 &amp; " ", "") &amp; IF(D311!$C$11=C$3,D311!$B$1 &amp; " ", "") &amp; IF(D411!$C$11=C$3,D411!$B$1 &amp; " ", "") &amp; IF(C111!$C$11=C$3,C111!$B$1 &amp; " ", "") &amp; IF(C121!$C$11=C$3,C121!$B$1 &amp; " ", "") &amp; IF(C122!$C$11=C$3,C122!$B$1 &amp; " ", "") &amp; IF(C211!$C$11=C$3,C211!$B$1 &amp; " ", "") &amp; IF(C212!$C$11=C$3,C212!$B$1 &amp; " ", "") &amp; IF(C311!$C$11=C$3,C311!$B$1 &amp; " ", "") &amp; IF(C312!$C$11=C$3,C312!$B$1 &amp; " ", "") &amp; IF(C411!$C$11=C$3,C411!$B$1 &amp; " ", "") &amp; IF(C412!$C$11=C$3,C412!$B$1 &amp; " ", "") &amp; IF(M111!$C$11=C$3,M111!$B$1 &amp; " ", "") &amp; IF(M211!$C$11=C$3,M211!$B$1 &amp; " ", "") &amp; IF(M311!$C$11=C$3,M311!$B$1 &amp; " ", "") &amp; IF(M411!$C$11=C$3,M411!$B$1 &amp; " ", ""))), " ", ",")</f>
        <v/>
      </c>
      <c r="D6" s="13">
        <f>SUBSTITUTE(TRIM((IF(D111!$C$11=D$3,D111!$B$1 &amp; " ", "") &amp; IF(D211!$C$11=D$3,D211!$B$1 &amp; " ", "") &amp; IF(D311!$C$11=D$3,D311!$B$1 &amp; " ", "") &amp; IF(D411!$C$11=D$3,D411!$B$1 &amp; " ", "") &amp; IF(C111!$C$11=D$3,C111!$B$1 &amp; " ", "") &amp; IF(C121!$C$11=D$3,C121!$B$1 &amp; " ", "") &amp; IF(C122!$C$11=D$3,C122!$B$1 &amp; " ", "") &amp; IF(C211!$C$11=D$3,C211!$B$1 &amp; " ", "") &amp; IF(C212!$C$11=D$3,C212!$B$1 &amp; " ", "") &amp; IF(C311!$C$11=D$3,C311!$B$1 &amp; " ", "") &amp; IF(C312!$C$11=D$3,C312!$B$1 &amp; " ", "") &amp; IF(C411!$C$11=D$3,C411!$B$1 &amp; " ", "") &amp; IF(C412!$C$11=D$3,C412!$B$1 &amp; " ", "") &amp; IF(M111!$C$11=D$3,M111!$B$1 &amp; " ", "") &amp; IF(M211!$C$11=D$3,M211!$B$1 &amp; " ", "") &amp; IF(M311!$C$11=D$3,M311!$B$1 &amp; " ", "") &amp; IF(M411!$C$11=D$3,M411!$B$1 &amp; " ", ""))), " ", ",")</f>
        <v/>
      </c>
      <c r="E6" s="13">
        <f>SUBSTITUTE(TRIM((IF(D111!$C$11=E$3,D111!$B$1 &amp; " ", "") &amp; IF(D211!$C$11=E$3,D211!$B$1 &amp; " ", "") &amp; IF(D311!$C$11=E$3,D311!$B$1 &amp; " ", "") &amp; IF(D411!$C$11=E$3,D411!$B$1 &amp; " ", "") &amp; IF(C111!$C$11=E$3,C111!$B$1 &amp; " ", "") &amp; IF(C121!$C$11=E$3,C121!$B$1 &amp; " ", "") &amp; IF(C122!$C$11=E$3,C122!$B$1 &amp; " ", "") &amp; IF(C211!$C$11=E$3,C211!$B$1 &amp; " ", "") &amp; IF(C212!$C$11=E$3,C212!$B$1 &amp; " ", "") &amp; IF(C311!$C$11=E$3,C311!$B$1 &amp; " ", "") &amp; IF(C312!$C$11=E$3,C312!$B$1 &amp; " ", "") &amp; IF(C411!$C$11=E$3,C411!$B$1 &amp; " ", "") &amp; IF(C412!$C$11=E$3,C412!$B$1 &amp; " ", "") &amp; IF(M111!$C$11=E$3,M111!$B$1 &amp; " ", "") &amp; IF(M211!$C$11=E$3,M211!$B$1 &amp; " ", "") &amp; IF(M311!$C$11=E$3,M311!$B$1 &amp; " ", "") &amp; IF(M411!$C$11=E$3,M411!$B$1 &amp; " ", ""))), " ", ",")</f>
        <v/>
      </c>
      <c r="F6" s="13">
        <f>SUBSTITUTE(TRIM((IF(D111!$C$11=F$3,D111!$B$1 &amp; " ", "") &amp; IF(D211!$C$11=F$3,D211!$B$1 &amp; " ", "") &amp; IF(D311!$C$11=F$3,D311!$B$1 &amp; " ", "") &amp; IF(D411!$C$11=F$3,D411!$B$1 &amp; " ", "") &amp; IF(C111!$C$11=F$3,C111!$B$1 &amp; " ", "") &amp; IF(C121!$C$11=F$3,C121!$B$1 &amp; " ", "") &amp; IF(C122!$C$11=F$3,C122!$B$1 &amp; " ", "") &amp; IF(C211!$C$11=F$3,C211!$B$1 &amp; " ", "") &amp; IF(C212!$C$11=F$3,C212!$B$1 &amp; " ", "") &amp; IF(C311!$C$11=F$3,C311!$B$1 &amp; " ", "") &amp; IF(C312!$C$11=F$3,C312!$B$1 &amp; " ", "") &amp; IF(C411!$C$11=F$3,C411!$B$1 &amp; " ", "") &amp; IF(C412!$C$11=F$3,C412!$B$1 &amp; " ", "") &amp; IF(M111!$C$11=F$3,M111!$B$1 &amp; " ", "") &amp; IF(M211!$C$11=F$3,M211!$B$1 &amp; " ", "") &amp; IF(M311!$C$11=F$3,M311!$B$1 &amp; " ", "") &amp; IF(M411!$C$11=F$3,M411!$B$1 &amp; " ", ""))), " ", ",")</f>
        <v/>
      </c>
      <c r="G6" s="13">
        <f>SUBSTITUTE(TRIM((IF(D111!$C$11=G$3,D111!$B$1 &amp; " ", "") &amp; IF(D211!$C$11=G$3,D211!$B$1 &amp; " ", "") &amp; IF(D311!$C$11=G$3,D311!$B$1 &amp; " ", "") &amp; IF(D411!$C$11=G$3,D411!$B$1 &amp; " ", "") &amp; IF(C111!$C$11=G$3,C111!$B$1 &amp; " ", "") &amp; IF(C121!$C$11=G$3,C121!$B$1 &amp; " ", "") &amp; IF(C122!$C$11=G$3,C122!$B$1 &amp; " ", "") &amp; IF(C211!$C$11=G$3,C211!$B$1 &amp; " ", "") &amp; IF(C212!$C$11=G$3,C212!$B$1 &amp; " ", "") &amp; IF(C311!$C$11=G$3,C311!$B$1 &amp; " ", "") &amp; IF(C312!$C$11=G$3,C312!$B$1 &amp; " ", "") &amp; IF(C411!$C$11=G$3,C411!$B$1 &amp; " ", "") &amp; IF(C412!$C$11=G$3,C412!$B$1 &amp; " ", "") &amp; IF(M111!$C$11=G$3,M111!$B$1 &amp; " ", "") &amp; IF(M211!$C$11=G$3,M211!$B$1 &amp; " ", "") &amp; IF(M311!$C$11=G$3,M311!$B$1 &amp; " ", "") &amp; IF(M411!$C$11=G$3,M411!$B$1 &amp; " ", ""))), " ", ",")</f>
        <v/>
      </c>
      <c r="H6" s="13">
        <f>SUBSTITUTE(TRIM((IF(D111!$C$11=H$3,D111!$B$1 &amp; " ", "") &amp; IF(D211!$C$11=H$3,D211!$B$1 &amp; " ", "") &amp; IF(D311!$C$11=H$3,D311!$B$1 &amp; " ", "") &amp; IF(D411!$C$11=H$3,D411!$B$1 &amp; " ", "") &amp; IF(C111!$C$11=H$3,C111!$B$1 &amp; " ", "") &amp; IF(C121!$C$11=H$3,C121!$B$1 &amp; " ", "") &amp; IF(C122!$C$11=H$3,C122!$B$1 &amp; " ", "") &amp; IF(C211!$C$11=H$3,C211!$B$1 &amp; " ", "") &amp; IF(C212!$C$11=H$3,C212!$B$1 &amp; " ", "") &amp; IF(C311!$C$11=H$3,C311!$B$1 &amp; " ", "") &amp; IF(C312!$C$11=H$3,C312!$B$1 &amp; " ", "") &amp; IF(C411!$C$11=H$3,C411!$B$1 &amp; " ", "") &amp; IF(C412!$C$11=H$3,C412!$B$1 &amp; " ", "") &amp; IF(M111!$C$11=H$3,M111!$B$1 &amp; " ", "") &amp; IF(M211!$C$11=H$3,M211!$B$1 &amp; " ", "") &amp; IF(M311!$C$11=H$3,M311!$B$1 &amp; " ", "") &amp; IF(M411!$C$11=H$3,M411!$B$1 &amp; " ", ""))), " ", ",")</f>
        <v/>
      </c>
      <c r="I6" s="13">
        <f>SUBSTITUTE(TRIM((IF(D111!$C$11=I$3,D111!$B$1 &amp; " ", "") &amp; IF(D211!$C$11=I$3,D211!$B$1 &amp; " ", "") &amp; IF(D311!$C$11=I$3,D311!$B$1 &amp; " ", "") &amp; IF(D411!$C$11=I$3,D411!$B$1 &amp; " ", "") &amp; IF(C111!$C$11=I$3,C111!$B$1 &amp; " ", "") &amp; IF(C121!$C$11=I$3,C121!$B$1 &amp; " ", "") &amp; IF(C122!$C$11=I$3,C122!$B$1 &amp; " ", "") &amp; IF(C211!$C$11=I$3,C211!$B$1 &amp; " ", "") &amp; IF(C212!$C$11=I$3,C212!$B$1 &amp; " ", "") &amp; IF(C311!$C$11=I$3,C311!$B$1 &amp; " ", "") &amp; IF(C312!$C$11=I$3,C312!$B$1 &amp; " ", "") &amp; IF(C411!$C$11=I$3,C411!$B$1 &amp; " ", "") &amp; IF(C412!$C$11=I$3,C412!$B$1 &amp; " ", "") &amp; IF(M111!$C$11=I$3,M111!$B$1 &amp; " ", "") &amp; IF(M211!$C$11=I$3,M211!$B$1 &amp; " ", "") &amp; IF(M311!$C$11=I$3,M311!$B$1 &amp; " ", "") &amp; IF(M411!$C$11=I$3,M411!$B$1 &amp; " ", ""))), " ", ",")</f>
        <v/>
      </c>
      <c r="J6" s="13">
        <f>SUBSTITUTE(TRIM((IF(D111!$C$11=J$3,D111!$B$1 &amp; " ", "") &amp; IF(D211!$C$11=J$3,D211!$B$1 &amp; " ", "") &amp; IF(D311!$C$11=J$3,D311!$B$1 &amp; " ", "") &amp; IF(D411!$C$11=J$3,D411!$B$1 &amp; " ", "") &amp; IF(C111!$C$11=J$3,C111!$B$1 &amp; " ", "") &amp; IF(C121!$C$11=J$3,C121!$B$1 &amp; " ", "") &amp; IF(C122!$C$11=J$3,C122!$B$1 &amp; " ", "") &amp; IF(C211!$C$11=J$3,C211!$B$1 &amp; " ", "") &amp; IF(C212!$C$11=J$3,C212!$B$1 &amp; " ", "") &amp; IF(C311!$C$11=J$3,C311!$B$1 &amp; " ", "") &amp; IF(C312!$C$11=J$3,C312!$B$1 &amp; " ", "") &amp; IF(C411!$C$11=J$3,C411!$B$1 &amp; " ", "") &amp; IF(C412!$C$11=J$3,C412!$B$1 &amp; " ", "") &amp; IF(M111!$C$11=J$3,M111!$B$1 &amp; " ", "") &amp; IF(M211!$C$11=J$3,M211!$B$1 &amp; " ", "") &amp; IF(M311!$C$11=J$3,M311!$B$1 &amp; " ", "") &amp; IF(M411!$C$11=J$3,M411!$B$1 &amp; " ", ""))), " ", ",")</f>
        <v/>
      </c>
      <c r="K6" s="13">
        <f>SUBSTITUTE(TRIM((IF(D111!$C$11=K$3,D111!$B$1 &amp; " ", "") &amp; IF(D211!$C$11=K$3,D211!$B$1 &amp; " ", "") &amp; IF(D311!$C$11=K$3,D311!$B$1 &amp; " ", "") &amp; IF(D411!$C$11=K$3,D411!$B$1 &amp; " ", "") &amp; IF(C111!$C$11=K$3,C111!$B$1 &amp; " ", "") &amp; IF(C121!$C$11=K$3,C121!$B$1 &amp; " ", "") &amp; IF(C122!$C$11=K$3,C122!$B$1 &amp; " ", "") &amp; IF(C211!$C$11=K$3,C211!$B$1 &amp; " ", "") &amp; IF(C212!$C$11=K$3,C212!$B$1 &amp; " ", "") &amp; IF(C311!$C$11=K$3,C311!$B$1 &amp; " ", "") &amp; IF(C312!$C$11=K$3,C312!$B$1 &amp; " ", "") &amp; IF(C411!$C$11=K$3,C411!$B$1 &amp; " ", "") &amp; IF(C412!$C$11=K$3,C412!$B$1 &amp; " ", "") &amp; IF(M111!$C$11=K$3,M111!$B$1 &amp; " ", "") &amp; IF(M211!$C$11=K$3,M211!$B$1 &amp; " ", "") &amp; IF(M311!$C$11=K$3,M311!$B$1 &amp; " ", "") &amp; IF(M411!$C$11=K$3,M411!$B$1 &amp; " ", ""))), " ", ",")</f>
        <v/>
      </c>
      <c r="L6" s="13">
        <f>SUBSTITUTE(TRIM((IF(D111!$C$11=L$3,D111!$B$1 &amp; " ", "") &amp; IF(D211!$C$11=L$3,D211!$B$1 &amp; " ", "") &amp; IF(D311!$C$11=L$3,D311!$B$1 &amp; " ", "") &amp; IF(D411!$C$11=L$3,D411!$B$1 &amp; " ", "") &amp; IF(C111!$C$11=L$3,C111!$B$1 &amp; " ", "") &amp; IF(C121!$C$11=L$3,C121!$B$1 &amp; " ", "") &amp; IF(C122!$C$11=L$3,C122!$B$1 &amp; " ", "") &amp; IF(C211!$C$11=L$3,C211!$B$1 &amp; " ", "") &amp; IF(C212!$C$11=L$3,C212!$B$1 &amp; " ", "") &amp; IF(C311!$C$11=L$3,C311!$B$1 &amp; " ", "") &amp; IF(C312!$C$11=L$3,C312!$B$1 &amp; " ", "") &amp; IF(C411!$C$11=L$3,C411!$B$1 &amp; " ", "") &amp; IF(C412!$C$11=L$3,C412!$B$1 &amp; " ", "") &amp; IF(M111!$C$11=L$3,M111!$B$1 &amp; " ", "") &amp; IF(M211!$C$11=L$3,M211!$B$1 &amp; " ", "") &amp; IF(M311!$C$11=L$3,M311!$B$1 &amp; " ", "") &amp; IF(M411!$C$11=L$3,M411!$B$1 &amp; " ", ""))), " ", ",")</f>
        <v/>
      </c>
    </row>
    <row r="7">
      <c r="A7" t="inlineStr"/>
      <c r="B7" s="13" t="inlineStr">
        <is>
          <t>4to</t>
        </is>
      </c>
      <c r="C7" s="13">
        <f>SUBSTITUTE(TRIM((IF(D111!$C$14=C$3,D111!$B$1 &amp; " ", "") &amp; IF(D211!$C$14=C$3,D211!$B$1 &amp; " ", "") &amp; IF(D311!$C$14=C$3,D311!$B$1 &amp; " ", "") &amp; IF(D411!$C$14=C$3,D411!$B$1 &amp; " ", "") &amp; IF(C111!$C$14=C$3,C111!$B$1 &amp; " ", "") &amp; IF(C121!$C$14=C$3,C121!$B$1 &amp; " ", "") &amp; IF(C122!$C$14=C$3,C122!$B$1 &amp; " ", "") &amp; IF(C211!$C$14=C$3,C211!$B$1 &amp; " ", "") &amp; IF(C212!$C$14=C$3,C212!$B$1 &amp; " ", "") &amp; IF(C311!$C$14=C$3,C311!$B$1 &amp; " ", "") &amp; IF(C312!$C$14=C$3,C312!$B$1 &amp; " ", "") &amp; IF(C411!$C$14=C$3,C411!$B$1 &amp; " ", "") &amp; IF(C412!$C$14=C$3,C412!$B$1 &amp; " ", "") &amp; IF(M111!$C$14=C$3,M111!$B$1 &amp; " ", "") &amp; IF(M211!$C$14=C$3,M211!$B$1 &amp; " ", "") &amp; IF(M311!$C$14=C$3,M311!$B$1 &amp; " ", "") &amp; IF(M411!$C$14=C$3,M411!$B$1 &amp; " ", ""))), " ", ",")</f>
        <v/>
      </c>
      <c r="D7" s="13">
        <f>SUBSTITUTE(TRIM((IF(D111!$C$14=D$3,D111!$B$1 &amp; " ", "") &amp; IF(D211!$C$14=D$3,D211!$B$1 &amp; " ", "") &amp; IF(D311!$C$14=D$3,D311!$B$1 &amp; " ", "") &amp; IF(D411!$C$14=D$3,D411!$B$1 &amp; " ", "") &amp; IF(C111!$C$14=D$3,C111!$B$1 &amp; " ", "") &amp; IF(C121!$C$14=D$3,C121!$B$1 &amp; " ", "") &amp; IF(C122!$C$14=D$3,C122!$B$1 &amp; " ", "") &amp; IF(C211!$C$14=D$3,C211!$B$1 &amp; " ", "") &amp; IF(C212!$C$14=D$3,C212!$B$1 &amp; " ", "") &amp; IF(C311!$C$14=D$3,C311!$B$1 &amp; " ", "") &amp; IF(C312!$C$14=D$3,C312!$B$1 &amp; " ", "") &amp; IF(C411!$C$14=D$3,C411!$B$1 &amp; " ", "") &amp; IF(C412!$C$14=D$3,C412!$B$1 &amp; " ", "") &amp; IF(M111!$C$14=D$3,M111!$B$1 &amp; " ", "") &amp; IF(M211!$C$14=D$3,M211!$B$1 &amp; " ", "") &amp; IF(M311!$C$14=D$3,M311!$B$1 &amp; " ", "") &amp; IF(M411!$C$14=D$3,M411!$B$1 &amp; " ", ""))), " ", ",")</f>
        <v/>
      </c>
      <c r="E7" s="13">
        <f>SUBSTITUTE(TRIM((IF(D111!$C$14=E$3,D111!$B$1 &amp; " ", "") &amp; IF(D211!$C$14=E$3,D211!$B$1 &amp; " ", "") &amp; IF(D311!$C$14=E$3,D311!$B$1 &amp; " ", "") &amp; IF(D411!$C$14=E$3,D411!$B$1 &amp; " ", "") &amp; IF(C111!$C$14=E$3,C111!$B$1 &amp; " ", "") &amp; IF(C121!$C$14=E$3,C121!$B$1 &amp; " ", "") &amp; IF(C122!$C$14=E$3,C122!$B$1 &amp; " ", "") &amp; IF(C211!$C$14=E$3,C211!$B$1 &amp; " ", "") &amp; IF(C212!$C$14=E$3,C212!$B$1 &amp; " ", "") &amp; IF(C311!$C$14=E$3,C311!$B$1 &amp; " ", "") &amp; IF(C312!$C$14=E$3,C312!$B$1 &amp; " ", "") &amp; IF(C411!$C$14=E$3,C411!$B$1 &amp; " ", "") &amp; IF(C412!$C$14=E$3,C412!$B$1 &amp; " ", "") &amp; IF(M111!$C$14=E$3,M111!$B$1 &amp; " ", "") &amp; IF(M211!$C$14=E$3,M211!$B$1 &amp; " ", "") &amp; IF(M311!$C$14=E$3,M311!$B$1 &amp; " ", "") &amp; IF(M411!$C$14=E$3,M411!$B$1 &amp; " ", ""))), " ", ",")</f>
        <v/>
      </c>
      <c r="F7" s="13">
        <f>SUBSTITUTE(TRIM((IF(D111!$C$14=F$3,D111!$B$1 &amp; " ", "") &amp; IF(D211!$C$14=F$3,D211!$B$1 &amp; " ", "") &amp; IF(D311!$C$14=F$3,D311!$B$1 &amp; " ", "") &amp; IF(D411!$C$14=F$3,D411!$B$1 &amp; " ", "") &amp; IF(C111!$C$14=F$3,C111!$B$1 &amp; " ", "") &amp; IF(C121!$C$14=F$3,C121!$B$1 &amp; " ", "") &amp; IF(C122!$C$14=F$3,C122!$B$1 &amp; " ", "") &amp; IF(C211!$C$14=F$3,C211!$B$1 &amp; " ", "") &amp; IF(C212!$C$14=F$3,C212!$B$1 &amp; " ", "") &amp; IF(C311!$C$14=F$3,C311!$B$1 &amp; " ", "") &amp; IF(C312!$C$14=F$3,C312!$B$1 &amp; " ", "") &amp; IF(C411!$C$14=F$3,C411!$B$1 &amp; " ", "") &amp; IF(C412!$C$14=F$3,C412!$B$1 &amp; " ", "") &amp; IF(M111!$C$14=F$3,M111!$B$1 &amp; " ", "") &amp; IF(M211!$C$14=F$3,M211!$B$1 &amp; " ", "") &amp; IF(M311!$C$14=F$3,M311!$B$1 &amp; " ", "") &amp; IF(M411!$C$14=F$3,M411!$B$1 &amp; " ", ""))), " ", ",")</f>
        <v/>
      </c>
      <c r="G7" s="13">
        <f>SUBSTITUTE(TRIM((IF(D111!$C$14=G$3,D111!$B$1 &amp; " ", "") &amp; IF(D211!$C$14=G$3,D211!$B$1 &amp; " ", "") &amp; IF(D311!$C$14=G$3,D311!$B$1 &amp; " ", "") &amp; IF(D411!$C$14=G$3,D411!$B$1 &amp; " ", "") &amp; IF(C111!$C$14=G$3,C111!$B$1 &amp; " ", "") &amp; IF(C121!$C$14=G$3,C121!$B$1 &amp; " ", "") &amp; IF(C122!$C$14=G$3,C122!$B$1 &amp; " ", "") &amp; IF(C211!$C$14=G$3,C211!$B$1 &amp; " ", "") &amp; IF(C212!$C$14=G$3,C212!$B$1 &amp; " ", "") &amp; IF(C311!$C$14=G$3,C311!$B$1 &amp; " ", "") &amp; IF(C312!$C$14=G$3,C312!$B$1 &amp; " ", "") &amp; IF(C411!$C$14=G$3,C411!$B$1 &amp; " ", "") &amp; IF(C412!$C$14=G$3,C412!$B$1 &amp; " ", "") &amp; IF(M111!$C$14=G$3,M111!$B$1 &amp; " ", "") &amp; IF(M211!$C$14=G$3,M211!$B$1 &amp; " ", "") &amp; IF(M311!$C$14=G$3,M311!$B$1 &amp; " ", "") &amp; IF(M411!$C$14=G$3,M411!$B$1 &amp; " ", ""))), " ", ",")</f>
        <v/>
      </c>
      <c r="H7" s="13">
        <f>SUBSTITUTE(TRIM((IF(D111!$C$14=H$3,D111!$B$1 &amp; " ", "") &amp; IF(D211!$C$14=H$3,D211!$B$1 &amp; " ", "") &amp; IF(D311!$C$14=H$3,D311!$B$1 &amp; " ", "") &amp; IF(D411!$C$14=H$3,D411!$B$1 &amp; " ", "") &amp; IF(C111!$C$14=H$3,C111!$B$1 &amp; " ", "") &amp; IF(C121!$C$14=H$3,C121!$B$1 &amp; " ", "") &amp; IF(C122!$C$14=H$3,C122!$B$1 &amp; " ", "") &amp; IF(C211!$C$14=H$3,C211!$B$1 &amp; " ", "") &amp; IF(C212!$C$14=H$3,C212!$B$1 &amp; " ", "") &amp; IF(C311!$C$14=H$3,C311!$B$1 &amp; " ", "") &amp; IF(C312!$C$14=H$3,C312!$B$1 &amp; " ", "") &amp; IF(C411!$C$14=H$3,C411!$B$1 &amp; " ", "") &amp; IF(C412!$C$14=H$3,C412!$B$1 &amp; " ", "") &amp; IF(M111!$C$14=H$3,M111!$B$1 &amp; " ", "") &amp; IF(M211!$C$14=H$3,M211!$B$1 &amp; " ", "") &amp; IF(M311!$C$14=H$3,M311!$B$1 &amp; " ", "") &amp; IF(M411!$C$14=H$3,M411!$B$1 &amp; " ", ""))), " ", ",")</f>
        <v/>
      </c>
      <c r="I7" s="13">
        <f>SUBSTITUTE(TRIM((IF(D111!$C$14=I$3,D111!$B$1 &amp; " ", "") &amp; IF(D211!$C$14=I$3,D211!$B$1 &amp; " ", "") &amp; IF(D311!$C$14=I$3,D311!$B$1 &amp; " ", "") &amp; IF(D411!$C$14=I$3,D411!$B$1 &amp; " ", "") &amp; IF(C111!$C$14=I$3,C111!$B$1 &amp; " ", "") &amp; IF(C121!$C$14=I$3,C121!$B$1 &amp; " ", "") &amp; IF(C122!$C$14=I$3,C122!$B$1 &amp; " ", "") &amp; IF(C211!$C$14=I$3,C211!$B$1 &amp; " ", "") &amp; IF(C212!$C$14=I$3,C212!$B$1 &amp; " ", "") &amp; IF(C311!$C$14=I$3,C311!$B$1 &amp; " ", "") &amp; IF(C312!$C$14=I$3,C312!$B$1 &amp; " ", "") &amp; IF(C411!$C$14=I$3,C411!$B$1 &amp; " ", "") &amp; IF(C412!$C$14=I$3,C412!$B$1 &amp; " ", "") &amp; IF(M111!$C$14=I$3,M111!$B$1 &amp; " ", "") &amp; IF(M211!$C$14=I$3,M211!$B$1 &amp; " ", "") &amp; IF(M311!$C$14=I$3,M311!$B$1 &amp; " ", "") &amp; IF(M411!$C$14=I$3,M411!$B$1 &amp; " ", ""))), " ", ",")</f>
        <v/>
      </c>
      <c r="J7" s="13">
        <f>SUBSTITUTE(TRIM((IF(D111!$C$14=J$3,D111!$B$1 &amp; " ", "") &amp; IF(D211!$C$14=J$3,D211!$B$1 &amp; " ", "") &amp; IF(D311!$C$14=J$3,D311!$B$1 &amp; " ", "") &amp; IF(D411!$C$14=J$3,D411!$B$1 &amp; " ", "") &amp; IF(C111!$C$14=J$3,C111!$B$1 &amp; " ", "") &amp; IF(C121!$C$14=J$3,C121!$B$1 &amp; " ", "") &amp; IF(C122!$C$14=J$3,C122!$B$1 &amp; " ", "") &amp; IF(C211!$C$14=J$3,C211!$B$1 &amp; " ", "") &amp; IF(C212!$C$14=J$3,C212!$B$1 &amp; " ", "") &amp; IF(C311!$C$14=J$3,C311!$B$1 &amp; " ", "") &amp; IF(C312!$C$14=J$3,C312!$B$1 &amp; " ", "") &amp; IF(C411!$C$14=J$3,C411!$B$1 &amp; " ", "") &amp; IF(C412!$C$14=J$3,C412!$B$1 &amp; " ", "") &amp; IF(M111!$C$14=J$3,M111!$B$1 &amp; " ", "") &amp; IF(M211!$C$14=J$3,M211!$B$1 &amp; " ", "") &amp; IF(M311!$C$14=J$3,M311!$B$1 &amp; " ", "") &amp; IF(M411!$C$14=J$3,M411!$B$1 &amp; " ", ""))), " ", ",")</f>
        <v/>
      </c>
      <c r="K7" s="13">
        <f>SUBSTITUTE(TRIM((IF(D111!$C$14=K$3,D111!$B$1 &amp; " ", "") &amp; IF(D211!$C$14=K$3,D211!$B$1 &amp; " ", "") &amp; IF(D311!$C$14=K$3,D311!$B$1 &amp; " ", "") &amp; IF(D411!$C$14=K$3,D411!$B$1 &amp; " ", "") &amp; IF(C111!$C$14=K$3,C111!$B$1 &amp; " ", "") &amp; IF(C121!$C$14=K$3,C121!$B$1 &amp; " ", "") &amp; IF(C122!$C$14=K$3,C122!$B$1 &amp; " ", "") &amp; IF(C211!$C$14=K$3,C211!$B$1 &amp; " ", "") &amp; IF(C212!$C$14=K$3,C212!$B$1 &amp; " ", "") &amp; IF(C311!$C$14=K$3,C311!$B$1 &amp; " ", "") &amp; IF(C312!$C$14=K$3,C312!$B$1 &amp; " ", "") &amp; IF(C411!$C$14=K$3,C411!$B$1 &amp; " ", "") &amp; IF(C412!$C$14=K$3,C412!$B$1 &amp; " ", "") &amp; IF(M111!$C$14=K$3,M111!$B$1 &amp; " ", "") &amp; IF(M211!$C$14=K$3,M211!$B$1 &amp; " ", "") &amp; IF(M311!$C$14=K$3,M311!$B$1 &amp; " ", "") &amp; IF(M411!$C$14=K$3,M411!$B$1 &amp; " ", ""))), " ", ",")</f>
        <v/>
      </c>
      <c r="L7" s="13">
        <f>SUBSTITUTE(TRIM((IF(D111!$C$14=L$3,D111!$B$1 &amp; " ", "") &amp; IF(D211!$C$14=L$3,D211!$B$1 &amp; " ", "") &amp; IF(D311!$C$14=L$3,D311!$B$1 &amp; " ", "") &amp; IF(D411!$C$14=L$3,D411!$B$1 &amp; " ", "") &amp; IF(C111!$C$14=L$3,C111!$B$1 &amp; " ", "") &amp; IF(C121!$C$14=L$3,C121!$B$1 &amp; " ", "") &amp; IF(C122!$C$14=L$3,C122!$B$1 &amp; " ", "") &amp; IF(C211!$C$14=L$3,C211!$B$1 &amp; " ", "") &amp; IF(C212!$C$14=L$3,C212!$B$1 &amp; " ", "") &amp; IF(C311!$C$14=L$3,C311!$B$1 &amp; " ", "") &amp; IF(C312!$C$14=L$3,C312!$B$1 &amp; " ", "") &amp; IF(C411!$C$14=L$3,C411!$B$1 &amp; " ", "") &amp; IF(C412!$C$14=L$3,C412!$B$1 &amp; " ", "") &amp; IF(M111!$C$14=L$3,M111!$B$1 &amp; " ", "") &amp; IF(M211!$C$14=L$3,M211!$B$1 &amp; " ", "") &amp; IF(M311!$C$14=L$3,M311!$B$1 &amp; " ", "") &amp; IF(M411!$C$14=L$3,M411!$B$1 &amp; " ", ""))), " ", ",")</f>
        <v/>
      </c>
    </row>
    <row r="8">
      <c r="A8" t="inlineStr"/>
      <c r="B8" s="13" t="inlineStr">
        <is>
          <t>5to</t>
        </is>
      </c>
      <c r="C8" s="13">
        <f>SUBSTITUTE(TRIM((IF(D111!$C$17=C$3,D111!$B$1 &amp; " ", "") &amp; IF(D211!$C$17=C$3,D211!$B$1 &amp; " ", "") &amp; IF(D311!$C$17=C$3,D311!$B$1 &amp; " ", "") &amp; IF(D411!$C$17=C$3,D411!$B$1 &amp; " ", "") &amp; IF(C111!$C$17=C$3,C111!$B$1 &amp; " ", "") &amp; IF(C121!$C$17=C$3,C121!$B$1 &amp; " ", "") &amp; IF(C122!$C$17=C$3,C122!$B$1 &amp; " ", "") &amp; IF(C211!$C$17=C$3,C211!$B$1 &amp; " ", "") &amp; IF(C212!$C$17=C$3,C212!$B$1 &amp; " ", "") &amp; IF(C311!$C$17=C$3,C311!$B$1 &amp; " ", "") &amp; IF(C312!$C$17=C$3,C312!$B$1 &amp; " ", "") &amp; IF(C411!$C$17=C$3,C411!$B$1 &amp; " ", "") &amp; IF(C412!$C$17=C$3,C412!$B$1 &amp; " ", "") &amp; IF(M111!$C$17=C$3,M111!$B$1 &amp; " ", "") &amp; IF(M211!$C$17=C$3,M211!$B$1 &amp; " ", "") &amp; IF(M311!$C$17=C$3,M311!$B$1 &amp; " ", "") &amp; IF(M411!$C$17=C$3,M411!$B$1 &amp; " ", ""))), " ", ",")</f>
        <v/>
      </c>
      <c r="D8" s="13">
        <f>SUBSTITUTE(TRIM((IF(D111!$C$17=D$3,D111!$B$1 &amp; " ", "") &amp; IF(D211!$C$17=D$3,D211!$B$1 &amp; " ", "") &amp; IF(D311!$C$17=D$3,D311!$B$1 &amp; " ", "") &amp; IF(D411!$C$17=D$3,D411!$B$1 &amp; " ", "") &amp; IF(C111!$C$17=D$3,C111!$B$1 &amp; " ", "") &amp; IF(C121!$C$17=D$3,C121!$B$1 &amp; " ", "") &amp; IF(C122!$C$17=D$3,C122!$B$1 &amp; " ", "") &amp; IF(C211!$C$17=D$3,C211!$B$1 &amp; " ", "") &amp; IF(C212!$C$17=D$3,C212!$B$1 &amp; " ", "") &amp; IF(C311!$C$17=D$3,C311!$B$1 &amp; " ", "") &amp; IF(C312!$C$17=D$3,C312!$B$1 &amp; " ", "") &amp; IF(C411!$C$17=D$3,C411!$B$1 &amp; " ", "") &amp; IF(C412!$C$17=D$3,C412!$B$1 &amp; " ", "") &amp; IF(M111!$C$17=D$3,M111!$B$1 &amp; " ", "") &amp; IF(M211!$C$17=D$3,M211!$B$1 &amp; " ", "") &amp; IF(M311!$C$17=D$3,M311!$B$1 &amp; " ", "") &amp; IF(M411!$C$17=D$3,M411!$B$1 &amp; " ", ""))), " ", ",")</f>
        <v/>
      </c>
      <c r="E8" s="13">
        <f>SUBSTITUTE(TRIM((IF(D111!$C$17=E$3,D111!$B$1 &amp; " ", "") &amp; IF(D211!$C$17=E$3,D211!$B$1 &amp; " ", "") &amp; IF(D311!$C$17=E$3,D311!$B$1 &amp; " ", "") &amp; IF(D411!$C$17=E$3,D411!$B$1 &amp; " ", "") &amp; IF(C111!$C$17=E$3,C111!$B$1 &amp; " ", "") &amp; IF(C121!$C$17=E$3,C121!$B$1 &amp; " ", "") &amp; IF(C122!$C$17=E$3,C122!$B$1 &amp; " ", "") &amp; IF(C211!$C$17=E$3,C211!$B$1 &amp; " ", "") &amp; IF(C212!$C$17=E$3,C212!$B$1 &amp; " ", "") &amp; IF(C311!$C$17=E$3,C311!$B$1 &amp; " ", "") &amp; IF(C312!$C$17=E$3,C312!$B$1 &amp; " ", "") &amp; IF(C411!$C$17=E$3,C411!$B$1 &amp; " ", "") &amp; IF(C412!$C$17=E$3,C412!$B$1 &amp; " ", "") &amp; IF(M111!$C$17=E$3,M111!$B$1 &amp; " ", "") &amp; IF(M211!$C$17=E$3,M211!$B$1 &amp; " ", "") &amp; IF(M311!$C$17=E$3,M311!$B$1 &amp; " ", "") &amp; IF(M411!$C$17=E$3,M411!$B$1 &amp; " ", ""))), " ", ",")</f>
        <v/>
      </c>
      <c r="F8" s="13">
        <f>SUBSTITUTE(TRIM((IF(D111!$C$17=F$3,D111!$B$1 &amp; " ", "") &amp; IF(D211!$C$17=F$3,D211!$B$1 &amp; " ", "") &amp; IF(D311!$C$17=F$3,D311!$B$1 &amp; " ", "") &amp; IF(D411!$C$17=F$3,D411!$B$1 &amp; " ", "") &amp; IF(C111!$C$17=F$3,C111!$B$1 &amp; " ", "") &amp; IF(C121!$C$17=F$3,C121!$B$1 &amp; " ", "") &amp; IF(C122!$C$17=F$3,C122!$B$1 &amp; " ", "") &amp; IF(C211!$C$17=F$3,C211!$B$1 &amp; " ", "") &amp; IF(C212!$C$17=F$3,C212!$B$1 &amp; " ", "") &amp; IF(C311!$C$17=F$3,C311!$B$1 &amp; " ", "") &amp; IF(C312!$C$17=F$3,C312!$B$1 &amp; " ", "") &amp; IF(C411!$C$17=F$3,C411!$B$1 &amp; " ", "") &amp; IF(C412!$C$17=F$3,C412!$B$1 &amp; " ", "") &amp; IF(M111!$C$17=F$3,M111!$B$1 &amp; " ", "") &amp; IF(M211!$C$17=F$3,M211!$B$1 &amp; " ", "") &amp; IF(M311!$C$17=F$3,M311!$B$1 &amp; " ", "") &amp; IF(M411!$C$17=F$3,M411!$B$1 &amp; " ", ""))), " ", ",")</f>
        <v/>
      </c>
      <c r="G8" s="13">
        <f>SUBSTITUTE(TRIM((IF(D111!$C$17=G$3,D111!$B$1 &amp; " ", "") &amp; IF(D211!$C$17=G$3,D211!$B$1 &amp; " ", "") &amp; IF(D311!$C$17=G$3,D311!$B$1 &amp; " ", "") &amp; IF(D411!$C$17=G$3,D411!$B$1 &amp; " ", "") &amp; IF(C111!$C$17=G$3,C111!$B$1 &amp; " ", "") &amp; IF(C121!$C$17=G$3,C121!$B$1 &amp; " ", "") &amp; IF(C122!$C$17=G$3,C122!$B$1 &amp; " ", "") &amp; IF(C211!$C$17=G$3,C211!$B$1 &amp; " ", "") &amp; IF(C212!$C$17=G$3,C212!$B$1 &amp; " ", "") &amp; IF(C311!$C$17=G$3,C311!$B$1 &amp; " ", "") &amp; IF(C312!$C$17=G$3,C312!$B$1 &amp; " ", "") &amp; IF(C411!$C$17=G$3,C411!$B$1 &amp; " ", "") &amp; IF(C412!$C$17=G$3,C412!$B$1 &amp; " ", "") &amp; IF(M111!$C$17=G$3,M111!$B$1 &amp; " ", "") &amp; IF(M211!$C$17=G$3,M211!$B$1 &amp; " ", "") &amp; IF(M311!$C$17=G$3,M311!$B$1 &amp; " ", "") &amp; IF(M411!$C$17=G$3,M411!$B$1 &amp; " ", ""))), " ", ",")</f>
        <v/>
      </c>
      <c r="H8" s="13">
        <f>SUBSTITUTE(TRIM((IF(D111!$C$17=H$3,D111!$B$1 &amp; " ", "") &amp; IF(D211!$C$17=H$3,D211!$B$1 &amp; " ", "") &amp; IF(D311!$C$17=H$3,D311!$B$1 &amp; " ", "") &amp; IF(D411!$C$17=H$3,D411!$B$1 &amp; " ", "") &amp; IF(C111!$C$17=H$3,C111!$B$1 &amp; " ", "") &amp; IF(C121!$C$17=H$3,C121!$B$1 &amp; " ", "") &amp; IF(C122!$C$17=H$3,C122!$B$1 &amp; " ", "") &amp; IF(C211!$C$17=H$3,C211!$B$1 &amp; " ", "") &amp; IF(C212!$C$17=H$3,C212!$B$1 &amp; " ", "") &amp; IF(C311!$C$17=H$3,C311!$B$1 &amp; " ", "") &amp; IF(C312!$C$17=H$3,C312!$B$1 &amp; " ", "") &amp; IF(C411!$C$17=H$3,C411!$B$1 &amp; " ", "") &amp; IF(C412!$C$17=H$3,C412!$B$1 &amp; " ", "") &amp; IF(M111!$C$17=H$3,M111!$B$1 &amp; " ", "") &amp; IF(M211!$C$17=H$3,M211!$B$1 &amp; " ", "") &amp; IF(M311!$C$17=H$3,M311!$B$1 &amp; " ", "") &amp; IF(M411!$C$17=H$3,M411!$B$1 &amp; " ", ""))), " ", ",")</f>
        <v/>
      </c>
      <c r="I8" s="13">
        <f>SUBSTITUTE(TRIM((IF(D111!$C$17=I$3,D111!$B$1 &amp; " ", "") &amp; IF(D211!$C$17=I$3,D211!$B$1 &amp; " ", "") &amp; IF(D311!$C$17=I$3,D311!$B$1 &amp; " ", "") &amp; IF(D411!$C$17=I$3,D411!$B$1 &amp; " ", "") &amp; IF(C111!$C$17=I$3,C111!$B$1 &amp; " ", "") &amp; IF(C121!$C$17=I$3,C121!$B$1 &amp; " ", "") &amp; IF(C122!$C$17=I$3,C122!$B$1 &amp; " ", "") &amp; IF(C211!$C$17=I$3,C211!$B$1 &amp; " ", "") &amp; IF(C212!$C$17=I$3,C212!$B$1 &amp; " ", "") &amp; IF(C311!$C$17=I$3,C311!$B$1 &amp; " ", "") &amp; IF(C312!$C$17=I$3,C312!$B$1 &amp; " ", "") &amp; IF(C411!$C$17=I$3,C411!$B$1 &amp; " ", "") &amp; IF(C412!$C$17=I$3,C412!$B$1 &amp; " ", "") &amp; IF(M111!$C$17=I$3,M111!$B$1 &amp; " ", "") &amp; IF(M211!$C$17=I$3,M211!$B$1 &amp; " ", "") &amp; IF(M311!$C$17=I$3,M311!$B$1 &amp; " ", "") &amp; IF(M411!$C$17=I$3,M411!$B$1 &amp; " ", ""))), " ", ",")</f>
        <v/>
      </c>
      <c r="J8" s="13">
        <f>SUBSTITUTE(TRIM((IF(D111!$C$17=J$3,D111!$B$1 &amp; " ", "") &amp; IF(D211!$C$17=J$3,D211!$B$1 &amp; " ", "") &amp; IF(D311!$C$17=J$3,D311!$B$1 &amp; " ", "") &amp; IF(D411!$C$17=J$3,D411!$B$1 &amp; " ", "") &amp; IF(C111!$C$17=J$3,C111!$B$1 &amp; " ", "") &amp; IF(C121!$C$17=J$3,C121!$B$1 &amp; " ", "") &amp; IF(C122!$C$17=J$3,C122!$B$1 &amp; " ", "") &amp; IF(C211!$C$17=J$3,C211!$B$1 &amp; " ", "") &amp; IF(C212!$C$17=J$3,C212!$B$1 &amp; " ", "") &amp; IF(C311!$C$17=J$3,C311!$B$1 &amp; " ", "") &amp; IF(C312!$C$17=J$3,C312!$B$1 &amp; " ", "") &amp; IF(C411!$C$17=J$3,C411!$B$1 &amp; " ", "") &amp; IF(C412!$C$17=J$3,C412!$B$1 &amp; " ", "") &amp; IF(M111!$C$17=J$3,M111!$B$1 &amp; " ", "") &amp; IF(M211!$C$17=J$3,M211!$B$1 &amp; " ", "") &amp; IF(M311!$C$17=J$3,M311!$B$1 &amp; " ", "") &amp; IF(M411!$C$17=J$3,M411!$B$1 &amp; " ", ""))), " ", ",")</f>
        <v/>
      </c>
      <c r="K8" s="13">
        <f>SUBSTITUTE(TRIM((IF(D111!$C$17=K$3,D111!$B$1 &amp; " ", "") &amp; IF(D211!$C$17=K$3,D211!$B$1 &amp; " ", "") &amp; IF(D311!$C$17=K$3,D311!$B$1 &amp; " ", "") &amp; IF(D411!$C$17=K$3,D411!$B$1 &amp; " ", "") &amp; IF(C111!$C$17=K$3,C111!$B$1 &amp; " ", "") &amp; IF(C121!$C$17=K$3,C121!$B$1 &amp; " ", "") &amp; IF(C122!$C$17=K$3,C122!$B$1 &amp; " ", "") &amp; IF(C211!$C$17=K$3,C211!$B$1 &amp; " ", "") &amp; IF(C212!$C$17=K$3,C212!$B$1 &amp; " ", "") &amp; IF(C311!$C$17=K$3,C311!$B$1 &amp; " ", "") &amp; IF(C312!$C$17=K$3,C312!$B$1 &amp; " ", "") &amp; IF(C411!$C$17=K$3,C411!$B$1 &amp; " ", "") &amp; IF(C412!$C$17=K$3,C412!$B$1 &amp; " ", "") &amp; IF(M111!$C$17=K$3,M111!$B$1 &amp; " ", "") &amp; IF(M211!$C$17=K$3,M211!$B$1 &amp; " ", "") &amp; IF(M311!$C$17=K$3,M311!$B$1 &amp; " ", "") &amp; IF(M411!$C$17=K$3,M411!$B$1 &amp; " ", ""))), " ", ",")</f>
        <v/>
      </c>
      <c r="L8" s="13">
        <f>SUBSTITUTE(TRIM((IF(D111!$C$17=L$3,D111!$B$1 &amp; " ", "") &amp; IF(D211!$C$17=L$3,D211!$B$1 &amp; " ", "") &amp; IF(D311!$C$17=L$3,D311!$B$1 &amp; " ", "") &amp; IF(D411!$C$17=L$3,D411!$B$1 &amp; " ", "") &amp; IF(C111!$C$17=L$3,C111!$B$1 &amp; " ", "") &amp; IF(C121!$C$17=L$3,C121!$B$1 &amp; " ", "") &amp; IF(C122!$C$17=L$3,C122!$B$1 &amp; " ", "") &amp; IF(C211!$C$17=L$3,C211!$B$1 &amp; " ", "") &amp; IF(C212!$C$17=L$3,C212!$B$1 &amp; " ", "") &amp; IF(C311!$C$17=L$3,C311!$B$1 &amp; " ", "") &amp; IF(C312!$C$17=L$3,C312!$B$1 &amp; " ", "") &amp; IF(C411!$C$17=L$3,C411!$B$1 &amp; " ", "") &amp; IF(C412!$C$17=L$3,C412!$B$1 &amp; " ", "") &amp; IF(M111!$C$17=L$3,M111!$B$1 &amp; " ", "") &amp; IF(M211!$C$17=L$3,M211!$B$1 &amp; " ", "") &amp; IF(M311!$C$17=L$3,M311!$B$1 &amp; " ", "") &amp; IF(M411!$C$17=L$3,M411!$B$1 &amp; " ", ""))), " ", ",")</f>
        <v/>
      </c>
    </row>
    <row r="9">
      <c r="A9" t="inlineStr"/>
      <c r="B9" s="13" t="inlineStr">
        <is>
          <t>6to</t>
        </is>
      </c>
      <c r="C9" s="13">
        <f>SUBSTITUTE(TRIM((IF(D111!$C$20=C$3,D111!$B$1 &amp; " ", "") &amp; IF(D211!$C$20=C$3,D211!$B$1 &amp; " ", "") &amp; IF(D311!$C$20=C$3,D311!$B$1 &amp; " ", "") &amp; IF(D411!$C$20=C$3,D411!$B$1 &amp; " ", "") &amp; IF(C111!$C$20=C$3,C111!$B$1 &amp; " ", "") &amp; IF(C121!$C$20=C$3,C121!$B$1 &amp; " ", "") &amp; IF(C122!$C$20=C$3,C122!$B$1 &amp; " ", "") &amp; IF(C211!$C$20=C$3,C211!$B$1 &amp; " ", "") &amp; IF(C212!$C$20=C$3,C212!$B$1 &amp; " ", "") &amp; IF(C311!$C$20=C$3,C311!$B$1 &amp; " ", "") &amp; IF(C312!$C$20=C$3,C312!$B$1 &amp; " ", "") &amp; IF(C411!$C$20=C$3,C411!$B$1 &amp; " ", "") &amp; IF(C412!$C$20=C$3,C412!$B$1 &amp; " ", "") &amp; IF(M111!$C$20=C$3,M111!$B$1 &amp; " ", "") &amp; IF(M211!$C$20=C$3,M211!$B$1 &amp; " ", "") &amp; IF(M311!$C$20=C$3,M311!$B$1 &amp; " ", "") &amp; IF(M411!$C$20=C$3,M411!$B$1 &amp; " ", ""))), " ", ",")</f>
        <v/>
      </c>
      <c r="D9" s="13">
        <f>SUBSTITUTE(TRIM((IF(D111!$C$20=D$3,D111!$B$1 &amp; " ", "") &amp; IF(D211!$C$20=D$3,D211!$B$1 &amp; " ", "") &amp; IF(D311!$C$20=D$3,D311!$B$1 &amp; " ", "") &amp; IF(D411!$C$20=D$3,D411!$B$1 &amp; " ", "") &amp; IF(C111!$C$20=D$3,C111!$B$1 &amp; " ", "") &amp; IF(C121!$C$20=D$3,C121!$B$1 &amp; " ", "") &amp; IF(C122!$C$20=D$3,C122!$B$1 &amp; " ", "") &amp; IF(C211!$C$20=D$3,C211!$B$1 &amp; " ", "") &amp; IF(C212!$C$20=D$3,C212!$B$1 &amp; " ", "") &amp; IF(C311!$C$20=D$3,C311!$B$1 &amp; " ", "") &amp; IF(C312!$C$20=D$3,C312!$B$1 &amp; " ", "") &amp; IF(C411!$C$20=D$3,C411!$B$1 &amp; " ", "") &amp; IF(C412!$C$20=D$3,C412!$B$1 &amp; " ", "") &amp; IF(M111!$C$20=D$3,M111!$B$1 &amp; " ", "") &amp; IF(M211!$C$20=D$3,M211!$B$1 &amp; " ", "") &amp; IF(M311!$C$20=D$3,M311!$B$1 &amp; " ", "") &amp; IF(M411!$C$20=D$3,M411!$B$1 &amp; " ", ""))), " ", ",")</f>
        <v/>
      </c>
      <c r="E9" s="13">
        <f>SUBSTITUTE(TRIM((IF(D111!$C$20=E$3,D111!$B$1 &amp; " ", "") &amp; IF(D211!$C$20=E$3,D211!$B$1 &amp; " ", "") &amp; IF(D311!$C$20=E$3,D311!$B$1 &amp; " ", "") &amp; IF(D411!$C$20=E$3,D411!$B$1 &amp; " ", "") &amp; IF(C111!$C$20=E$3,C111!$B$1 &amp; " ", "") &amp; IF(C121!$C$20=E$3,C121!$B$1 &amp; " ", "") &amp; IF(C122!$C$20=E$3,C122!$B$1 &amp; " ", "") &amp; IF(C211!$C$20=E$3,C211!$B$1 &amp; " ", "") &amp; IF(C212!$C$20=E$3,C212!$B$1 &amp; " ", "") &amp; IF(C311!$C$20=E$3,C311!$B$1 &amp; " ", "") &amp; IF(C312!$C$20=E$3,C312!$B$1 &amp; " ", "") &amp; IF(C411!$C$20=E$3,C411!$B$1 &amp; " ", "") &amp; IF(C412!$C$20=E$3,C412!$B$1 &amp; " ", "") &amp; IF(M111!$C$20=E$3,M111!$B$1 &amp; " ", "") &amp; IF(M211!$C$20=E$3,M211!$B$1 &amp; " ", "") &amp; IF(M311!$C$20=E$3,M311!$B$1 &amp; " ", "") &amp; IF(M411!$C$20=E$3,M411!$B$1 &amp; " ", ""))), " ", ",")</f>
        <v/>
      </c>
      <c r="F9" s="13">
        <f>SUBSTITUTE(TRIM((IF(D111!$C$20=F$3,D111!$B$1 &amp; " ", "") &amp; IF(D211!$C$20=F$3,D211!$B$1 &amp; " ", "") &amp; IF(D311!$C$20=F$3,D311!$B$1 &amp; " ", "") &amp; IF(D411!$C$20=F$3,D411!$B$1 &amp; " ", "") &amp; IF(C111!$C$20=F$3,C111!$B$1 &amp; " ", "") &amp; IF(C121!$C$20=F$3,C121!$B$1 &amp; " ", "") &amp; IF(C122!$C$20=F$3,C122!$B$1 &amp; " ", "") &amp; IF(C211!$C$20=F$3,C211!$B$1 &amp; " ", "") &amp; IF(C212!$C$20=F$3,C212!$B$1 &amp; " ", "") &amp; IF(C311!$C$20=F$3,C311!$B$1 &amp; " ", "") &amp; IF(C312!$C$20=F$3,C312!$B$1 &amp; " ", "") &amp; IF(C411!$C$20=F$3,C411!$B$1 &amp; " ", "") &amp; IF(C412!$C$20=F$3,C412!$B$1 &amp; " ", "") &amp; IF(M111!$C$20=F$3,M111!$B$1 &amp; " ", "") &amp; IF(M211!$C$20=F$3,M211!$B$1 &amp; " ", "") &amp; IF(M311!$C$20=F$3,M311!$B$1 &amp; " ", "") &amp; IF(M411!$C$20=F$3,M411!$B$1 &amp; " ", ""))), " ", ",")</f>
        <v/>
      </c>
      <c r="G9" s="13">
        <f>SUBSTITUTE(TRIM((IF(D111!$C$20=G$3,D111!$B$1 &amp; " ", "") &amp; IF(D211!$C$20=G$3,D211!$B$1 &amp; " ", "") &amp; IF(D311!$C$20=G$3,D311!$B$1 &amp; " ", "") &amp; IF(D411!$C$20=G$3,D411!$B$1 &amp; " ", "") &amp; IF(C111!$C$20=G$3,C111!$B$1 &amp; " ", "") &amp; IF(C121!$C$20=G$3,C121!$B$1 &amp; " ", "") &amp; IF(C122!$C$20=G$3,C122!$B$1 &amp; " ", "") &amp; IF(C211!$C$20=G$3,C211!$B$1 &amp; " ", "") &amp; IF(C212!$C$20=G$3,C212!$B$1 &amp; " ", "") &amp; IF(C311!$C$20=G$3,C311!$B$1 &amp; " ", "") &amp; IF(C312!$C$20=G$3,C312!$B$1 &amp; " ", "") &amp; IF(C411!$C$20=G$3,C411!$B$1 &amp; " ", "") &amp; IF(C412!$C$20=G$3,C412!$B$1 &amp; " ", "") &amp; IF(M111!$C$20=G$3,M111!$B$1 &amp; " ", "") &amp; IF(M211!$C$20=G$3,M211!$B$1 &amp; " ", "") &amp; IF(M311!$C$20=G$3,M311!$B$1 &amp; " ", "") &amp; IF(M411!$C$20=G$3,M411!$B$1 &amp; " ", ""))), " ", ",")</f>
        <v/>
      </c>
      <c r="H9" s="13">
        <f>SUBSTITUTE(TRIM((IF(D111!$C$20=H$3,D111!$B$1 &amp; " ", "") &amp; IF(D211!$C$20=H$3,D211!$B$1 &amp; " ", "") &amp; IF(D311!$C$20=H$3,D311!$B$1 &amp; " ", "") &amp; IF(D411!$C$20=H$3,D411!$B$1 &amp; " ", "") &amp; IF(C111!$C$20=H$3,C111!$B$1 &amp; " ", "") &amp; IF(C121!$C$20=H$3,C121!$B$1 &amp; " ", "") &amp; IF(C122!$C$20=H$3,C122!$B$1 &amp; " ", "") &amp; IF(C211!$C$20=H$3,C211!$B$1 &amp; " ", "") &amp; IF(C212!$C$20=H$3,C212!$B$1 &amp; " ", "") &amp; IF(C311!$C$20=H$3,C311!$B$1 &amp; " ", "") &amp; IF(C312!$C$20=H$3,C312!$B$1 &amp; " ", "") &amp; IF(C411!$C$20=H$3,C411!$B$1 &amp; " ", "") &amp; IF(C412!$C$20=H$3,C412!$B$1 &amp; " ", "") &amp; IF(M111!$C$20=H$3,M111!$B$1 &amp; " ", "") &amp; IF(M211!$C$20=H$3,M211!$B$1 &amp; " ", "") &amp; IF(M311!$C$20=H$3,M311!$B$1 &amp; " ", "") &amp; IF(M411!$C$20=H$3,M411!$B$1 &amp; " ", ""))), " ", ",")</f>
        <v/>
      </c>
      <c r="I9" s="13">
        <f>SUBSTITUTE(TRIM((IF(D111!$C$20=I$3,D111!$B$1 &amp; " ", "") &amp; IF(D211!$C$20=I$3,D211!$B$1 &amp; " ", "") &amp; IF(D311!$C$20=I$3,D311!$B$1 &amp; " ", "") &amp; IF(D411!$C$20=I$3,D411!$B$1 &amp; " ", "") &amp; IF(C111!$C$20=I$3,C111!$B$1 &amp; " ", "") &amp; IF(C121!$C$20=I$3,C121!$B$1 &amp; " ", "") &amp; IF(C122!$C$20=I$3,C122!$B$1 &amp; " ", "") &amp; IF(C211!$C$20=I$3,C211!$B$1 &amp; " ", "") &amp; IF(C212!$C$20=I$3,C212!$B$1 &amp; " ", "") &amp; IF(C311!$C$20=I$3,C311!$B$1 &amp; " ", "") &amp; IF(C312!$C$20=I$3,C312!$B$1 &amp; " ", "") &amp; IF(C411!$C$20=I$3,C411!$B$1 &amp; " ", "") &amp; IF(C412!$C$20=I$3,C412!$B$1 &amp; " ", "") &amp; IF(M111!$C$20=I$3,M111!$B$1 &amp; " ", "") &amp; IF(M211!$C$20=I$3,M211!$B$1 &amp; " ", "") &amp; IF(M311!$C$20=I$3,M311!$B$1 &amp; " ", "") &amp; IF(M411!$C$20=I$3,M411!$B$1 &amp; " ", ""))), " ", ",")</f>
        <v/>
      </c>
      <c r="J9" s="13">
        <f>SUBSTITUTE(TRIM((IF(D111!$C$20=J$3,D111!$B$1 &amp; " ", "") &amp; IF(D211!$C$20=J$3,D211!$B$1 &amp; " ", "") &amp; IF(D311!$C$20=J$3,D311!$B$1 &amp; " ", "") &amp; IF(D411!$C$20=J$3,D411!$B$1 &amp; " ", "") &amp; IF(C111!$C$20=J$3,C111!$B$1 &amp; " ", "") &amp; IF(C121!$C$20=J$3,C121!$B$1 &amp; " ", "") &amp; IF(C122!$C$20=J$3,C122!$B$1 &amp; " ", "") &amp; IF(C211!$C$20=J$3,C211!$B$1 &amp; " ", "") &amp; IF(C212!$C$20=J$3,C212!$B$1 &amp; " ", "") &amp; IF(C311!$C$20=J$3,C311!$B$1 &amp; " ", "") &amp; IF(C312!$C$20=J$3,C312!$B$1 &amp; " ", "") &amp; IF(C411!$C$20=J$3,C411!$B$1 &amp; " ", "") &amp; IF(C412!$C$20=J$3,C412!$B$1 &amp; " ", "") &amp; IF(M111!$C$20=J$3,M111!$B$1 &amp; " ", "") &amp; IF(M211!$C$20=J$3,M211!$B$1 &amp; " ", "") &amp; IF(M311!$C$20=J$3,M311!$B$1 &amp; " ", "") &amp; IF(M411!$C$20=J$3,M411!$B$1 &amp; " ", ""))), " ", ",")</f>
        <v/>
      </c>
      <c r="K9" s="13">
        <f>SUBSTITUTE(TRIM((IF(D111!$C$20=K$3,D111!$B$1 &amp; " ", "") &amp; IF(D211!$C$20=K$3,D211!$B$1 &amp; " ", "") &amp; IF(D311!$C$20=K$3,D311!$B$1 &amp; " ", "") &amp; IF(D411!$C$20=K$3,D411!$B$1 &amp; " ", "") &amp; IF(C111!$C$20=K$3,C111!$B$1 &amp; " ", "") &amp; IF(C121!$C$20=K$3,C121!$B$1 &amp; " ", "") &amp; IF(C122!$C$20=K$3,C122!$B$1 &amp; " ", "") &amp; IF(C211!$C$20=K$3,C211!$B$1 &amp; " ", "") &amp; IF(C212!$C$20=K$3,C212!$B$1 &amp; " ", "") &amp; IF(C311!$C$20=K$3,C311!$B$1 &amp; " ", "") &amp; IF(C312!$C$20=K$3,C312!$B$1 &amp; " ", "") &amp; IF(C411!$C$20=K$3,C411!$B$1 &amp; " ", "") &amp; IF(C412!$C$20=K$3,C412!$B$1 &amp; " ", "") &amp; IF(M111!$C$20=K$3,M111!$B$1 &amp; " ", "") &amp; IF(M211!$C$20=K$3,M211!$B$1 &amp; " ", "") &amp; IF(M311!$C$20=K$3,M311!$B$1 &amp; " ", "") &amp; IF(M411!$C$20=K$3,M411!$B$1 &amp; " ", ""))), " ", ",")</f>
        <v/>
      </c>
      <c r="L9" s="13">
        <f>SUBSTITUTE(TRIM((IF(D111!$C$20=L$3,D111!$B$1 &amp; " ", "") &amp; IF(D211!$C$20=L$3,D211!$B$1 &amp; " ", "") &amp; IF(D311!$C$20=L$3,D311!$B$1 &amp; " ", "") &amp; IF(D411!$C$20=L$3,D411!$B$1 &amp; " ", "") &amp; IF(C111!$C$20=L$3,C111!$B$1 &amp; " ", "") &amp; IF(C121!$C$20=L$3,C121!$B$1 &amp; " ", "") &amp; IF(C122!$C$20=L$3,C122!$B$1 &amp; " ", "") &amp; IF(C211!$C$20=L$3,C211!$B$1 &amp; " ", "") &amp; IF(C212!$C$20=L$3,C212!$B$1 &amp; " ", "") &amp; IF(C311!$C$20=L$3,C311!$B$1 &amp; " ", "") &amp; IF(C312!$C$20=L$3,C312!$B$1 &amp; " ", "") &amp; IF(C411!$C$20=L$3,C411!$B$1 &amp; " ", "") &amp; IF(C412!$C$20=L$3,C412!$B$1 &amp; " ", "") &amp; IF(M111!$C$20=L$3,M111!$B$1 &amp; " ", "") &amp; IF(M211!$C$20=L$3,M211!$B$1 &amp; " ", "") &amp; IF(M311!$C$20=L$3,M311!$B$1 &amp; " ", "") &amp; IF(M411!$C$20=L$3,M411!$B$1 &amp; " ", ""))), " ", ",")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s="12" t="inlineStr">
        <is>
          <t>Martes</t>
        </is>
      </c>
      <c r="C11" s="12" t="inlineStr">
        <is>
          <t>Aula 1</t>
        </is>
      </c>
      <c r="D11" s="12" t="inlineStr">
        <is>
          <t>Aula 2</t>
        </is>
      </c>
      <c r="E11" s="12" t="inlineStr">
        <is>
          <t>Aula 3</t>
        </is>
      </c>
      <c r="F11" s="12" t="inlineStr">
        <is>
          <t>Aula 4</t>
        </is>
      </c>
      <c r="G11" s="12" t="inlineStr">
        <is>
          <t>Aula 5</t>
        </is>
      </c>
      <c r="H11" s="12" t="inlineStr">
        <is>
          <t>Aula 6</t>
        </is>
      </c>
      <c r="I11" s="12" t="inlineStr">
        <is>
          <t>Aula 7</t>
        </is>
      </c>
      <c r="J11" s="12" t="inlineStr">
        <is>
          <t>Aula 8</t>
        </is>
      </c>
      <c r="K11" s="12" t="inlineStr">
        <is>
          <t>Aula 9</t>
        </is>
      </c>
      <c r="L11" s="12" t="inlineStr">
        <is>
          <t>Lab</t>
        </is>
      </c>
    </row>
    <row r="12">
      <c r="A12" t="inlineStr"/>
      <c r="B12" s="13" t="inlineStr">
        <is>
          <t>1ro</t>
        </is>
      </c>
      <c r="C12" s="13">
        <f>SUBSTITUTE(TRIM((IF(D111!$D$5=C$11,D111!$B$1 &amp; " ", "") &amp; IF(D211!$D$5=C$11,D211!$B$1 &amp; " ", "") &amp; IF(D311!$D$5=C$11,D311!$B$1 &amp; " ", "") &amp; IF(D411!$D$5=C$11,D411!$B$1 &amp; " ", "") &amp; IF(C111!$D$5=C$11,C111!$B$1 &amp; " ", "") &amp; IF(C121!$D$5=C$11,C121!$B$1 &amp; " ", "") &amp; IF(C122!$D$5=C$11,C122!$B$1 &amp; " ", "") &amp; IF(C211!$D$5=C$11,C211!$B$1 &amp; " ", "") &amp; IF(C212!$D$5=C$11,C212!$B$1 &amp; " ", "") &amp; IF(C311!$D$5=C$11,C311!$B$1 &amp; " ", "") &amp; IF(C312!$D$5=C$11,C312!$B$1 &amp; " ", "") &amp; IF(C411!$D$5=C$11,C411!$B$1 &amp; " ", "") &amp; IF(C412!$D$5=C$11,C412!$B$1 &amp; " ", "") &amp; IF(M111!$D$5=C$11,M111!$B$1 &amp; " ", "") &amp; IF(M211!$D$5=C$11,M211!$B$1 &amp; " ", "") &amp; IF(M311!$D$5=C$11,M311!$B$1 &amp; " ", "") &amp; IF(M411!$D$5=C$11,M411!$B$1 &amp; " ", ""))), " ", ",")</f>
        <v/>
      </c>
      <c r="D12" s="13">
        <f>SUBSTITUTE(TRIM((IF(D111!$D$5=D$11,D111!$B$1 &amp; " ", "") &amp; IF(D211!$D$5=D$11,D211!$B$1 &amp; " ", "") &amp; IF(D311!$D$5=D$11,D311!$B$1 &amp; " ", "") &amp; IF(D411!$D$5=D$11,D411!$B$1 &amp; " ", "") &amp; IF(C111!$D$5=D$11,C111!$B$1 &amp; " ", "") &amp; IF(C121!$D$5=D$11,C121!$B$1 &amp; " ", "") &amp; IF(C122!$D$5=D$11,C122!$B$1 &amp; " ", "") &amp; IF(C211!$D$5=D$11,C211!$B$1 &amp; " ", "") &amp; IF(C212!$D$5=D$11,C212!$B$1 &amp; " ", "") &amp; IF(C311!$D$5=D$11,C311!$B$1 &amp; " ", "") &amp; IF(C312!$D$5=D$11,C312!$B$1 &amp; " ", "") &amp; IF(C411!$D$5=D$11,C411!$B$1 &amp; " ", "") &amp; IF(C412!$D$5=D$11,C412!$B$1 &amp; " ", "") &amp; IF(M111!$D$5=D$11,M111!$B$1 &amp; " ", "") &amp; IF(M211!$D$5=D$11,M211!$B$1 &amp; " ", "") &amp; IF(M311!$D$5=D$11,M311!$B$1 &amp; " ", "") &amp; IF(M411!$D$5=D$11,M411!$B$1 &amp; " ", ""))), " ", ",")</f>
        <v/>
      </c>
      <c r="E12" s="13">
        <f>SUBSTITUTE(TRIM((IF(D111!$D$5=E$11,D111!$B$1 &amp; " ", "") &amp; IF(D211!$D$5=E$11,D211!$B$1 &amp; " ", "") &amp; IF(D311!$D$5=E$11,D311!$B$1 &amp; " ", "") &amp; IF(D411!$D$5=E$11,D411!$B$1 &amp; " ", "") &amp; IF(C111!$D$5=E$11,C111!$B$1 &amp; " ", "") &amp; IF(C121!$D$5=E$11,C121!$B$1 &amp; " ", "") &amp; IF(C122!$D$5=E$11,C122!$B$1 &amp; " ", "") &amp; IF(C211!$D$5=E$11,C211!$B$1 &amp; " ", "") &amp; IF(C212!$D$5=E$11,C212!$B$1 &amp; " ", "") &amp; IF(C311!$D$5=E$11,C311!$B$1 &amp; " ", "") &amp; IF(C312!$D$5=E$11,C312!$B$1 &amp; " ", "") &amp; IF(C411!$D$5=E$11,C411!$B$1 &amp; " ", "") &amp; IF(C412!$D$5=E$11,C412!$B$1 &amp; " ", "") &amp; IF(M111!$D$5=E$11,M111!$B$1 &amp; " ", "") &amp; IF(M211!$D$5=E$11,M211!$B$1 &amp; " ", "") &amp; IF(M311!$D$5=E$11,M311!$B$1 &amp; " ", "") &amp; IF(M411!$D$5=E$11,M411!$B$1 &amp; " ", ""))), " ", ",")</f>
        <v/>
      </c>
      <c r="F12" s="13">
        <f>SUBSTITUTE(TRIM((IF(D111!$D$5=F$11,D111!$B$1 &amp; " ", "") &amp; IF(D211!$D$5=F$11,D211!$B$1 &amp; " ", "") &amp; IF(D311!$D$5=F$11,D311!$B$1 &amp; " ", "") &amp; IF(D411!$D$5=F$11,D411!$B$1 &amp; " ", "") &amp; IF(C111!$D$5=F$11,C111!$B$1 &amp; " ", "") &amp; IF(C121!$D$5=F$11,C121!$B$1 &amp; " ", "") &amp; IF(C122!$D$5=F$11,C122!$B$1 &amp; " ", "") &amp; IF(C211!$D$5=F$11,C211!$B$1 &amp; " ", "") &amp; IF(C212!$D$5=F$11,C212!$B$1 &amp; " ", "") &amp; IF(C311!$D$5=F$11,C311!$B$1 &amp; " ", "") &amp; IF(C312!$D$5=F$11,C312!$B$1 &amp; " ", "") &amp; IF(C411!$D$5=F$11,C411!$B$1 &amp; " ", "") &amp; IF(C412!$D$5=F$11,C412!$B$1 &amp; " ", "") &amp; IF(M111!$D$5=F$11,M111!$B$1 &amp; " ", "") &amp; IF(M211!$D$5=F$11,M211!$B$1 &amp; " ", "") &amp; IF(M311!$D$5=F$11,M311!$B$1 &amp; " ", "") &amp; IF(M411!$D$5=F$11,M411!$B$1 &amp; " ", ""))), " ", ",")</f>
        <v/>
      </c>
      <c r="G12" s="13">
        <f>SUBSTITUTE(TRIM((IF(D111!$D$5=G$11,D111!$B$1 &amp; " ", "") &amp; IF(D211!$D$5=G$11,D211!$B$1 &amp; " ", "") &amp; IF(D311!$D$5=G$11,D311!$B$1 &amp; " ", "") &amp; IF(D411!$D$5=G$11,D411!$B$1 &amp; " ", "") &amp; IF(C111!$D$5=G$11,C111!$B$1 &amp; " ", "") &amp; IF(C121!$D$5=G$11,C121!$B$1 &amp; " ", "") &amp; IF(C122!$D$5=G$11,C122!$B$1 &amp; " ", "") &amp; IF(C211!$D$5=G$11,C211!$B$1 &amp; " ", "") &amp; IF(C212!$D$5=G$11,C212!$B$1 &amp; " ", "") &amp; IF(C311!$D$5=G$11,C311!$B$1 &amp; " ", "") &amp; IF(C312!$D$5=G$11,C312!$B$1 &amp; " ", "") &amp; IF(C411!$D$5=G$11,C411!$B$1 &amp; " ", "") &amp; IF(C412!$D$5=G$11,C412!$B$1 &amp; " ", "") &amp; IF(M111!$D$5=G$11,M111!$B$1 &amp; " ", "") &amp; IF(M211!$D$5=G$11,M211!$B$1 &amp; " ", "") &amp; IF(M311!$D$5=G$11,M311!$B$1 &amp; " ", "") &amp; IF(M411!$D$5=G$11,M411!$B$1 &amp; " ", ""))), " ", ",")</f>
        <v/>
      </c>
      <c r="H12" s="13">
        <f>SUBSTITUTE(TRIM((IF(D111!$D$5=H$11,D111!$B$1 &amp; " ", "") &amp; IF(D211!$D$5=H$11,D211!$B$1 &amp; " ", "") &amp; IF(D311!$D$5=H$11,D311!$B$1 &amp; " ", "") &amp; IF(D411!$D$5=H$11,D411!$B$1 &amp; " ", "") &amp; IF(C111!$D$5=H$11,C111!$B$1 &amp; " ", "") &amp; IF(C121!$D$5=H$11,C121!$B$1 &amp; " ", "") &amp; IF(C122!$D$5=H$11,C122!$B$1 &amp; " ", "") &amp; IF(C211!$D$5=H$11,C211!$B$1 &amp; " ", "") &amp; IF(C212!$D$5=H$11,C212!$B$1 &amp; " ", "") &amp; IF(C311!$D$5=H$11,C311!$B$1 &amp; " ", "") &amp; IF(C312!$D$5=H$11,C312!$B$1 &amp; " ", "") &amp; IF(C411!$D$5=H$11,C411!$B$1 &amp; " ", "") &amp; IF(C412!$D$5=H$11,C412!$B$1 &amp; " ", "") &amp; IF(M111!$D$5=H$11,M111!$B$1 &amp; " ", "") &amp; IF(M211!$D$5=H$11,M211!$B$1 &amp; " ", "") &amp; IF(M311!$D$5=H$11,M311!$B$1 &amp; " ", "") &amp; IF(M411!$D$5=H$11,M411!$B$1 &amp; " ", ""))), " ", ",")</f>
        <v/>
      </c>
      <c r="I12" s="13">
        <f>SUBSTITUTE(TRIM((IF(D111!$D$5=I$11,D111!$B$1 &amp; " ", "") &amp; IF(D211!$D$5=I$11,D211!$B$1 &amp; " ", "") &amp; IF(D311!$D$5=I$11,D311!$B$1 &amp; " ", "") &amp; IF(D411!$D$5=I$11,D411!$B$1 &amp; " ", "") &amp; IF(C111!$D$5=I$11,C111!$B$1 &amp; " ", "") &amp; IF(C121!$D$5=I$11,C121!$B$1 &amp; " ", "") &amp; IF(C122!$D$5=I$11,C122!$B$1 &amp; " ", "") &amp; IF(C211!$D$5=I$11,C211!$B$1 &amp; " ", "") &amp; IF(C212!$D$5=I$11,C212!$B$1 &amp; " ", "") &amp; IF(C311!$D$5=I$11,C311!$B$1 &amp; " ", "") &amp; IF(C312!$D$5=I$11,C312!$B$1 &amp; " ", "") &amp; IF(C411!$D$5=I$11,C411!$B$1 &amp; " ", "") &amp; IF(C412!$D$5=I$11,C412!$B$1 &amp; " ", "") &amp; IF(M111!$D$5=I$11,M111!$B$1 &amp; " ", "") &amp; IF(M211!$D$5=I$11,M211!$B$1 &amp; " ", "") &amp; IF(M311!$D$5=I$11,M311!$B$1 &amp; " ", "") &amp; IF(M411!$D$5=I$11,M411!$B$1 &amp; " ", ""))), " ", ",")</f>
        <v/>
      </c>
      <c r="J12" s="13">
        <f>SUBSTITUTE(TRIM((IF(D111!$D$5=J$11,D111!$B$1 &amp; " ", "") &amp; IF(D211!$D$5=J$11,D211!$B$1 &amp; " ", "") &amp; IF(D311!$D$5=J$11,D311!$B$1 &amp; " ", "") &amp; IF(D411!$D$5=J$11,D411!$B$1 &amp; " ", "") &amp; IF(C111!$D$5=J$11,C111!$B$1 &amp; " ", "") &amp; IF(C121!$D$5=J$11,C121!$B$1 &amp; " ", "") &amp; IF(C122!$D$5=J$11,C122!$B$1 &amp; " ", "") &amp; IF(C211!$D$5=J$11,C211!$B$1 &amp; " ", "") &amp; IF(C212!$D$5=J$11,C212!$B$1 &amp; " ", "") &amp; IF(C311!$D$5=J$11,C311!$B$1 &amp; " ", "") &amp; IF(C312!$D$5=J$11,C312!$B$1 &amp; " ", "") &amp; IF(C411!$D$5=J$11,C411!$B$1 &amp; " ", "") &amp; IF(C412!$D$5=J$11,C412!$B$1 &amp; " ", "") &amp; IF(M111!$D$5=J$11,M111!$B$1 &amp; " ", "") &amp; IF(M211!$D$5=J$11,M211!$B$1 &amp; " ", "") &amp; IF(M311!$D$5=J$11,M311!$B$1 &amp; " ", "") &amp; IF(M411!$D$5=J$11,M411!$B$1 &amp; " ", ""))), " ", ",")</f>
        <v/>
      </c>
      <c r="K12" s="13">
        <f>SUBSTITUTE(TRIM((IF(D111!$D$5=K$11,D111!$B$1 &amp; " ", "") &amp; IF(D211!$D$5=K$11,D211!$B$1 &amp; " ", "") &amp; IF(D311!$D$5=K$11,D311!$B$1 &amp; " ", "") &amp; IF(D411!$D$5=K$11,D411!$B$1 &amp; " ", "") &amp; IF(C111!$D$5=K$11,C111!$B$1 &amp; " ", "") &amp; IF(C121!$D$5=K$11,C121!$B$1 &amp; " ", "") &amp; IF(C122!$D$5=K$11,C122!$B$1 &amp; " ", "") &amp; IF(C211!$D$5=K$11,C211!$B$1 &amp; " ", "") &amp; IF(C212!$D$5=K$11,C212!$B$1 &amp; " ", "") &amp; IF(C311!$D$5=K$11,C311!$B$1 &amp; " ", "") &amp; IF(C312!$D$5=K$11,C312!$B$1 &amp; " ", "") &amp; IF(C411!$D$5=K$11,C411!$B$1 &amp; " ", "") &amp; IF(C412!$D$5=K$11,C412!$B$1 &amp; " ", "") &amp; IF(M111!$D$5=K$11,M111!$B$1 &amp; " ", "") &amp; IF(M211!$D$5=K$11,M211!$B$1 &amp; " ", "") &amp; IF(M311!$D$5=K$11,M311!$B$1 &amp; " ", "") &amp; IF(M411!$D$5=K$11,M411!$B$1 &amp; " ", ""))), " ", ",")</f>
        <v/>
      </c>
      <c r="L12" s="13">
        <f>SUBSTITUTE(TRIM((IF(D111!$D$5=L$11,D111!$B$1 &amp; " ", "") &amp; IF(D211!$D$5=L$11,D211!$B$1 &amp; " ", "") &amp; IF(D311!$D$5=L$11,D311!$B$1 &amp; " ", "") &amp; IF(D411!$D$5=L$11,D411!$B$1 &amp; " ", "") &amp; IF(C111!$D$5=L$11,C111!$B$1 &amp; " ", "") &amp; IF(C121!$D$5=L$11,C121!$B$1 &amp; " ", "") &amp; IF(C122!$D$5=L$11,C122!$B$1 &amp; " ", "") &amp; IF(C211!$D$5=L$11,C211!$B$1 &amp; " ", "") &amp; IF(C212!$D$5=L$11,C212!$B$1 &amp; " ", "") &amp; IF(C311!$D$5=L$11,C311!$B$1 &amp; " ", "") &amp; IF(C312!$D$5=L$11,C312!$B$1 &amp; " ", "") &amp; IF(C411!$D$5=L$11,C411!$B$1 &amp; " ", "") &amp; IF(C412!$D$5=L$11,C412!$B$1 &amp; " ", "") &amp; IF(M111!$D$5=L$11,M111!$B$1 &amp; " ", "") &amp; IF(M211!$D$5=L$11,M211!$B$1 &amp; " ", "") &amp; IF(M311!$D$5=L$11,M311!$B$1 &amp; " ", "") &amp; IF(M411!$D$5=L$11,M411!$B$1 &amp; " ", ""))), " ", ",")</f>
        <v/>
      </c>
    </row>
    <row r="13">
      <c r="A13" t="inlineStr"/>
      <c r="B13" s="13" t="inlineStr">
        <is>
          <t>2do</t>
        </is>
      </c>
      <c r="C13" s="13">
        <f>SUBSTITUTE(TRIM((IF(D111!$D$8=C$11,D111!$B$1 &amp; " ", "") &amp; IF(D211!$D$8=C$11,D211!$B$1 &amp; " ", "") &amp; IF(D311!$D$8=C$11,D311!$B$1 &amp; " ", "") &amp; IF(D411!$D$8=C$11,D411!$B$1 &amp; " ", "") &amp; IF(C111!$D$8=C$11,C111!$B$1 &amp; " ", "") &amp; IF(C121!$D$8=C$11,C121!$B$1 &amp; " ", "") &amp; IF(C122!$D$8=C$11,C122!$B$1 &amp; " ", "") &amp; IF(C211!$D$8=C$11,C211!$B$1 &amp; " ", "") &amp; IF(C212!$D$8=C$11,C212!$B$1 &amp; " ", "") &amp; IF(C311!$D$8=C$11,C311!$B$1 &amp; " ", "") &amp; IF(C312!$D$8=C$11,C312!$B$1 &amp; " ", "") &amp; IF(C411!$D$8=C$11,C411!$B$1 &amp; " ", "") &amp; IF(C412!$D$8=C$11,C412!$B$1 &amp; " ", "") &amp; IF(M111!$D$8=C$11,M111!$B$1 &amp; " ", "") &amp; IF(M211!$D$8=C$11,M211!$B$1 &amp; " ", "") &amp; IF(M311!$D$8=C$11,M311!$B$1 &amp; " ", "") &amp; IF(M411!$D$8=C$11,M411!$B$1 &amp; " ", ""))), " ", ",")</f>
        <v/>
      </c>
      <c r="D13" s="13">
        <f>SUBSTITUTE(TRIM((IF(D111!$D$8=D$11,D111!$B$1 &amp; " ", "") &amp; IF(D211!$D$8=D$11,D211!$B$1 &amp; " ", "") &amp; IF(D311!$D$8=D$11,D311!$B$1 &amp; " ", "") &amp; IF(D411!$D$8=D$11,D411!$B$1 &amp; " ", "") &amp; IF(C111!$D$8=D$11,C111!$B$1 &amp; " ", "") &amp; IF(C121!$D$8=D$11,C121!$B$1 &amp; " ", "") &amp; IF(C122!$D$8=D$11,C122!$B$1 &amp; " ", "") &amp; IF(C211!$D$8=D$11,C211!$B$1 &amp; " ", "") &amp; IF(C212!$D$8=D$11,C212!$B$1 &amp; " ", "") &amp; IF(C311!$D$8=D$11,C311!$B$1 &amp; " ", "") &amp; IF(C312!$D$8=D$11,C312!$B$1 &amp; " ", "") &amp; IF(C411!$D$8=D$11,C411!$B$1 &amp; " ", "") &amp; IF(C412!$D$8=D$11,C412!$B$1 &amp; " ", "") &amp; IF(M111!$D$8=D$11,M111!$B$1 &amp; " ", "") &amp; IF(M211!$D$8=D$11,M211!$B$1 &amp; " ", "") &amp; IF(M311!$D$8=D$11,M311!$B$1 &amp; " ", "") &amp; IF(M411!$D$8=D$11,M411!$B$1 &amp; " ", ""))), " ", ",")</f>
        <v/>
      </c>
      <c r="E13" s="13">
        <f>SUBSTITUTE(TRIM((IF(D111!$D$8=E$11,D111!$B$1 &amp; " ", "") &amp; IF(D211!$D$8=E$11,D211!$B$1 &amp; " ", "") &amp; IF(D311!$D$8=E$11,D311!$B$1 &amp; " ", "") &amp; IF(D411!$D$8=E$11,D411!$B$1 &amp; " ", "") &amp; IF(C111!$D$8=E$11,C111!$B$1 &amp; " ", "") &amp; IF(C121!$D$8=E$11,C121!$B$1 &amp; " ", "") &amp; IF(C122!$D$8=E$11,C122!$B$1 &amp; " ", "") &amp; IF(C211!$D$8=E$11,C211!$B$1 &amp; " ", "") &amp; IF(C212!$D$8=E$11,C212!$B$1 &amp; " ", "") &amp; IF(C311!$D$8=E$11,C311!$B$1 &amp; " ", "") &amp; IF(C312!$D$8=E$11,C312!$B$1 &amp; " ", "") &amp; IF(C411!$D$8=E$11,C411!$B$1 &amp; " ", "") &amp; IF(C412!$D$8=E$11,C412!$B$1 &amp; " ", "") &amp; IF(M111!$D$8=E$11,M111!$B$1 &amp; " ", "") &amp; IF(M211!$D$8=E$11,M211!$B$1 &amp; " ", "") &amp; IF(M311!$D$8=E$11,M311!$B$1 &amp; " ", "") &amp; IF(M411!$D$8=E$11,M411!$B$1 &amp; " ", ""))), " ", ",")</f>
        <v/>
      </c>
      <c r="F13" s="13">
        <f>SUBSTITUTE(TRIM((IF(D111!$D$8=F$11,D111!$B$1 &amp; " ", "") &amp; IF(D211!$D$8=F$11,D211!$B$1 &amp; " ", "") &amp; IF(D311!$D$8=F$11,D311!$B$1 &amp; " ", "") &amp; IF(D411!$D$8=F$11,D411!$B$1 &amp; " ", "") &amp; IF(C111!$D$8=F$11,C111!$B$1 &amp; " ", "") &amp; IF(C121!$D$8=F$11,C121!$B$1 &amp; " ", "") &amp; IF(C122!$D$8=F$11,C122!$B$1 &amp; " ", "") &amp; IF(C211!$D$8=F$11,C211!$B$1 &amp; " ", "") &amp; IF(C212!$D$8=F$11,C212!$B$1 &amp; " ", "") &amp; IF(C311!$D$8=F$11,C311!$B$1 &amp; " ", "") &amp; IF(C312!$D$8=F$11,C312!$B$1 &amp; " ", "") &amp; IF(C411!$D$8=F$11,C411!$B$1 &amp; " ", "") &amp; IF(C412!$D$8=F$11,C412!$B$1 &amp; " ", "") &amp; IF(M111!$D$8=F$11,M111!$B$1 &amp; " ", "") &amp; IF(M211!$D$8=F$11,M211!$B$1 &amp; " ", "") &amp; IF(M311!$D$8=F$11,M311!$B$1 &amp; " ", "") &amp; IF(M411!$D$8=F$11,M411!$B$1 &amp; " ", ""))), " ", ",")</f>
        <v/>
      </c>
      <c r="G13" s="13">
        <f>SUBSTITUTE(TRIM((IF(D111!$D$8=G$11,D111!$B$1 &amp; " ", "") &amp; IF(D211!$D$8=G$11,D211!$B$1 &amp; " ", "") &amp; IF(D311!$D$8=G$11,D311!$B$1 &amp; " ", "") &amp; IF(D411!$D$8=G$11,D411!$B$1 &amp; " ", "") &amp; IF(C111!$D$8=G$11,C111!$B$1 &amp; " ", "") &amp; IF(C121!$D$8=G$11,C121!$B$1 &amp; " ", "") &amp; IF(C122!$D$8=G$11,C122!$B$1 &amp; " ", "") &amp; IF(C211!$D$8=G$11,C211!$B$1 &amp; " ", "") &amp; IF(C212!$D$8=G$11,C212!$B$1 &amp; " ", "") &amp; IF(C311!$D$8=G$11,C311!$B$1 &amp; " ", "") &amp; IF(C312!$D$8=G$11,C312!$B$1 &amp; " ", "") &amp; IF(C411!$D$8=G$11,C411!$B$1 &amp; " ", "") &amp; IF(C412!$D$8=G$11,C412!$B$1 &amp; " ", "") &amp; IF(M111!$D$8=G$11,M111!$B$1 &amp; " ", "") &amp; IF(M211!$D$8=G$11,M211!$B$1 &amp; " ", "") &amp; IF(M311!$D$8=G$11,M311!$B$1 &amp; " ", "") &amp; IF(M411!$D$8=G$11,M411!$B$1 &amp; " ", ""))), " ", ",")</f>
        <v/>
      </c>
      <c r="H13" s="13">
        <f>SUBSTITUTE(TRIM((IF(D111!$D$8=H$11,D111!$B$1 &amp; " ", "") &amp; IF(D211!$D$8=H$11,D211!$B$1 &amp; " ", "") &amp; IF(D311!$D$8=H$11,D311!$B$1 &amp; " ", "") &amp; IF(D411!$D$8=H$11,D411!$B$1 &amp; " ", "") &amp; IF(C111!$D$8=H$11,C111!$B$1 &amp; " ", "") &amp; IF(C121!$D$8=H$11,C121!$B$1 &amp; " ", "") &amp; IF(C122!$D$8=H$11,C122!$B$1 &amp; " ", "") &amp; IF(C211!$D$8=H$11,C211!$B$1 &amp; " ", "") &amp; IF(C212!$D$8=H$11,C212!$B$1 &amp; " ", "") &amp; IF(C311!$D$8=H$11,C311!$B$1 &amp; " ", "") &amp; IF(C312!$D$8=H$11,C312!$B$1 &amp; " ", "") &amp; IF(C411!$D$8=H$11,C411!$B$1 &amp; " ", "") &amp; IF(C412!$D$8=H$11,C412!$B$1 &amp; " ", "") &amp; IF(M111!$D$8=H$11,M111!$B$1 &amp; " ", "") &amp; IF(M211!$D$8=H$11,M211!$B$1 &amp; " ", "") &amp; IF(M311!$D$8=H$11,M311!$B$1 &amp; " ", "") &amp; IF(M411!$D$8=H$11,M411!$B$1 &amp; " ", ""))), " ", ",")</f>
        <v/>
      </c>
      <c r="I13" s="13">
        <f>SUBSTITUTE(TRIM((IF(D111!$D$8=I$11,D111!$B$1 &amp; " ", "") &amp; IF(D211!$D$8=I$11,D211!$B$1 &amp; " ", "") &amp; IF(D311!$D$8=I$11,D311!$B$1 &amp; " ", "") &amp; IF(D411!$D$8=I$11,D411!$B$1 &amp; " ", "") &amp; IF(C111!$D$8=I$11,C111!$B$1 &amp; " ", "") &amp; IF(C121!$D$8=I$11,C121!$B$1 &amp; " ", "") &amp; IF(C122!$D$8=I$11,C122!$B$1 &amp; " ", "") &amp; IF(C211!$D$8=I$11,C211!$B$1 &amp; " ", "") &amp; IF(C212!$D$8=I$11,C212!$B$1 &amp; " ", "") &amp; IF(C311!$D$8=I$11,C311!$B$1 &amp; " ", "") &amp; IF(C312!$D$8=I$11,C312!$B$1 &amp; " ", "") &amp; IF(C411!$D$8=I$11,C411!$B$1 &amp; " ", "") &amp; IF(C412!$D$8=I$11,C412!$B$1 &amp; " ", "") &amp; IF(M111!$D$8=I$11,M111!$B$1 &amp; " ", "") &amp; IF(M211!$D$8=I$11,M211!$B$1 &amp; " ", "") &amp; IF(M311!$D$8=I$11,M311!$B$1 &amp; " ", "") &amp; IF(M411!$D$8=I$11,M411!$B$1 &amp; " ", ""))), " ", ",")</f>
        <v/>
      </c>
      <c r="J13" s="13">
        <f>SUBSTITUTE(TRIM((IF(D111!$D$8=J$11,D111!$B$1 &amp; " ", "") &amp; IF(D211!$D$8=J$11,D211!$B$1 &amp; " ", "") &amp; IF(D311!$D$8=J$11,D311!$B$1 &amp; " ", "") &amp; IF(D411!$D$8=J$11,D411!$B$1 &amp; " ", "") &amp; IF(C111!$D$8=J$11,C111!$B$1 &amp; " ", "") &amp; IF(C121!$D$8=J$11,C121!$B$1 &amp; " ", "") &amp; IF(C122!$D$8=J$11,C122!$B$1 &amp; " ", "") &amp; IF(C211!$D$8=J$11,C211!$B$1 &amp; " ", "") &amp; IF(C212!$D$8=J$11,C212!$B$1 &amp; " ", "") &amp; IF(C311!$D$8=J$11,C311!$B$1 &amp; " ", "") &amp; IF(C312!$D$8=J$11,C312!$B$1 &amp; " ", "") &amp; IF(C411!$D$8=J$11,C411!$B$1 &amp; " ", "") &amp; IF(C412!$D$8=J$11,C412!$B$1 &amp; " ", "") &amp; IF(M111!$D$8=J$11,M111!$B$1 &amp; " ", "") &amp; IF(M211!$D$8=J$11,M211!$B$1 &amp; " ", "") &amp; IF(M311!$D$8=J$11,M311!$B$1 &amp; " ", "") &amp; IF(M411!$D$8=J$11,M411!$B$1 &amp; " ", ""))), " ", ",")</f>
        <v/>
      </c>
      <c r="K13" s="13">
        <f>SUBSTITUTE(TRIM((IF(D111!$D$8=K$11,D111!$B$1 &amp; " ", "") &amp; IF(D211!$D$8=K$11,D211!$B$1 &amp; " ", "") &amp; IF(D311!$D$8=K$11,D311!$B$1 &amp; " ", "") &amp; IF(D411!$D$8=K$11,D411!$B$1 &amp; " ", "") &amp; IF(C111!$D$8=K$11,C111!$B$1 &amp; " ", "") &amp; IF(C121!$D$8=K$11,C121!$B$1 &amp; " ", "") &amp; IF(C122!$D$8=K$11,C122!$B$1 &amp; " ", "") &amp; IF(C211!$D$8=K$11,C211!$B$1 &amp; " ", "") &amp; IF(C212!$D$8=K$11,C212!$B$1 &amp; " ", "") &amp; IF(C311!$D$8=K$11,C311!$B$1 &amp; " ", "") &amp; IF(C312!$D$8=K$11,C312!$B$1 &amp; " ", "") &amp; IF(C411!$D$8=K$11,C411!$B$1 &amp; " ", "") &amp; IF(C412!$D$8=K$11,C412!$B$1 &amp; " ", "") &amp; IF(M111!$D$8=K$11,M111!$B$1 &amp; " ", "") &amp; IF(M211!$D$8=K$11,M211!$B$1 &amp; " ", "") &amp; IF(M311!$D$8=K$11,M311!$B$1 &amp; " ", "") &amp; IF(M411!$D$8=K$11,M411!$B$1 &amp; " ", ""))), " ", ",")</f>
        <v/>
      </c>
      <c r="L13" s="13">
        <f>SUBSTITUTE(TRIM((IF(D111!$D$8=L$11,D111!$B$1 &amp; " ", "") &amp; IF(D211!$D$8=L$11,D211!$B$1 &amp; " ", "") &amp; IF(D311!$D$8=L$11,D311!$B$1 &amp; " ", "") &amp; IF(D411!$D$8=L$11,D411!$B$1 &amp; " ", "") &amp; IF(C111!$D$8=L$11,C111!$B$1 &amp; " ", "") &amp; IF(C121!$D$8=L$11,C121!$B$1 &amp; " ", "") &amp; IF(C122!$D$8=L$11,C122!$B$1 &amp; " ", "") &amp; IF(C211!$D$8=L$11,C211!$B$1 &amp; " ", "") &amp; IF(C212!$D$8=L$11,C212!$B$1 &amp; " ", "") &amp; IF(C311!$D$8=L$11,C311!$B$1 &amp; " ", "") &amp; IF(C312!$D$8=L$11,C312!$B$1 &amp; " ", "") &amp; IF(C411!$D$8=L$11,C411!$B$1 &amp; " ", "") &amp; IF(C412!$D$8=L$11,C412!$B$1 &amp; " ", "") &amp; IF(M111!$D$8=L$11,M111!$B$1 &amp; " ", "") &amp; IF(M211!$D$8=L$11,M211!$B$1 &amp; " ", "") &amp; IF(M311!$D$8=L$11,M311!$B$1 &amp; " ", "") &amp; IF(M411!$D$8=L$11,M411!$B$1 &amp; " ", ""))), " ", ",")</f>
        <v/>
      </c>
    </row>
    <row r="14">
      <c r="A14" t="inlineStr"/>
      <c r="B14" s="13" t="inlineStr">
        <is>
          <t>3ro</t>
        </is>
      </c>
      <c r="C14" s="13">
        <f>SUBSTITUTE(TRIM((IF(D111!$D$11=C$11,D111!$B$1 &amp; " ", "") &amp; IF(D211!$D$11=C$11,D211!$B$1 &amp; " ", "") &amp; IF(D311!$D$11=C$11,D311!$B$1 &amp; " ", "") &amp; IF(D411!$D$11=C$11,D411!$B$1 &amp; " ", "") &amp; IF(C111!$D$11=C$11,C111!$B$1 &amp; " ", "") &amp; IF(C121!$D$11=C$11,C121!$B$1 &amp; " ", "") &amp; IF(C122!$D$11=C$11,C122!$B$1 &amp; " ", "") &amp; IF(C211!$D$11=C$11,C211!$B$1 &amp; " ", "") &amp; IF(C212!$D$11=C$11,C212!$B$1 &amp; " ", "") &amp; IF(C311!$D$11=C$11,C311!$B$1 &amp; " ", "") &amp; IF(C312!$D$11=C$11,C312!$B$1 &amp; " ", "") &amp; IF(C411!$D$11=C$11,C411!$B$1 &amp; " ", "") &amp; IF(C412!$D$11=C$11,C412!$B$1 &amp; " ", "") &amp; IF(M111!$D$11=C$11,M111!$B$1 &amp; " ", "") &amp; IF(M211!$D$11=C$11,M211!$B$1 &amp; " ", "") &amp; IF(M311!$D$11=C$11,M311!$B$1 &amp; " ", "") &amp; IF(M411!$D$11=C$11,M411!$B$1 &amp; " ", ""))), " ", ",")</f>
        <v/>
      </c>
      <c r="D14" s="13">
        <f>SUBSTITUTE(TRIM((IF(D111!$D$11=D$11,D111!$B$1 &amp; " ", "") &amp; IF(D211!$D$11=D$11,D211!$B$1 &amp; " ", "") &amp; IF(D311!$D$11=D$11,D311!$B$1 &amp; " ", "") &amp; IF(D411!$D$11=D$11,D411!$B$1 &amp; " ", "") &amp; IF(C111!$D$11=D$11,C111!$B$1 &amp; " ", "") &amp; IF(C121!$D$11=D$11,C121!$B$1 &amp; " ", "") &amp; IF(C122!$D$11=D$11,C122!$B$1 &amp; " ", "") &amp; IF(C211!$D$11=D$11,C211!$B$1 &amp; " ", "") &amp; IF(C212!$D$11=D$11,C212!$B$1 &amp; " ", "") &amp; IF(C311!$D$11=D$11,C311!$B$1 &amp; " ", "") &amp; IF(C312!$D$11=D$11,C312!$B$1 &amp; " ", "") &amp; IF(C411!$D$11=D$11,C411!$B$1 &amp; " ", "") &amp; IF(C412!$D$11=D$11,C412!$B$1 &amp; " ", "") &amp; IF(M111!$D$11=D$11,M111!$B$1 &amp; " ", "") &amp; IF(M211!$D$11=D$11,M211!$B$1 &amp; " ", "") &amp; IF(M311!$D$11=D$11,M311!$B$1 &amp; " ", "") &amp; IF(M411!$D$11=D$11,M411!$B$1 &amp; " ", ""))), " ", ",")</f>
        <v/>
      </c>
      <c r="E14" s="13">
        <f>SUBSTITUTE(TRIM((IF(D111!$D$11=E$11,D111!$B$1 &amp; " ", "") &amp; IF(D211!$D$11=E$11,D211!$B$1 &amp; " ", "") &amp; IF(D311!$D$11=E$11,D311!$B$1 &amp; " ", "") &amp; IF(D411!$D$11=E$11,D411!$B$1 &amp; " ", "") &amp; IF(C111!$D$11=E$11,C111!$B$1 &amp; " ", "") &amp; IF(C121!$D$11=E$11,C121!$B$1 &amp; " ", "") &amp; IF(C122!$D$11=E$11,C122!$B$1 &amp; " ", "") &amp; IF(C211!$D$11=E$11,C211!$B$1 &amp; " ", "") &amp; IF(C212!$D$11=E$11,C212!$B$1 &amp; " ", "") &amp; IF(C311!$D$11=E$11,C311!$B$1 &amp; " ", "") &amp; IF(C312!$D$11=E$11,C312!$B$1 &amp; " ", "") &amp; IF(C411!$D$11=E$11,C411!$B$1 &amp; " ", "") &amp; IF(C412!$D$11=E$11,C412!$B$1 &amp; " ", "") &amp; IF(M111!$D$11=E$11,M111!$B$1 &amp; " ", "") &amp; IF(M211!$D$11=E$11,M211!$B$1 &amp; " ", "") &amp; IF(M311!$D$11=E$11,M311!$B$1 &amp; " ", "") &amp; IF(M411!$D$11=E$11,M411!$B$1 &amp; " ", ""))), " ", ",")</f>
        <v/>
      </c>
      <c r="F14" s="13">
        <f>SUBSTITUTE(TRIM((IF(D111!$D$11=F$11,D111!$B$1 &amp; " ", "") &amp; IF(D211!$D$11=F$11,D211!$B$1 &amp; " ", "") &amp; IF(D311!$D$11=F$11,D311!$B$1 &amp; " ", "") &amp; IF(D411!$D$11=F$11,D411!$B$1 &amp; " ", "") &amp; IF(C111!$D$11=F$11,C111!$B$1 &amp; " ", "") &amp; IF(C121!$D$11=F$11,C121!$B$1 &amp; " ", "") &amp; IF(C122!$D$11=F$11,C122!$B$1 &amp; " ", "") &amp; IF(C211!$D$11=F$11,C211!$B$1 &amp; " ", "") &amp; IF(C212!$D$11=F$11,C212!$B$1 &amp; " ", "") &amp; IF(C311!$D$11=F$11,C311!$B$1 &amp; " ", "") &amp; IF(C312!$D$11=F$11,C312!$B$1 &amp; " ", "") &amp; IF(C411!$D$11=F$11,C411!$B$1 &amp; " ", "") &amp; IF(C412!$D$11=F$11,C412!$B$1 &amp; " ", "") &amp; IF(M111!$D$11=F$11,M111!$B$1 &amp; " ", "") &amp; IF(M211!$D$11=F$11,M211!$B$1 &amp; " ", "") &amp; IF(M311!$D$11=F$11,M311!$B$1 &amp; " ", "") &amp; IF(M411!$D$11=F$11,M411!$B$1 &amp; " ", ""))), " ", ",")</f>
        <v/>
      </c>
      <c r="G14" s="13">
        <f>SUBSTITUTE(TRIM((IF(D111!$D$11=G$11,D111!$B$1 &amp; " ", "") &amp; IF(D211!$D$11=G$11,D211!$B$1 &amp; " ", "") &amp; IF(D311!$D$11=G$11,D311!$B$1 &amp; " ", "") &amp; IF(D411!$D$11=G$11,D411!$B$1 &amp; " ", "") &amp; IF(C111!$D$11=G$11,C111!$B$1 &amp; " ", "") &amp; IF(C121!$D$11=G$11,C121!$B$1 &amp; " ", "") &amp; IF(C122!$D$11=G$11,C122!$B$1 &amp; " ", "") &amp; IF(C211!$D$11=G$11,C211!$B$1 &amp; " ", "") &amp; IF(C212!$D$11=G$11,C212!$B$1 &amp; " ", "") &amp; IF(C311!$D$11=G$11,C311!$B$1 &amp; " ", "") &amp; IF(C312!$D$11=G$11,C312!$B$1 &amp; " ", "") &amp; IF(C411!$D$11=G$11,C411!$B$1 &amp; " ", "") &amp; IF(C412!$D$11=G$11,C412!$B$1 &amp; " ", "") &amp; IF(M111!$D$11=G$11,M111!$B$1 &amp; " ", "") &amp; IF(M211!$D$11=G$11,M211!$B$1 &amp; " ", "") &amp; IF(M311!$D$11=G$11,M311!$B$1 &amp; " ", "") &amp; IF(M411!$D$11=G$11,M411!$B$1 &amp; " ", ""))), " ", ",")</f>
        <v/>
      </c>
      <c r="H14" s="13">
        <f>SUBSTITUTE(TRIM((IF(D111!$D$11=H$11,D111!$B$1 &amp; " ", "") &amp; IF(D211!$D$11=H$11,D211!$B$1 &amp; " ", "") &amp; IF(D311!$D$11=H$11,D311!$B$1 &amp; " ", "") &amp; IF(D411!$D$11=H$11,D411!$B$1 &amp; " ", "") &amp; IF(C111!$D$11=H$11,C111!$B$1 &amp; " ", "") &amp; IF(C121!$D$11=H$11,C121!$B$1 &amp; " ", "") &amp; IF(C122!$D$11=H$11,C122!$B$1 &amp; " ", "") &amp; IF(C211!$D$11=H$11,C211!$B$1 &amp; " ", "") &amp; IF(C212!$D$11=H$11,C212!$B$1 &amp; " ", "") &amp; IF(C311!$D$11=H$11,C311!$B$1 &amp; " ", "") &amp; IF(C312!$D$11=H$11,C312!$B$1 &amp; " ", "") &amp; IF(C411!$D$11=H$11,C411!$B$1 &amp; " ", "") &amp; IF(C412!$D$11=H$11,C412!$B$1 &amp; " ", "") &amp; IF(M111!$D$11=H$11,M111!$B$1 &amp; " ", "") &amp; IF(M211!$D$11=H$11,M211!$B$1 &amp; " ", "") &amp; IF(M311!$D$11=H$11,M311!$B$1 &amp; " ", "") &amp; IF(M411!$D$11=H$11,M411!$B$1 &amp; " ", ""))), " ", ",")</f>
        <v/>
      </c>
      <c r="I14" s="13">
        <f>SUBSTITUTE(TRIM((IF(D111!$D$11=I$11,D111!$B$1 &amp; " ", "") &amp; IF(D211!$D$11=I$11,D211!$B$1 &amp; " ", "") &amp; IF(D311!$D$11=I$11,D311!$B$1 &amp; " ", "") &amp; IF(D411!$D$11=I$11,D411!$B$1 &amp; " ", "") &amp; IF(C111!$D$11=I$11,C111!$B$1 &amp; " ", "") &amp; IF(C121!$D$11=I$11,C121!$B$1 &amp; " ", "") &amp; IF(C122!$D$11=I$11,C122!$B$1 &amp; " ", "") &amp; IF(C211!$D$11=I$11,C211!$B$1 &amp; " ", "") &amp; IF(C212!$D$11=I$11,C212!$B$1 &amp; " ", "") &amp; IF(C311!$D$11=I$11,C311!$B$1 &amp; " ", "") &amp; IF(C312!$D$11=I$11,C312!$B$1 &amp; " ", "") &amp; IF(C411!$D$11=I$11,C411!$B$1 &amp; " ", "") &amp; IF(C412!$D$11=I$11,C412!$B$1 &amp; " ", "") &amp; IF(M111!$D$11=I$11,M111!$B$1 &amp; " ", "") &amp; IF(M211!$D$11=I$11,M211!$B$1 &amp; " ", "") &amp; IF(M311!$D$11=I$11,M311!$B$1 &amp; " ", "") &amp; IF(M411!$D$11=I$11,M411!$B$1 &amp; " ", ""))), " ", ",")</f>
        <v/>
      </c>
      <c r="J14" s="13">
        <f>SUBSTITUTE(TRIM((IF(D111!$D$11=J$11,D111!$B$1 &amp; " ", "") &amp; IF(D211!$D$11=J$11,D211!$B$1 &amp; " ", "") &amp; IF(D311!$D$11=J$11,D311!$B$1 &amp; " ", "") &amp; IF(D411!$D$11=J$11,D411!$B$1 &amp; " ", "") &amp; IF(C111!$D$11=J$11,C111!$B$1 &amp; " ", "") &amp; IF(C121!$D$11=J$11,C121!$B$1 &amp; " ", "") &amp; IF(C122!$D$11=J$11,C122!$B$1 &amp; " ", "") &amp; IF(C211!$D$11=J$11,C211!$B$1 &amp; " ", "") &amp; IF(C212!$D$11=J$11,C212!$B$1 &amp; " ", "") &amp; IF(C311!$D$11=J$11,C311!$B$1 &amp; " ", "") &amp; IF(C312!$D$11=J$11,C312!$B$1 &amp; " ", "") &amp; IF(C411!$D$11=J$11,C411!$B$1 &amp; " ", "") &amp; IF(C412!$D$11=J$11,C412!$B$1 &amp; " ", "") &amp; IF(M111!$D$11=J$11,M111!$B$1 &amp; " ", "") &amp; IF(M211!$D$11=J$11,M211!$B$1 &amp; " ", "") &amp; IF(M311!$D$11=J$11,M311!$B$1 &amp; " ", "") &amp; IF(M411!$D$11=J$11,M411!$B$1 &amp; " ", ""))), " ", ",")</f>
        <v/>
      </c>
      <c r="K14" s="13">
        <f>SUBSTITUTE(TRIM((IF(D111!$D$11=K$11,D111!$B$1 &amp; " ", "") &amp; IF(D211!$D$11=K$11,D211!$B$1 &amp; " ", "") &amp; IF(D311!$D$11=K$11,D311!$B$1 &amp; " ", "") &amp; IF(D411!$D$11=K$11,D411!$B$1 &amp; " ", "") &amp; IF(C111!$D$11=K$11,C111!$B$1 &amp; " ", "") &amp; IF(C121!$D$11=K$11,C121!$B$1 &amp; " ", "") &amp; IF(C122!$D$11=K$11,C122!$B$1 &amp; " ", "") &amp; IF(C211!$D$11=K$11,C211!$B$1 &amp; " ", "") &amp; IF(C212!$D$11=K$11,C212!$B$1 &amp; " ", "") &amp; IF(C311!$D$11=K$11,C311!$B$1 &amp; " ", "") &amp; IF(C312!$D$11=K$11,C312!$B$1 &amp; " ", "") &amp; IF(C411!$D$11=K$11,C411!$B$1 &amp; " ", "") &amp; IF(C412!$D$11=K$11,C412!$B$1 &amp; " ", "") &amp; IF(M111!$D$11=K$11,M111!$B$1 &amp; " ", "") &amp; IF(M211!$D$11=K$11,M211!$B$1 &amp; " ", "") &amp; IF(M311!$D$11=K$11,M311!$B$1 &amp; " ", "") &amp; IF(M411!$D$11=K$11,M411!$B$1 &amp; " ", ""))), " ", ",")</f>
        <v/>
      </c>
      <c r="L14" s="13">
        <f>SUBSTITUTE(TRIM((IF(D111!$D$11=L$11,D111!$B$1 &amp; " ", "") &amp; IF(D211!$D$11=L$11,D211!$B$1 &amp; " ", "") &amp; IF(D311!$D$11=L$11,D311!$B$1 &amp; " ", "") &amp; IF(D411!$D$11=L$11,D411!$B$1 &amp; " ", "") &amp; IF(C111!$D$11=L$11,C111!$B$1 &amp; " ", "") &amp; IF(C121!$D$11=L$11,C121!$B$1 &amp; " ", "") &amp; IF(C122!$D$11=L$11,C122!$B$1 &amp; " ", "") &amp; IF(C211!$D$11=L$11,C211!$B$1 &amp; " ", "") &amp; IF(C212!$D$11=L$11,C212!$B$1 &amp; " ", "") &amp; IF(C311!$D$11=L$11,C311!$B$1 &amp; " ", "") &amp; IF(C312!$D$11=L$11,C312!$B$1 &amp; " ", "") &amp; IF(C411!$D$11=L$11,C411!$B$1 &amp; " ", "") &amp; IF(C412!$D$11=L$11,C412!$B$1 &amp; " ", "") &amp; IF(M111!$D$11=L$11,M111!$B$1 &amp; " ", "") &amp; IF(M211!$D$11=L$11,M211!$B$1 &amp; " ", "") &amp; IF(M311!$D$11=L$11,M311!$B$1 &amp; " ", "") &amp; IF(M411!$D$11=L$11,M411!$B$1 &amp; " ", ""))), " ", ",")</f>
        <v/>
      </c>
    </row>
    <row r="15">
      <c r="A15" t="inlineStr"/>
      <c r="B15" s="13" t="inlineStr">
        <is>
          <t>4to</t>
        </is>
      </c>
      <c r="C15" s="13">
        <f>SUBSTITUTE(TRIM((IF(D111!$D$14=C$11,D111!$B$1 &amp; " ", "") &amp; IF(D211!$D$14=C$11,D211!$B$1 &amp; " ", "") &amp; IF(D311!$D$14=C$11,D311!$B$1 &amp; " ", "") &amp; IF(D411!$D$14=C$11,D411!$B$1 &amp; " ", "") &amp; IF(C111!$D$14=C$11,C111!$B$1 &amp; " ", "") &amp; IF(C121!$D$14=C$11,C121!$B$1 &amp; " ", "") &amp; IF(C122!$D$14=C$11,C122!$B$1 &amp; " ", "") &amp; IF(C211!$D$14=C$11,C211!$B$1 &amp; " ", "") &amp; IF(C212!$D$14=C$11,C212!$B$1 &amp; " ", "") &amp; IF(C311!$D$14=C$11,C311!$B$1 &amp; " ", "") &amp; IF(C312!$D$14=C$11,C312!$B$1 &amp; " ", "") &amp; IF(C411!$D$14=C$11,C411!$B$1 &amp; " ", "") &amp; IF(C412!$D$14=C$11,C412!$B$1 &amp; " ", "") &amp; IF(M111!$D$14=C$11,M111!$B$1 &amp; " ", "") &amp; IF(M211!$D$14=C$11,M211!$B$1 &amp; " ", "") &amp; IF(M311!$D$14=C$11,M311!$B$1 &amp; " ", "") &amp; IF(M411!$D$14=C$11,M411!$B$1 &amp; " ", ""))), " ", ",")</f>
        <v/>
      </c>
      <c r="D15" s="13">
        <f>SUBSTITUTE(TRIM((IF(D111!$D$14=D$11,D111!$B$1 &amp; " ", "") &amp; IF(D211!$D$14=D$11,D211!$B$1 &amp; " ", "") &amp; IF(D311!$D$14=D$11,D311!$B$1 &amp; " ", "") &amp; IF(D411!$D$14=D$11,D411!$B$1 &amp; " ", "") &amp; IF(C111!$D$14=D$11,C111!$B$1 &amp; " ", "") &amp; IF(C121!$D$14=D$11,C121!$B$1 &amp; " ", "") &amp; IF(C122!$D$14=D$11,C122!$B$1 &amp; " ", "") &amp; IF(C211!$D$14=D$11,C211!$B$1 &amp; " ", "") &amp; IF(C212!$D$14=D$11,C212!$B$1 &amp; " ", "") &amp; IF(C311!$D$14=D$11,C311!$B$1 &amp; " ", "") &amp; IF(C312!$D$14=D$11,C312!$B$1 &amp; " ", "") &amp; IF(C411!$D$14=D$11,C411!$B$1 &amp; " ", "") &amp; IF(C412!$D$14=D$11,C412!$B$1 &amp; " ", "") &amp; IF(M111!$D$14=D$11,M111!$B$1 &amp; " ", "") &amp; IF(M211!$D$14=D$11,M211!$B$1 &amp; " ", "") &amp; IF(M311!$D$14=D$11,M311!$B$1 &amp; " ", "") &amp; IF(M411!$D$14=D$11,M411!$B$1 &amp; " ", ""))), " ", ",")</f>
        <v/>
      </c>
      <c r="E15" s="13">
        <f>SUBSTITUTE(TRIM((IF(D111!$D$14=E$11,D111!$B$1 &amp; " ", "") &amp; IF(D211!$D$14=E$11,D211!$B$1 &amp; " ", "") &amp; IF(D311!$D$14=E$11,D311!$B$1 &amp; " ", "") &amp; IF(D411!$D$14=E$11,D411!$B$1 &amp; " ", "") &amp; IF(C111!$D$14=E$11,C111!$B$1 &amp; " ", "") &amp; IF(C121!$D$14=E$11,C121!$B$1 &amp; " ", "") &amp; IF(C122!$D$14=E$11,C122!$B$1 &amp; " ", "") &amp; IF(C211!$D$14=E$11,C211!$B$1 &amp; " ", "") &amp; IF(C212!$D$14=E$11,C212!$B$1 &amp; " ", "") &amp; IF(C311!$D$14=E$11,C311!$B$1 &amp; " ", "") &amp; IF(C312!$D$14=E$11,C312!$B$1 &amp; " ", "") &amp; IF(C411!$D$14=E$11,C411!$B$1 &amp; " ", "") &amp; IF(C412!$D$14=E$11,C412!$B$1 &amp; " ", "") &amp; IF(M111!$D$14=E$11,M111!$B$1 &amp; " ", "") &amp; IF(M211!$D$14=E$11,M211!$B$1 &amp; " ", "") &amp; IF(M311!$D$14=E$11,M311!$B$1 &amp; " ", "") &amp; IF(M411!$D$14=E$11,M411!$B$1 &amp; " ", ""))), " ", ",")</f>
        <v/>
      </c>
      <c r="F15" s="13">
        <f>SUBSTITUTE(TRIM((IF(D111!$D$14=F$11,D111!$B$1 &amp; " ", "") &amp; IF(D211!$D$14=F$11,D211!$B$1 &amp; " ", "") &amp; IF(D311!$D$14=F$11,D311!$B$1 &amp; " ", "") &amp; IF(D411!$D$14=F$11,D411!$B$1 &amp; " ", "") &amp; IF(C111!$D$14=F$11,C111!$B$1 &amp; " ", "") &amp; IF(C121!$D$14=F$11,C121!$B$1 &amp; " ", "") &amp; IF(C122!$D$14=F$11,C122!$B$1 &amp; " ", "") &amp; IF(C211!$D$14=F$11,C211!$B$1 &amp; " ", "") &amp; IF(C212!$D$14=F$11,C212!$B$1 &amp; " ", "") &amp; IF(C311!$D$14=F$11,C311!$B$1 &amp; " ", "") &amp; IF(C312!$D$14=F$11,C312!$B$1 &amp; " ", "") &amp; IF(C411!$D$14=F$11,C411!$B$1 &amp; " ", "") &amp; IF(C412!$D$14=F$11,C412!$B$1 &amp; " ", "") &amp; IF(M111!$D$14=F$11,M111!$B$1 &amp; " ", "") &amp; IF(M211!$D$14=F$11,M211!$B$1 &amp; " ", "") &amp; IF(M311!$D$14=F$11,M311!$B$1 &amp; " ", "") &amp; IF(M411!$D$14=F$11,M411!$B$1 &amp; " ", ""))), " ", ",")</f>
        <v/>
      </c>
      <c r="G15" s="13">
        <f>SUBSTITUTE(TRIM((IF(D111!$D$14=G$11,D111!$B$1 &amp; " ", "") &amp; IF(D211!$D$14=G$11,D211!$B$1 &amp; " ", "") &amp; IF(D311!$D$14=G$11,D311!$B$1 &amp; " ", "") &amp; IF(D411!$D$14=G$11,D411!$B$1 &amp; " ", "") &amp; IF(C111!$D$14=G$11,C111!$B$1 &amp; " ", "") &amp; IF(C121!$D$14=G$11,C121!$B$1 &amp; " ", "") &amp; IF(C122!$D$14=G$11,C122!$B$1 &amp; " ", "") &amp; IF(C211!$D$14=G$11,C211!$B$1 &amp; " ", "") &amp; IF(C212!$D$14=G$11,C212!$B$1 &amp; " ", "") &amp; IF(C311!$D$14=G$11,C311!$B$1 &amp; " ", "") &amp; IF(C312!$D$14=G$11,C312!$B$1 &amp; " ", "") &amp; IF(C411!$D$14=G$11,C411!$B$1 &amp; " ", "") &amp; IF(C412!$D$14=G$11,C412!$B$1 &amp; " ", "") &amp; IF(M111!$D$14=G$11,M111!$B$1 &amp; " ", "") &amp; IF(M211!$D$14=G$11,M211!$B$1 &amp; " ", "") &amp; IF(M311!$D$14=G$11,M311!$B$1 &amp; " ", "") &amp; IF(M411!$D$14=G$11,M411!$B$1 &amp; " ", ""))), " ", ",")</f>
        <v/>
      </c>
      <c r="H15" s="13">
        <f>SUBSTITUTE(TRIM((IF(D111!$D$14=H$11,D111!$B$1 &amp; " ", "") &amp; IF(D211!$D$14=H$11,D211!$B$1 &amp; " ", "") &amp; IF(D311!$D$14=H$11,D311!$B$1 &amp; " ", "") &amp; IF(D411!$D$14=H$11,D411!$B$1 &amp; " ", "") &amp; IF(C111!$D$14=H$11,C111!$B$1 &amp; " ", "") &amp; IF(C121!$D$14=H$11,C121!$B$1 &amp; " ", "") &amp; IF(C122!$D$14=H$11,C122!$B$1 &amp; " ", "") &amp; IF(C211!$D$14=H$11,C211!$B$1 &amp; " ", "") &amp; IF(C212!$D$14=H$11,C212!$B$1 &amp; " ", "") &amp; IF(C311!$D$14=H$11,C311!$B$1 &amp; " ", "") &amp; IF(C312!$D$14=H$11,C312!$B$1 &amp; " ", "") &amp; IF(C411!$D$14=H$11,C411!$B$1 &amp; " ", "") &amp; IF(C412!$D$14=H$11,C412!$B$1 &amp; " ", "") &amp; IF(M111!$D$14=H$11,M111!$B$1 &amp; " ", "") &amp; IF(M211!$D$14=H$11,M211!$B$1 &amp; " ", "") &amp; IF(M311!$D$14=H$11,M311!$B$1 &amp; " ", "") &amp; IF(M411!$D$14=H$11,M411!$B$1 &amp; " ", ""))), " ", ",")</f>
        <v/>
      </c>
      <c r="I15" s="13">
        <f>SUBSTITUTE(TRIM((IF(D111!$D$14=I$11,D111!$B$1 &amp; " ", "") &amp; IF(D211!$D$14=I$11,D211!$B$1 &amp; " ", "") &amp; IF(D311!$D$14=I$11,D311!$B$1 &amp; " ", "") &amp; IF(D411!$D$14=I$11,D411!$B$1 &amp; " ", "") &amp; IF(C111!$D$14=I$11,C111!$B$1 &amp; " ", "") &amp; IF(C121!$D$14=I$11,C121!$B$1 &amp; " ", "") &amp; IF(C122!$D$14=I$11,C122!$B$1 &amp; " ", "") &amp; IF(C211!$D$14=I$11,C211!$B$1 &amp; " ", "") &amp; IF(C212!$D$14=I$11,C212!$B$1 &amp; " ", "") &amp; IF(C311!$D$14=I$11,C311!$B$1 &amp; " ", "") &amp; IF(C312!$D$14=I$11,C312!$B$1 &amp; " ", "") &amp; IF(C411!$D$14=I$11,C411!$B$1 &amp; " ", "") &amp; IF(C412!$D$14=I$11,C412!$B$1 &amp; " ", "") &amp; IF(M111!$D$14=I$11,M111!$B$1 &amp; " ", "") &amp; IF(M211!$D$14=I$11,M211!$B$1 &amp; " ", "") &amp; IF(M311!$D$14=I$11,M311!$B$1 &amp; " ", "") &amp; IF(M411!$D$14=I$11,M411!$B$1 &amp; " ", ""))), " ", ",")</f>
        <v/>
      </c>
      <c r="J15" s="13">
        <f>SUBSTITUTE(TRIM((IF(D111!$D$14=J$11,D111!$B$1 &amp; " ", "") &amp; IF(D211!$D$14=J$11,D211!$B$1 &amp; " ", "") &amp; IF(D311!$D$14=J$11,D311!$B$1 &amp; " ", "") &amp; IF(D411!$D$14=J$11,D411!$B$1 &amp; " ", "") &amp; IF(C111!$D$14=J$11,C111!$B$1 &amp; " ", "") &amp; IF(C121!$D$14=J$11,C121!$B$1 &amp; " ", "") &amp; IF(C122!$D$14=J$11,C122!$B$1 &amp; " ", "") &amp; IF(C211!$D$14=J$11,C211!$B$1 &amp; " ", "") &amp; IF(C212!$D$14=J$11,C212!$B$1 &amp; " ", "") &amp; IF(C311!$D$14=J$11,C311!$B$1 &amp; " ", "") &amp; IF(C312!$D$14=J$11,C312!$B$1 &amp; " ", "") &amp; IF(C411!$D$14=J$11,C411!$B$1 &amp; " ", "") &amp; IF(C412!$D$14=J$11,C412!$B$1 &amp; " ", "") &amp; IF(M111!$D$14=J$11,M111!$B$1 &amp; " ", "") &amp; IF(M211!$D$14=J$11,M211!$B$1 &amp; " ", "") &amp; IF(M311!$D$14=J$11,M311!$B$1 &amp; " ", "") &amp; IF(M411!$D$14=J$11,M411!$B$1 &amp; " ", ""))), " ", ",")</f>
        <v/>
      </c>
      <c r="K15" s="13">
        <f>SUBSTITUTE(TRIM((IF(D111!$D$14=K$11,D111!$B$1 &amp; " ", "") &amp; IF(D211!$D$14=K$11,D211!$B$1 &amp; " ", "") &amp; IF(D311!$D$14=K$11,D311!$B$1 &amp; " ", "") &amp; IF(D411!$D$14=K$11,D411!$B$1 &amp; " ", "") &amp; IF(C111!$D$14=K$11,C111!$B$1 &amp; " ", "") &amp; IF(C121!$D$14=K$11,C121!$B$1 &amp; " ", "") &amp; IF(C122!$D$14=K$11,C122!$B$1 &amp; " ", "") &amp; IF(C211!$D$14=K$11,C211!$B$1 &amp; " ", "") &amp; IF(C212!$D$14=K$11,C212!$B$1 &amp; " ", "") &amp; IF(C311!$D$14=K$11,C311!$B$1 &amp; " ", "") &amp; IF(C312!$D$14=K$11,C312!$B$1 &amp; " ", "") &amp; IF(C411!$D$14=K$11,C411!$B$1 &amp; " ", "") &amp; IF(C412!$D$14=K$11,C412!$B$1 &amp; " ", "") &amp; IF(M111!$D$14=K$11,M111!$B$1 &amp; " ", "") &amp; IF(M211!$D$14=K$11,M211!$B$1 &amp; " ", "") &amp; IF(M311!$D$14=K$11,M311!$B$1 &amp; " ", "") &amp; IF(M411!$D$14=K$11,M411!$B$1 &amp; " ", ""))), " ", ",")</f>
        <v/>
      </c>
      <c r="L15" s="13">
        <f>SUBSTITUTE(TRIM((IF(D111!$D$14=L$11,D111!$B$1 &amp; " ", "") &amp; IF(D211!$D$14=L$11,D211!$B$1 &amp; " ", "") &amp; IF(D311!$D$14=L$11,D311!$B$1 &amp; " ", "") &amp; IF(D411!$D$14=L$11,D411!$B$1 &amp; " ", "") &amp; IF(C111!$D$14=L$11,C111!$B$1 &amp; " ", "") &amp; IF(C121!$D$14=L$11,C121!$B$1 &amp; " ", "") &amp; IF(C122!$D$14=L$11,C122!$B$1 &amp; " ", "") &amp; IF(C211!$D$14=L$11,C211!$B$1 &amp; " ", "") &amp; IF(C212!$D$14=L$11,C212!$B$1 &amp; " ", "") &amp; IF(C311!$D$14=L$11,C311!$B$1 &amp; " ", "") &amp; IF(C312!$D$14=L$11,C312!$B$1 &amp; " ", "") &amp; IF(C411!$D$14=L$11,C411!$B$1 &amp; " ", "") &amp; IF(C412!$D$14=L$11,C412!$B$1 &amp; " ", "") &amp; IF(M111!$D$14=L$11,M111!$B$1 &amp; " ", "") &amp; IF(M211!$D$14=L$11,M211!$B$1 &amp; " ", "") &amp; IF(M311!$D$14=L$11,M311!$B$1 &amp; " ", "") &amp; IF(M411!$D$14=L$11,M411!$B$1 &amp; " ", ""))), " ", ",")</f>
        <v/>
      </c>
    </row>
    <row r="16">
      <c r="A16" t="inlineStr"/>
      <c r="B16" s="13" t="inlineStr">
        <is>
          <t>5to</t>
        </is>
      </c>
      <c r="C16" s="13">
        <f>SUBSTITUTE(TRIM((IF(D111!$D$17=C$11,D111!$B$1 &amp; " ", "") &amp; IF(D211!$D$17=C$11,D211!$B$1 &amp; " ", "") &amp; IF(D311!$D$17=C$11,D311!$B$1 &amp; " ", "") &amp; IF(D411!$D$17=C$11,D411!$B$1 &amp; " ", "") &amp; IF(C111!$D$17=C$11,C111!$B$1 &amp; " ", "") &amp; IF(C121!$D$17=C$11,C121!$B$1 &amp; " ", "") &amp; IF(C122!$D$17=C$11,C122!$B$1 &amp; " ", "") &amp; IF(C211!$D$17=C$11,C211!$B$1 &amp; " ", "") &amp; IF(C212!$D$17=C$11,C212!$B$1 &amp; " ", "") &amp; IF(C311!$D$17=C$11,C311!$B$1 &amp; " ", "") &amp; IF(C312!$D$17=C$11,C312!$B$1 &amp; " ", "") &amp; IF(C411!$D$17=C$11,C411!$B$1 &amp; " ", "") &amp; IF(C412!$D$17=C$11,C412!$B$1 &amp; " ", "") &amp; IF(M111!$D$17=C$11,M111!$B$1 &amp; " ", "") &amp; IF(M211!$D$17=C$11,M211!$B$1 &amp; " ", "") &amp; IF(M311!$D$17=C$11,M311!$B$1 &amp; " ", "") &amp; IF(M411!$D$17=C$11,M411!$B$1 &amp; " ", ""))), " ", ",")</f>
        <v/>
      </c>
      <c r="D16" s="13">
        <f>SUBSTITUTE(TRIM((IF(D111!$D$17=D$11,D111!$B$1 &amp; " ", "") &amp; IF(D211!$D$17=D$11,D211!$B$1 &amp; " ", "") &amp; IF(D311!$D$17=D$11,D311!$B$1 &amp; " ", "") &amp; IF(D411!$D$17=D$11,D411!$B$1 &amp; " ", "") &amp; IF(C111!$D$17=D$11,C111!$B$1 &amp; " ", "") &amp; IF(C121!$D$17=D$11,C121!$B$1 &amp; " ", "") &amp; IF(C122!$D$17=D$11,C122!$B$1 &amp; " ", "") &amp; IF(C211!$D$17=D$11,C211!$B$1 &amp; " ", "") &amp; IF(C212!$D$17=D$11,C212!$B$1 &amp; " ", "") &amp; IF(C311!$D$17=D$11,C311!$B$1 &amp; " ", "") &amp; IF(C312!$D$17=D$11,C312!$B$1 &amp; " ", "") &amp; IF(C411!$D$17=D$11,C411!$B$1 &amp; " ", "") &amp; IF(C412!$D$17=D$11,C412!$B$1 &amp; " ", "") &amp; IF(M111!$D$17=D$11,M111!$B$1 &amp; " ", "") &amp; IF(M211!$D$17=D$11,M211!$B$1 &amp; " ", "") &amp; IF(M311!$D$17=D$11,M311!$B$1 &amp; " ", "") &amp; IF(M411!$D$17=D$11,M411!$B$1 &amp; " ", ""))), " ", ",")</f>
        <v/>
      </c>
      <c r="E16" s="13">
        <f>SUBSTITUTE(TRIM((IF(D111!$D$17=E$11,D111!$B$1 &amp; " ", "") &amp; IF(D211!$D$17=E$11,D211!$B$1 &amp; " ", "") &amp; IF(D311!$D$17=E$11,D311!$B$1 &amp; " ", "") &amp; IF(D411!$D$17=E$11,D411!$B$1 &amp; " ", "") &amp; IF(C111!$D$17=E$11,C111!$B$1 &amp; " ", "") &amp; IF(C121!$D$17=E$11,C121!$B$1 &amp; " ", "") &amp; IF(C122!$D$17=E$11,C122!$B$1 &amp; " ", "") &amp; IF(C211!$D$17=E$11,C211!$B$1 &amp; " ", "") &amp; IF(C212!$D$17=E$11,C212!$B$1 &amp; " ", "") &amp; IF(C311!$D$17=E$11,C311!$B$1 &amp; " ", "") &amp; IF(C312!$D$17=E$11,C312!$B$1 &amp; " ", "") &amp; IF(C411!$D$17=E$11,C411!$B$1 &amp; " ", "") &amp; IF(C412!$D$17=E$11,C412!$B$1 &amp; " ", "") &amp; IF(M111!$D$17=E$11,M111!$B$1 &amp; " ", "") &amp; IF(M211!$D$17=E$11,M211!$B$1 &amp; " ", "") &amp; IF(M311!$D$17=E$11,M311!$B$1 &amp; " ", "") &amp; IF(M411!$D$17=E$11,M411!$B$1 &amp; " ", ""))), " ", ",")</f>
        <v/>
      </c>
      <c r="F16" s="13">
        <f>SUBSTITUTE(TRIM((IF(D111!$D$17=F$11,D111!$B$1 &amp; " ", "") &amp; IF(D211!$D$17=F$11,D211!$B$1 &amp; " ", "") &amp; IF(D311!$D$17=F$11,D311!$B$1 &amp; " ", "") &amp; IF(D411!$D$17=F$11,D411!$B$1 &amp; " ", "") &amp; IF(C111!$D$17=F$11,C111!$B$1 &amp; " ", "") &amp; IF(C121!$D$17=F$11,C121!$B$1 &amp; " ", "") &amp; IF(C122!$D$17=F$11,C122!$B$1 &amp; " ", "") &amp; IF(C211!$D$17=F$11,C211!$B$1 &amp; " ", "") &amp; IF(C212!$D$17=F$11,C212!$B$1 &amp; " ", "") &amp; IF(C311!$D$17=F$11,C311!$B$1 &amp; " ", "") &amp; IF(C312!$D$17=F$11,C312!$B$1 &amp; " ", "") &amp; IF(C411!$D$17=F$11,C411!$B$1 &amp; " ", "") &amp; IF(C412!$D$17=F$11,C412!$B$1 &amp; " ", "") &amp; IF(M111!$D$17=F$11,M111!$B$1 &amp; " ", "") &amp; IF(M211!$D$17=F$11,M211!$B$1 &amp; " ", "") &amp; IF(M311!$D$17=F$11,M311!$B$1 &amp; " ", "") &amp; IF(M411!$D$17=F$11,M411!$B$1 &amp; " ", ""))), " ", ",")</f>
        <v/>
      </c>
      <c r="G16" s="13">
        <f>SUBSTITUTE(TRIM((IF(D111!$D$17=G$11,D111!$B$1 &amp; " ", "") &amp; IF(D211!$D$17=G$11,D211!$B$1 &amp; " ", "") &amp; IF(D311!$D$17=G$11,D311!$B$1 &amp; " ", "") &amp; IF(D411!$D$17=G$11,D411!$B$1 &amp; " ", "") &amp; IF(C111!$D$17=G$11,C111!$B$1 &amp; " ", "") &amp; IF(C121!$D$17=G$11,C121!$B$1 &amp; " ", "") &amp; IF(C122!$D$17=G$11,C122!$B$1 &amp; " ", "") &amp; IF(C211!$D$17=G$11,C211!$B$1 &amp; " ", "") &amp; IF(C212!$D$17=G$11,C212!$B$1 &amp; " ", "") &amp; IF(C311!$D$17=G$11,C311!$B$1 &amp; " ", "") &amp; IF(C312!$D$17=G$11,C312!$B$1 &amp; " ", "") &amp; IF(C411!$D$17=G$11,C411!$B$1 &amp; " ", "") &amp; IF(C412!$D$17=G$11,C412!$B$1 &amp; " ", "") &amp; IF(M111!$D$17=G$11,M111!$B$1 &amp; " ", "") &amp; IF(M211!$D$17=G$11,M211!$B$1 &amp; " ", "") &amp; IF(M311!$D$17=G$11,M311!$B$1 &amp; " ", "") &amp; IF(M411!$D$17=G$11,M411!$B$1 &amp; " ", ""))), " ", ",")</f>
        <v/>
      </c>
      <c r="H16" s="13">
        <f>SUBSTITUTE(TRIM((IF(D111!$D$17=H$11,D111!$B$1 &amp; " ", "") &amp; IF(D211!$D$17=H$11,D211!$B$1 &amp; " ", "") &amp; IF(D311!$D$17=H$11,D311!$B$1 &amp; " ", "") &amp; IF(D411!$D$17=H$11,D411!$B$1 &amp; " ", "") &amp; IF(C111!$D$17=H$11,C111!$B$1 &amp; " ", "") &amp; IF(C121!$D$17=H$11,C121!$B$1 &amp; " ", "") &amp; IF(C122!$D$17=H$11,C122!$B$1 &amp; " ", "") &amp; IF(C211!$D$17=H$11,C211!$B$1 &amp; " ", "") &amp; IF(C212!$D$17=H$11,C212!$B$1 &amp; " ", "") &amp; IF(C311!$D$17=H$11,C311!$B$1 &amp; " ", "") &amp; IF(C312!$D$17=H$11,C312!$B$1 &amp; " ", "") &amp; IF(C411!$D$17=H$11,C411!$B$1 &amp; " ", "") &amp; IF(C412!$D$17=H$11,C412!$B$1 &amp; " ", "") &amp; IF(M111!$D$17=H$11,M111!$B$1 &amp; " ", "") &amp; IF(M211!$D$17=H$11,M211!$B$1 &amp; " ", "") &amp; IF(M311!$D$17=H$11,M311!$B$1 &amp; " ", "") &amp; IF(M411!$D$17=H$11,M411!$B$1 &amp; " ", ""))), " ", ",")</f>
        <v/>
      </c>
      <c r="I16" s="13">
        <f>SUBSTITUTE(TRIM((IF(D111!$D$17=I$11,D111!$B$1 &amp; " ", "") &amp; IF(D211!$D$17=I$11,D211!$B$1 &amp; " ", "") &amp; IF(D311!$D$17=I$11,D311!$B$1 &amp; " ", "") &amp; IF(D411!$D$17=I$11,D411!$B$1 &amp; " ", "") &amp; IF(C111!$D$17=I$11,C111!$B$1 &amp; " ", "") &amp; IF(C121!$D$17=I$11,C121!$B$1 &amp; " ", "") &amp; IF(C122!$D$17=I$11,C122!$B$1 &amp; " ", "") &amp; IF(C211!$D$17=I$11,C211!$B$1 &amp; " ", "") &amp; IF(C212!$D$17=I$11,C212!$B$1 &amp; " ", "") &amp; IF(C311!$D$17=I$11,C311!$B$1 &amp; " ", "") &amp; IF(C312!$D$17=I$11,C312!$B$1 &amp; " ", "") &amp; IF(C411!$D$17=I$11,C411!$B$1 &amp; " ", "") &amp; IF(C412!$D$17=I$11,C412!$B$1 &amp; " ", "") &amp; IF(M111!$D$17=I$11,M111!$B$1 &amp; " ", "") &amp; IF(M211!$D$17=I$11,M211!$B$1 &amp; " ", "") &amp; IF(M311!$D$17=I$11,M311!$B$1 &amp; " ", "") &amp; IF(M411!$D$17=I$11,M411!$B$1 &amp; " ", ""))), " ", ",")</f>
        <v/>
      </c>
      <c r="J16" s="13">
        <f>SUBSTITUTE(TRIM((IF(D111!$D$17=J$11,D111!$B$1 &amp; " ", "") &amp; IF(D211!$D$17=J$11,D211!$B$1 &amp; " ", "") &amp; IF(D311!$D$17=J$11,D311!$B$1 &amp; " ", "") &amp; IF(D411!$D$17=J$11,D411!$B$1 &amp; " ", "") &amp; IF(C111!$D$17=J$11,C111!$B$1 &amp; " ", "") &amp; IF(C121!$D$17=J$11,C121!$B$1 &amp; " ", "") &amp; IF(C122!$D$17=J$11,C122!$B$1 &amp; " ", "") &amp; IF(C211!$D$17=J$11,C211!$B$1 &amp; " ", "") &amp; IF(C212!$D$17=J$11,C212!$B$1 &amp; " ", "") &amp; IF(C311!$D$17=J$11,C311!$B$1 &amp; " ", "") &amp; IF(C312!$D$17=J$11,C312!$B$1 &amp; " ", "") &amp; IF(C411!$D$17=J$11,C411!$B$1 &amp; " ", "") &amp; IF(C412!$D$17=J$11,C412!$B$1 &amp; " ", "") &amp; IF(M111!$D$17=J$11,M111!$B$1 &amp; " ", "") &amp; IF(M211!$D$17=J$11,M211!$B$1 &amp; " ", "") &amp; IF(M311!$D$17=J$11,M311!$B$1 &amp; " ", "") &amp; IF(M411!$D$17=J$11,M411!$B$1 &amp; " ", ""))), " ", ",")</f>
        <v/>
      </c>
      <c r="K16" s="13">
        <f>SUBSTITUTE(TRIM((IF(D111!$D$17=K$11,D111!$B$1 &amp; " ", "") &amp; IF(D211!$D$17=K$11,D211!$B$1 &amp; " ", "") &amp; IF(D311!$D$17=K$11,D311!$B$1 &amp; " ", "") &amp; IF(D411!$D$17=K$11,D411!$B$1 &amp; " ", "") &amp; IF(C111!$D$17=K$11,C111!$B$1 &amp; " ", "") &amp; IF(C121!$D$17=K$11,C121!$B$1 &amp; " ", "") &amp; IF(C122!$D$17=K$11,C122!$B$1 &amp; " ", "") &amp; IF(C211!$D$17=K$11,C211!$B$1 &amp; " ", "") &amp; IF(C212!$D$17=K$11,C212!$B$1 &amp; " ", "") &amp; IF(C311!$D$17=K$11,C311!$B$1 &amp; " ", "") &amp; IF(C312!$D$17=K$11,C312!$B$1 &amp; " ", "") &amp; IF(C411!$D$17=K$11,C411!$B$1 &amp; " ", "") &amp; IF(C412!$D$17=K$11,C412!$B$1 &amp; " ", "") &amp; IF(M111!$D$17=K$11,M111!$B$1 &amp; " ", "") &amp; IF(M211!$D$17=K$11,M211!$B$1 &amp; " ", "") &amp; IF(M311!$D$17=K$11,M311!$B$1 &amp; " ", "") &amp; IF(M411!$D$17=K$11,M411!$B$1 &amp; " ", ""))), " ", ",")</f>
        <v/>
      </c>
      <c r="L16" s="13">
        <f>SUBSTITUTE(TRIM((IF(D111!$D$17=L$11,D111!$B$1 &amp; " ", "") &amp; IF(D211!$D$17=L$11,D211!$B$1 &amp; " ", "") &amp; IF(D311!$D$17=L$11,D311!$B$1 &amp; " ", "") &amp; IF(D411!$D$17=L$11,D411!$B$1 &amp; " ", "") &amp; IF(C111!$D$17=L$11,C111!$B$1 &amp; " ", "") &amp; IF(C121!$D$17=L$11,C121!$B$1 &amp; " ", "") &amp; IF(C122!$D$17=L$11,C122!$B$1 &amp; " ", "") &amp; IF(C211!$D$17=L$11,C211!$B$1 &amp; " ", "") &amp; IF(C212!$D$17=L$11,C212!$B$1 &amp; " ", "") &amp; IF(C311!$D$17=L$11,C311!$B$1 &amp; " ", "") &amp; IF(C312!$D$17=L$11,C312!$B$1 &amp; " ", "") &amp; IF(C411!$D$17=L$11,C411!$B$1 &amp; " ", "") &amp; IF(C412!$D$17=L$11,C412!$B$1 &amp; " ", "") &amp; IF(M111!$D$17=L$11,M111!$B$1 &amp; " ", "") &amp; IF(M211!$D$17=L$11,M211!$B$1 &amp; " ", "") &amp; IF(M311!$D$17=L$11,M311!$B$1 &amp; " ", "") &amp; IF(M411!$D$17=L$11,M411!$B$1 &amp; " ", ""))), " ", ",")</f>
        <v/>
      </c>
    </row>
    <row r="17">
      <c r="A17" t="inlineStr"/>
      <c r="B17" s="13" t="inlineStr">
        <is>
          <t>6to</t>
        </is>
      </c>
      <c r="C17" s="13">
        <f>SUBSTITUTE(TRIM((IF(D111!$D$20=C$11,D111!$B$1 &amp; " ", "") &amp; IF(D211!$D$20=C$11,D211!$B$1 &amp; " ", "") &amp; IF(D311!$D$20=C$11,D311!$B$1 &amp; " ", "") &amp; IF(D411!$D$20=C$11,D411!$B$1 &amp; " ", "") &amp; IF(C111!$D$20=C$11,C111!$B$1 &amp; " ", "") &amp; IF(C121!$D$20=C$11,C121!$B$1 &amp; " ", "") &amp; IF(C122!$D$20=C$11,C122!$B$1 &amp; " ", "") &amp; IF(C211!$D$20=C$11,C211!$B$1 &amp; " ", "") &amp; IF(C212!$D$20=C$11,C212!$B$1 &amp; " ", "") &amp; IF(C311!$D$20=C$11,C311!$B$1 &amp; " ", "") &amp; IF(C312!$D$20=C$11,C312!$B$1 &amp; " ", "") &amp; IF(C411!$D$20=C$11,C411!$B$1 &amp; " ", "") &amp; IF(C412!$D$20=C$11,C412!$B$1 &amp; " ", "") &amp; IF(M111!$D$20=C$11,M111!$B$1 &amp; " ", "") &amp; IF(M211!$D$20=C$11,M211!$B$1 &amp; " ", "") &amp; IF(M311!$D$20=C$11,M311!$B$1 &amp; " ", "") &amp; IF(M411!$D$20=C$11,M411!$B$1 &amp; " ", ""))), " ", ",")</f>
        <v/>
      </c>
      <c r="D17" s="13">
        <f>SUBSTITUTE(TRIM((IF(D111!$D$20=D$11,D111!$B$1 &amp; " ", "") &amp; IF(D211!$D$20=D$11,D211!$B$1 &amp; " ", "") &amp; IF(D311!$D$20=D$11,D311!$B$1 &amp; " ", "") &amp; IF(D411!$D$20=D$11,D411!$B$1 &amp; " ", "") &amp; IF(C111!$D$20=D$11,C111!$B$1 &amp; " ", "") &amp; IF(C121!$D$20=D$11,C121!$B$1 &amp; " ", "") &amp; IF(C122!$D$20=D$11,C122!$B$1 &amp; " ", "") &amp; IF(C211!$D$20=D$11,C211!$B$1 &amp; " ", "") &amp; IF(C212!$D$20=D$11,C212!$B$1 &amp; " ", "") &amp; IF(C311!$D$20=D$11,C311!$B$1 &amp; " ", "") &amp; IF(C312!$D$20=D$11,C312!$B$1 &amp; " ", "") &amp; IF(C411!$D$20=D$11,C411!$B$1 &amp; " ", "") &amp; IF(C412!$D$20=D$11,C412!$B$1 &amp; " ", "") &amp; IF(M111!$D$20=D$11,M111!$B$1 &amp; " ", "") &amp; IF(M211!$D$20=D$11,M211!$B$1 &amp; " ", "") &amp; IF(M311!$D$20=D$11,M311!$B$1 &amp; " ", "") &amp; IF(M411!$D$20=D$11,M411!$B$1 &amp; " ", ""))), " ", ",")</f>
        <v/>
      </c>
      <c r="E17" s="13">
        <f>SUBSTITUTE(TRIM((IF(D111!$D$20=E$11,D111!$B$1 &amp; " ", "") &amp; IF(D211!$D$20=E$11,D211!$B$1 &amp; " ", "") &amp; IF(D311!$D$20=E$11,D311!$B$1 &amp; " ", "") &amp; IF(D411!$D$20=E$11,D411!$B$1 &amp; " ", "") &amp; IF(C111!$D$20=E$11,C111!$B$1 &amp; " ", "") &amp; IF(C121!$D$20=E$11,C121!$B$1 &amp; " ", "") &amp; IF(C122!$D$20=E$11,C122!$B$1 &amp; " ", "") &amp; IF(C211!$D$20=E$11,C211!$B$1 &amp; " ", "") &amp; IF(C212!$D$20=E$11,C212!$B$1 &amp; " ", "") &amp; IF(C311!$D$20=E$11,C311!$B$1 &amp; " ", "") &amp; IF(C312!$D$20=E$11,C312!$B$1 &amp; " ", "") &amp; IF(C411!$D$20=E$11,C411!$B$1 &amp; " ", "") &amp; IF(C412!$D$20=E$11,C412!$B$1 &amp; " ", "") &amp; IF(M111!$D$20=E$11,M111!$B$1 &amp; " ", "") &amp; IF(M211!$D$20=E$11,M211!$B$1 &amp; " ", "") &amp; IF(M311!$D$20=E$11,M311!$B$1 &amp; " ", "") &amp; IF(M411!$D$20=E$11,M411!$B$1 &amp; " ", ""))), " ", ",")</f>
        <v/>
      </c>
      <c r="F17" s="13">
        <f>SUBSTITUTE(TRIM((IF(D111!$D$20=F$11,D111!$B$1 &amp; " ", "") &amp; IF(D211!$D$20=F$11,D211!$B$1 &amp; " ", "") &amp; IF(D311!$D$20=F$11,D311!$B$1 &amp; " ", "") &amp; IF(D411!$D$20=F$11,D411!$B$1 &amp; " ", "") &amp; IF(C111!$D$20=F$11,C111!$B$1 &amp; " ", "") &amp; IF(C121!$D$20=F$11,C121!$B$1 &amp; " ", "") &amp; IF(C122!$D$20=F$11,C122!$B$1 &amp; " ", "") &amp; IF(C211!$D$20=F$11,C211!$B$1 &amp; " ", "") &amp; IF(C212!$D$20=F$11,C212!$B$1 &amp; " ", "") &amp; IF(C311!$D$20=F$11,C311!$B$1 &amp; " ", "") &amp; IF(C312!$D$20=F$11,C312!$B$1 &amp; " ", "") &amp; IF(C411!$D$20=F$11,C411!$B$1 &amp; " ", "") &amp; IF(C412!$D$20=F$11,C412!$B$1 &amp; " ", "") &amp; IF(M111!$D$20=F$11,M111!$B$1 &amp; " ", "") &amp; IF(M211!$D$20=F$11,M211!$B$1 &amp; " ", "") &amp; IF(M311!$D$20=F$11,M311!$B$1 &amp; " ", "") &amp; IF(M411!$D$20=F$11,M411!$B$1 &amp; " ", ""))), " ", ",")</f>
        <v/>
      </c>
      <c r="G17" s="13">
        <f>SUBSTITUTE(TRIM((IF(D111!$D$20=G$11,D111!$B$1 &amp; " ", "") &amp; IF(D211!$D$20=G$11,D211!$B$1 &amp; " ", "") &amp; IF(D311!$D$20=G$11,D311!$B$1 &amp; " ", "") &amp; IF(D411!$D$20=G$11,D411!$B$1 &amp; " ", "") &amp; IF(C111!$D$20=G$11,C111!$B$1 &amp; " ", "") &amp; IF(C121!$D$20=G$11,C121!$B$1 &amp; " ", "") &amp; IF(C122!$D$20=G$11,C122!$B$1 &amp; " ", "") &amp; IF(C211!$D$20=G$11,C211!$B$1 &amp; " ", "") &amp; IF(C212!$D$20=G$11,C212!$B$1 &amp; " ", "") &amp; IF(C311!$D$20=G$11,C311!$B$1 &amp; " ", "") &amp; IF(C312!$D$20=G$11,C312!$B$1 &amp; " ", "") &amp; IF(C411!$D$20=G$11,C411!$B$1 &amp; " ", "") &amp; IF(C412!$D$20=G$11,C412!$B$1 &amp; " ", "") &amp; IF(M111!$D$20=G$11,M111!$B$1 &amp; " ", "") &amp; IF(M211!$D$20=G$11,M211!$B$1 &amp; " ", "") &amp; IF(M311!$D$20=G$11,M311!$B$1 &amp; " ", "") &amp; IF(M411!$D$20=G$11,M411!$B$1 &amp; " ", ""))), " ", ",")</f>
        <v/>
      </c>
      <c r="H17" s="13">
        <f>SUBSTITUTE(TRIM((IF(D111!$D$20=H$11,D111!$B$1 &amp; " ", "") &amp; IF(D211!$D$20=H$11,D211!$B$1 &amp; " ", "") &amp; IF(D311!$D$20=H$11,D311!$B$1 &amp; " ", "") &amp; IF(D411!$D$20=H$11,D411!$B$1 &amp; " ", "") &amp; IF(C111!$D$20=H$11,C111!$B$1 &amp; " ", "") &amp; IF(C121!$D$20=H$11,C121!$B$1 &amp; " ", "") &amp; IF(C122!$D$20=H$11,C122!$B$1 &amp; " ", "") &amp; IF(C211!$D$20=H$11,C211!$B$1 &amp; " ", "") &amp; IF(C212!$D$20=H$11,C212!$B$1 &amp; " ", "") &amp; IF(C311!$D$20=H$11,C311!$B$1 &amp; " ", "") &amp; IF(C312!$D$20=H$11,C312!$B$1 &amp; " ", "") &amp; IF(C411!$D$20=H$11,C411!$B$1 &amp; " ", "") &amp; IF(C412!$D$20=H$11,C412!$B$1 &amp; " ", "") &amp; IF(M111!$D$20=H$11,M111!$B$1 &amp; " ", "") &amp; IF(M211!$D$20=H$11,M211!$B$1 &amp; " ", "") &amp; IF(M311!$D$20=H$11,M311!$B$1 &amp; " ", "") &amp; IF(M411!$D$20=H$11,M411!$B$1 &amp; " ", ""))), " ", ",")</f>
        <v/>
      </c>
      <c r="I17" s="13">
        <f>SUBSTITUTE(TRIM((IF(D111!$D$20=I$11,D111!$B$1 &amp; " ", "") &amp; IF(D211!$D$20=I$11,D211!$B$1 &amp; " ", "") &amp; IF(D311!$D$20=I$11,D311!$B$1 &amp; " ", "") &amp; IF(D411!$D$20=I$11,D411!$B$1 &amp; " ", "") &amp; IF(C111!$D$20=I$11,C111!$B$1 &amp; " ", "") &amp; IF(C121!$D$20=I$11,C121!$B$1 &amp; " ", "") &amp; IF(C122!$D$20=I$11,C122!$B$1 &amp; " ", "") &amp; IF(C211!$D$20=I$11,C211!$B$1 &amp; " ", "") &amp; IF(C212!$D$20=I$11,C212!$B$1 &amp; " ", "") &amp; IF(C311!$D$20=I$11,C311!$B$1 &amp; " ", "") &amp; IF(C312!$D$20=I$11,C312!$B$1 &amp; " ", "") &amp; IF(C411!$D$20=I$11,C411!$B$1 &amp; " ", "") &amp; IF(C412!$D$20=I$11,C412!$B$1 &amp; " ", "") &amp; IF(M111!$D$20=I$11,M111!$B$1 &amp; " ", "") &amp; IF(M211!$D$20=I$11,M211!$B$1 &amp; " ", "") &amp; IF(M311!$D$20=I$11,M311!$B$1 &amp; " ", "") &amp; IF(M411!$D$20=I$11,M411!$B$1 &amp; " ", ""))), " ", ",")</f>
        <v/>
      </c>
      <c r="J17" s="13">
        <f>SUBSTITUTE(TRIM((IF(D111!$D$20=J$11,D111!$B$1 &amp; " ", "") &amp; IF(D211!$D$20=J$11,D211!$B$1 &amp; " ", "") &amp; IF(D311!$D$20=J$11,D311!$B$1 &amp; " ", "") &amp; IF(D411!$D$20=J$11,D411!$B$1 &amp; " ", "") &amp; IF(C111!$D$20=J$11,C111!$B$1 &amp; " ", "") &amp; IF(C121!$D$20=J$11,C121!$B$1 &amp; " ", "") &amp; IF(C122!$D$20=J$11,C122!$B$1 &amp; " ", "") &amp; IF(C211!$D$20=J$11,C211!$B$1 &amp; " ", "") &amp; IF(C212!$D$20=J$11,C212!$B$1 &amp; " ", "") &amp; IF(C311!$D$20=J$11,C311!$B$1 &amp; " ", "") &amp; IF(C312!$D$20=J$11,C312!$B$1 &amp; " ", "") &amp; IF(C411!$D$20=J$11,C411!$B$1 &amp; " ", "") &amp; IF(C412!$D$20=J$11,C412!$B$1 &amp; " ", "") &amp; IF(M111!$D$20=J$11,M111!$B$1 &amp; " ", "") &amp; IF(M211!$D$20=J$11,M211!$B$1 &amp; " ", "") &amp; IF(M311!$D$20=J$11,M311!$B$1 &amp; " ", "") &amp; IF(M411!$D$20=J$11,M411!$B$1 &amp; " ", ""))), " ", ",")</f>
        <v/>
      </c>
      <c r="K17" s="13">
        <f>SUBSTITUTE(TRIM((IF(D111!$D$20=K$11,D111!$B$1 &amp; " ", "") &amp; IF(D211!$D$20=K$11,D211!$B$1 &amp; " ", "") &amp; IF(D311!$D$20=K$11,D311!$B$1 &amp; " ", "") &amp; IF(D411!$D$20=K$11,D411!$B$1 &amp; " ", "") &amp; IF(C111!$D$20=K$11,C111!$B$1 &amp; " ", "") &amp; IF(C121!$D$20=K$11,C121!$B$1 &amp; " ", "") &amp; IF(C122!$D$20=K$11,C122!$B$1 &amp; " ", "") &amp; IF(C211!$D$20=K$11,C211!$B$1 &amp; " ", "") &amp; IF(C212!$D$20=K$11,C212!$B$1 &amp; " ", "") &amp; IF(C311!$D$20=K$11,C311!$B$1 &amp; " ", "") &amp; IF(C312!$D$20=K$11,C312!$B$1 &amp; " ", "") &amp; IF(C411!$D$20=K$11,C411!$B$1 &amp; " ", "") &amp; IF(C412!$D$20=K$11,C412!$B$1 &amp; " ", "") &amp; IF(M111!$D$20=K$11,M111!$B$1 &amp; " ", "") &amp; IF(M211!$D$20=K$11,M211!$B$1 &amp; " ", "") &amp; IF(M311!$D$20=K$11,M311!$B$1 &amp; " ", "") &amp; IF(M411!$D$20=K$11,M411!$B$1 &amp; " ", ""))), " ", ",")</f>
        <v/>
      </c>
      <c r="L17" s="13">
        <f>SUBSTITUTE(TRIM((IF(D111!$D$20=L$11,D111!$B$1 &amp; " ", "") &amp; IF(D211!$D$20=L$11,D211!$B$1 &amp; " ", "") &amp; IF(D311!$D$20=L$11,D311!$B$1 &amp; " ", "") &amp; IF(D411!$D$20=L$11,D411!$B$1 &amp; " ", "") &amp; IF(C111!$D$20=L$11,C111!$B$1 &amp; " ", "") &amp; IF(C121!$D$20=L$11,C121!$B$1 &amp; " ", "") &amp; IF(C122!$D$20=L$11,C122!$B$1 &amp; " ", "") &amp; IF(C211!$D$20=L$11,C211!$B$1 &amp; " ", "") &amp; IF(C212!$D$20=L$11,C212!$B$1 &amp; " ", "") &amp; IF(C311!$D$20=L$11,C311!$B$1 &amp; " ", "") &amp; IF(C312!$D$20=L$11,C312!$B$1 &amp; " ", "") &amp; IF(C411!$D$20=L$11,C411!$B$1 &amp; " ", "") &amp; IF(C412!$D$20=L$11,C412!$B$1 &amp; " ", "") &amp; IF(M111!$D$20=L$11,M111!$B$1 &amp; " ", "") &amp; IF(M211!$D$20=L$11,M211!$B$1 &amp; " ", "") &amp; IF(M311!$D$20=L$11,M311!$B$1 &amp; " ", "") &amp; IF(M411!$D$20=L$11,M411!$B$1 &amp; " ", ""))), " ", ",")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12" t="inlineStr">
        <is>
          <t>Miércoles</t>
        </is>
      </c>
      <c r="C19" s="12" t="inlineStr">
        <is>
          <t>Aula 1</t>
        </is>
      </c>
      <c r="D19" s="12" t="inlineStr">
        <is>
          <t>Aula 2</t>
        </is>
      </c>
      <c r="E19" s="12" t="inlineStr">
        <is>
          <t>Aula 3</t>
        </is>
      </c>
      <c r="F19" s="12" t="inlineStr">
        <is>
          <t>Aula 4</t>
        </is>
      </c>
      <c r="G19" s="12" t="inlineStr">
        <is>
          <t>Aula 5</t>
        </is>
      </c>
      <c r="H19" s="12" t="inlineStr">
        <is>
          <t>Aula 6</t>
        </is>
      </c>
      <c r="I19" s="12" t="inlineStr">
        <is>
          <t>Aula 7</t>
        </is>
      </c>
      <c r="J19" s="12" t="inlineStr">
        <is>
          <t>Aula 8</t>
        </is>
      </c>
      <c r="K19" s="12" t="inlineStr">
        <is>
          <t>Aula 9</t>
        </is>
      </c>
      <c r="L19" s="12" t="inlineStr">
        <is>
          <t>Lab</t>
        </is>
      </c>
    </row>
    <row r="20">
      <c r="A20" t="inlineStr"/>
      <c r="B20" s="13" t="inlineStr">
        <is>
          <t>1ro</t>
        </is>
      </c>
      <c r="C20" s="13">
        <f>SUBSTITUTE(TRIM((IF(D111!$E$5=C$19,D111!$B$1 &amp; " ", "") &amp; IF(D211!$E$5=C$19,D211!$B$1 &amp; " ", "") &amp; IF(D311!$E$5=C$19,D311!$B$1 &amp; " ", "") &amp; IF(D411!$E$5=C$19,D411!$B$1 &amp; " ", "") &amp; IF(C111!$E$5=C$19,C111!$B$1 &amp; " ", "") &amp; IF(C121!$E$5=C$19,C121!$B$1 &amp; " ", "") &amp; IF(C122!$E$5=C$19,C122!$B$1 &amp; " ", "") &amp; IF(C211!$E$5=C$19,C211!$B$1 &amp; " ", "") &amp; IF(C212!$E$5=C$19,C212!$B$1 &amp; " ", "") &amp; IF(C311!$E$5=C$19,C311!$B$1 &amp; " ", "") &amp; IF(C312!$E$5=C$19,C312!$B$1 &amp; " ", "") &amp; IF(C411!$E$5=C$19,C411!$B$1 &amp; " ", "") &amp; IF(C412!$E$5=C$19,C412!$B$1 &amp; " ", "") &amp; IF(M111!$E$5=C$19,M111!$B$1 &amp; " ", "") &amp; IF(M211!$E$5=C$19,M211!$B$1 &amp; " ", "") &amp; IF(M311!$E$5=C$19,M311!$B$1 &amp; " ", "") &amp; IF(M411!$E$5=C$19,M411!$B$1 &amp; " ", ""))), " ", ",")</f>
        <v/>
      </c>
      <c r="D20" s="13">
        <f>SUBSTITUTE(TRIM((IF(D111!$E$5=D$19,D111!$B$1 &amp; " ", "") &amp; IF(D211!$E$5=D$19,D211!$B$1 &amp; " ", "") &amp; IF(D311!$E$5=D$19,D311!$B$1 &amp; " ", "") &amp; IF(D411!$E$5=D$19,D411!$B$1 &amp; " ", "") &amp; IF(C111!$E$5=D$19,C111!$B$1 &amp; " ", "") &amp; IF(C121!$E$5=D$19,C121!$B$1 &amp; " ", "") &amp; IF(C122!$E$5=D$19,C122!$B$1 &amp; " ", "") &amp; IF(C211!$E$5=D$19,C211!$B$1 &amp; " ", "") &amp; IF(C212!$E$5=D$19,C212!$B$1 &amp; " ", "") &amp; IF(C311!$E$5=D$19,C311!$B$1 &amp; " ", "") &amp; IF(C312!$E$5=D$19,C312!$B$1 &amp; " ", "") &amp; IF(C411!$E$5=D$19,C411!$B$1 &amp; " ", "") &amp; IF(C412!$E$5=D$19,C412!$B$1 &amp; " ", "") &amp; IF(M111!$E$5=D$19,M111!$B$1 &amp; " ", "") &amp; IF(M211!$E$5=D$19,M211!$B$1 &amp; " ", "") &amp; IF(M311!$E$5=D$19,M311!$B$1 &amp; " ", "") &amp; IF(M411!$E$5=D$19,M411!$B$1 &amp; " ", ""))), " ", ",")</f>
        <v/>
      </c>
      <c r="E20" s="13">
        <f>SUBSTITUTE(TRIM((IF(D111!$E$5=E$19,D111!$B$1 &amp; " ", "") &amp; IF(D211!$E$5=E$19,D211!$B$1 &amp; " ", "") &amp; IF(D311!$E$5=E$19,D311!$B$1 &amp; " ", "") &amp; IF(D411!$E$5=E$19,D411!$B$1 &amp; " ", "") &amp; IF(C111!$E$5=E$19,C111!$B$1 &amp; " ", "") &amp; IF(C121!$E$5=E$19,C121!$B$1 &amp; " ", "") &amp; IF(C122!$E$5=E$19,C122!$B$1 &amp; " ", "") &amp; IF(C211!$E$5=E$19,C211!$B$1 &amp; " ", "") &amp; IF(C212!$E$5=E$19,C212!$B$1 &amp; " ", "") &amp; IF(C311!$E$5=E$19,C311!$B$1 &amp; " ", "") &amp; IF(C312!$E$5=E$19,C312!$B$1 &amp; " ", "") &amp; IF(C411!$E$5=E$19,C411!$B$1 &amp; " ", "") &amp; IF(C412!$E$5=E$19,C412!$B$1 &amp; " ", "") &amp; IF(M111!$E$5=E$19,M111!$B$1 &amp; " ", "") &amp; IF(M211!$E$5=E$19,M211!$B$1 &amp; " ", "") &amp; IF(M311!$E$5=E$19,M311!$B$1 &amp; " ", "") &amp; IF(M411!$E$5=E$19,M411!$B$1 &amp; " ", ""))), " ", ",")</f>
        <v/>
      </c>
      <c r="F20" s="13">
        <f>SUBSTITUTE(TRIM((IF(D111!$E$5=F$19,D111!$B$1 &amp; " ", "") &amp; IF(D211!$E$5=F$19,D211!$B$1 &amp; " ", "") &amp; IF(D311!$E$5=F$19,D311!$B$1 &amp; " ", "") &amp; IF(D411!$E$5=F$19,D411!$B$1 &amp; " ", "") &amp; IF(C111!$E$5=F$19,C111!$B$1 &amp; " ", "") &amp; IF(C121!$E$5=F$19,C121!$B$1 &amp; " ", "") &amp; IF(C122!$E$5=F$19,C122!$B$1 &amp; " ", "") &amp; IF(C211!$E$5=F$19,C211!$B$1 &amp; " ", "") &amp; IF(C212!$E$5=F$19,C212!$B$1 &amp; " ", "") &amp; IF(C311!$E$5=F$19,C311!$B$1 &amp; " ", "") &amp; IF(C312!$E$5=F$19,C312!$B$1 &amp; " ", "") &amp; IF(C411!$E$5=F$19,C411!$B$1 &amp; " ", "") &amp; IF(C412!$E$5=F$19,C412!$B$1 &amp; " ", "") &amp; IF(M111!$E$5=F$19,M111!$B$1 &amp; " ", "") &amp; IF(M211!$E$5=F$19,M211!$B$1 &amp; " ", "") &amp; IF(M311!$E$5=F$19,M311!$B$1 &amp; " ", "") &amp; IF(M411!$E$5=F$19,M411!$B$1 &amp; " ", ""))), " ", ",")</f>
        <v/>
      </c>
      <c r="G20" s="13">
        <f>SUBSTITUTE(TRIM((IF(D111!$E$5=G$19,D111!$B$1 &amp; " ", "") &amp; IF(D211!$E$5=G$19,D211!$B$1 &amp; " ", "") &amp; IF(D311!$E$5=G$19,D311!$B$1 &amp; " ", "") &amp; IF(D411!$E$5=G$19,D411!$B$1 &amp; " ", "") &amp; IF(C111!$E$5=G$19,C111!$B$1 &amp; " ", "") &amp; IF(C121!$E$5=G$19,C121!$B$1 &amp; " ", "") &amp; IF(C122!$E$5=G$19,C122!$B$1 &amp; " ", "") &amp; IF(C211!$E$5=G$19,C211!$B$1 &amp; " ", "") &amp; IF(C212!$E$5=G$19,C212!$B$1 &amp; " ", "") &amp; IF(C311!$E$5=G$19,C311!$B$1 &amp; " ", "") &amp; IF(C312!$E$5=G$19,C312!$B$1 &amp; " ", "") &amp; IF(C411!$E$5=G$19,C411!$B$1 &amp; " ", "") &amp; IF(C412!$E$5=G$19,C412!$B$1 &amp; " ", "") &amp; IF(M111!$E$5=G$19,M111!$B$1 &amp; " ", "") &amp; IF(M211!$E$5=G$19,M211!$B$1 &amp; " ", "") &amp; IF(M311!$E$5=G$19,M311!$B$1 &amp; " ", "") &amp; IF(M411!$E$5=G$19,M411!$B$1 &amp; " ", ""))), " ", ",")</f>
        <v/>
      </c>
      <c r="H20" s="13">
        <f>SUBSTITUTE(TRIM((IF(D111!$E$5=H$19,D111!$B$1 &amp; " ", "") &amp; IF(D211!$E$5=H$19,D211!$B$1 &amp; " ", "") &amp; IF(D311!$E$5=H$19,D311!$B$1 &amp; " ", "") &amp; IF(D411!$E$5=H$19,D411!$B$1 &amp; " ", "") &amp; IF(C111!$E$5=H$19,C111!$B$1 &amp; " ", "") &amp; IF(C121!$E$5=H$19,C121!$B$1 &amp; " ", "") &amp; IF(C122!$E$5=H$19,C122!$B$1 &amp; " ", "") &amp; IF(C211!$E$5=H$19,C211!$B$1 &amp; " ", "") &amp; IF(C212!$E$5=H$19,C212!$B$1 &amp; " ", "") &amp; IF(C311!$E$5=H$19,C311!$B$1 &amp; " ", "") &amp; IF(C312!$E$5=H$19,C312!$B$1 &amp; " ", "") &amp; IF(C411!$E$5=H$19,C411!$B$1 &amp; " ", "") &amp; IF(C412!$E$5=H$19,C412!$B$1 &amp; " ", "") &amp; IF(M111!$E$5=H$19,M111!$B$1 &amp; " ", "") &amp; IF(M211!$E$5=H$19,M211!$B$1 &amp; " ", "") &amp; IF(M311!$E$5=H$19,M311!$B$1 &amp; " ", "") &amp; IF(M411!$E$5=H$19,M411!$B$1 &amp; " ", ""))), " ", ",")</f>
        <v/>
      </c>
      <c r="I20" s="13">
        <f>SUBSTITUTE(TRIM((IF(D111!$E$5=I$19,D111!$B$1 &amp; " ", "") &amp; IF(D211!$E$5=I$19,D211!$B$1 &amp; " ", "") &amp; IF(D311!$E$5=I$19,D311!$B$1 &amp; " ", "") &amp; IF(D411!$E$5=I$19,D411!$B$1 &amp; " ", "") &amp; IF(C111!$E$5=I$19,C111!$B$1 &amp; " ", "") &amp; IF(C121!$E$5=I$19,C121!$B$1 &amp; " ", "") &amp; IF(C122!$E$5=I$19,C122!$B$1 &amp; " ", "") &amp; IF(C211!$E$5=I$19,C211!$B$1 &amp; " ", "") &amp; IF(C212!$E$5=I$19,C212!$B$1 &amp; " ", "") &amp; IF(C311!$E$5=I$19,C311!$B$1 &amp; " ", "") &amp; IF(C312!$E$5=I$19,C312!$B$1 &amp; " ", "") &amp; IF(C411!$E$5=I$19,C411!$B$1 &amp; " ", "") &amp; IF(C412!$E$5=I$19,C412!$B$1 &amp; " ", "") &amp; IF(M111!$E$5=I$19,M111!$B$1 &amp; " ", "") &amp; IF(M211!$E$5=I$19,M211!$B$1 &amp; " ", "") &amp; IF(M311!$E$5=I$19,M311!$B$1 &amp; " ", "") &amp; IF(M411!$E$5=I$19,M411!$B$1 &amp; " ", ""))), " ", ",")</f>
        <v/>
      </c>
      <c r="J20" s="13">
        <f>SUBSTITUTE(TRIM((IF(D111!$E$5=J$19,D111!$B$1 &amp; " ", "") &amp; IF(D211!$E$5=J$19,D211!$B$1 &amp; " ", "") &amp; IF(D311!$E$5=J$19,D311!$B$1 &amp; " ", "") &amp; IF(D411!$E$5=J$19,D411!$B$1 &amp; " ", "") &amp; IF(C111!$E$5=J$19,C111!$B$1 &amp; " ", "") &amp; IF(C121!$E$5=J$19,C121!$B$1 &amp; " ", "") &amp; IF(C122!$E$5=J$19,C122!$B$1 &amp; " ", "") &amp; IF(C211!$E$5=J$19,C211!$B$1 &amp; " ", "") &amp; IF(C212!$E$5=J$19,C212!$B$1 &amp; " ", "") &amp; IF(C311!$E$5=J$19,C311!$B$1 &amp; " ", "") &amp; IF(C312!$E$5=J$19,C312!$B$1 &amp; " ", "") &amp; IF(C411!$E$5=J$19,C411!$B$1 &amp; " ", "") &amp; IF(C412!$E$5=J$19,C412!$B$1 &amp; " ", "") &amp; IF(M111!$E$5=J$19,M111!$B$1 &amp; " ", "") &amp; IF(M211!$E$5=J$19,M211!$B$1 &amp; " ", "") &amp; IF(M311!$E$5=J$19,M311!$B$1 &amp; " ", "") &amp; IF(M411!$E$5=J$19,M411!$B$1 &amp; " ", ""))), " ", ",")</f>
        <v/>
      </c>
      <c r="K20" s="13">
        <f>SUBSTITUTE(TRIM((IF(D111!$E$5=K$19,D111!$B$1 &amp; " ", "") &amp; IF(D211!$E$5=K$19,D211!$B$1 &amp; " ", "") &amp; IF(D311!$E$5=K$19,D311!$B$1 &amp; " ", "") &amp; IF(D411!$E$5=K$19,D411!$B$1 &amp; " ", "") &amp; IF(C111!$E$5=K$19,C111!$B$1 &amp; " ", "") &amp; IF(C121!$E$5=K$19,C121!$B$1 &amp; " ", "") &amp; IF(C122!$E$5=K$19,C122!$B$1 &amp; " ", "") &amp; IF(C211!$E$5=K$19,C211!$B$1 &amp; " ", "") &amp; IF(C212!$E$5=K$19,C212!$B$1 &amp; " ", "") &amp; IF(C311!$E$5=K$19,C311!$B$1 &amp; " ", "") &amp; IF(C312!$E$5=K$19,C312!$B$1 &amp; " ", "") &amp; IF(C411!$E$5=K$19,C411!$B$1 &amp; " ", "") &amp; IF(C412!$E$5=K$19,C412!$B$1 &amp; " ", "") &amp; IF(M111!$E$5=K$19,M111!$B$1 &amp; " ", "") &amp; IF(M211!$E$5=K$19,M211!$B$1 &amp; " ", "") &amp; IF(M311!$E$5=K$19,M311!$B$1 &amp; " ", "") &amp; IF(M411!$E$5=K$19,M411!$B$1 &amp; " ", ""))), " ", ",")</f>
        <v/>
      </c>
      <c r="L20" s="13">
        <f>SUBSTITUTE(TRIM((IF(D111!$E$5=L$19,D111!$B$1 &amp; " ", "") &amp; IF(D211!$E$5=L$19,D211!$B$1 &amp; " ", "") &amp; IF(D311!$E$5=L$19,D311!$B$1 &amp; " ", "") &amp; IF(D411!$E$5=L$19,D411!$B$1 &amp; " ", "") &amp; IF(C111!$E$5=L$19,C111!$B$1 &amp; " ", "") &amp; IF(C121!$E$5=L$19,C121!$B$1 &amp; " ", "") &amp; IF(C122!$E$5=L$19,C122!$B$1 &amp; " ", "") &amp; IF(C211!$E$5=L$19,C211!$B$1 &amp; " ", "") &amp; IF(C212!$E$5=L$19,C212!$B$1 &amp; " ", "") &amp; IF(C311!$E$5=L$19,C311!$B$1 &amp; " ", "") &amp; IF(C312!$E$5=L$19,C312!$B$1 &amp; " ", "") &amp; IF(C411!$E$5=L$19,C411!$B$1 &amp; " ", "") &amp; IF(C412!$E$5=L$19,C412!$B$1 &amp; " ", "") &amp; IF(M111!$E$5=L$19,M111!$B$1 &amp; " ", "") &amp; IF(M211!$E$5=L$19,M211!$B$1 &amp; " ", "") &amp; IF(M311!$E$5=L$19,M311!$B$1 &amp; " ", "") &amp; IF(M411!$E$5=L$19,M411!$B$1 &amp; " ", ""))), " ", ",")</f>
        <v/>
      </c>
    </row>
    <row r="21">
      <c r="A21" t="inlineStr"/>
      <c r="B21" s="13" t="inlineStr">
        <is>
          <t>2do</t>
        </is>
      </c>
      <c r="C21" s="13">
        <f>SUBSTITUTE(TRIM((IF(D111!$E$8=C$19,D111!$B$1 &amp; " ", "") &amp; IF(D211!$E$8=C$19,D211!$B$1 &amp; " ", "") &amp; IF(D311!$E$8=C$19,D311!$B$1 &amp; " ", "") &amp; IF(D411!$E$8=C$19,D411!$B$1 &amp; " ", "") &amp; IF(C111!$E$8=C$19,C111!$B$1 &amp; " ", "") &amp; IF(C121!$E$8=C$19,C121!$B$1 &amp; " ", "") &amp; IF(C122!$E$8=C$19,C122!$B$1 &amp; " ", "") &amp; IF(C211!$E$8=C$19,C211!$B$1 &amp; " ", "") &amp; IF(C212!$E$8=C$19,C212!$B$1 &amp; " ", "") &amp; IF(C311!$E$8=C$19,C311!$B$1 &amp; " ", "") &amp; IF(C312!$E$8=C$19,C312!$B$1 &amp; " ", "") &amp; IF(C411!$E$8=C$19,C411!$B$1 &amp; " ", "") &amp; IF(C412!$E$8=C$19,C412!$B$1 &amp; " ", "") &amp; IF(M111!$E$8=C$19,M111!$B$1 &amp; " ", "") &amp; IF(M211!$E$8=C$19,M211!$B$1 &amp; " ", "") &amp; IF(M311!$E$8=C$19,M311!$B$1 &amp; " ", "") &amp; IF(M411!$E$8=C$19,M411!$B$1 &amp; " ", ""))), " ", ",")</f>
        <v/>
      </c>
      <c r="D21" s="13">
        <f>SUBSTITUTE(TRIM((IF(D111!$E$8=D$19,D111!$B$1 &amp; " ", "") &amp; IF(D211!$E$8=D$19,D211!$B$1 &amp; " ", "") &amp; IF(D311!$E$8=D$19,D311!$B$1 &amp; " ", "") &amp; IF(D411!$E$8=D$19,D411!$B$1 &amp; " ", "") &amp; IF(C111!$E$8=D$19,C111!$B$1 &amp; " ", "") &amp; IF(C121!$E$8=D$19,C121!$B$1 &amp; " ", "") &amp; IF(C122!$E$8=D$19,C122!$B$1 &amp; " ", "") &amp; IF(C211!$E$8=D$19,C211!$B$1 &amp; " ", "") &amp; IF(C212!$E$8=D$19,C212!$B$1 &amp; " ", "") &amp; IF(C311!$E$8=D$19,C311!$B$1 &amp; " ", "") &amp; IF(C312!$E$8=D$19,C312!$B$1 &amp; " ", "") &amp; IF(C411!$E$8=D$19,C411!$B$1 &amp; " ", "") &amp; IF(C412!$E$8=D$19,C412!$B$1 &amp; " ", "") &amp; IF(M111!$E$8=D$19,M111!$B$1 &amp; " ", "") &amp; IF(M211!$E$8=D$19,M211!$B$1 &amp; " ", "") &amp; IF(M311!$E$8=D$19,M311!$B$1 &amp; " ", "") &amp; IF(M411!$E$8=D$19,M411!$B$1 &amp; " ", ""))), " ", ",")</f>
        <v/>
      </c>
      <c r="E21" s="13">
        <f>SUBSTITUTE(TRIM((IF(D111!$E$8=E$19,D111!$B$1 &amp; " ", "") &amp; IF(D211!$E$8=E$19,D211!$B$1 &amp; " ", "") &amp; IF(D311!$E$8=E$19,D311!$B$1 &amp; " ", "") &amp; IF(D411!$E$8=E$19,D411!$B$1 &amp; " ", "") &amp; IF(C111!$E$8=E$19,C111!$B$1 &amp; " ", "") &amp; IF(C121!$E$8=E$19,C121!$B$1 &amp; " ", "") &amp; IF(C122!$E$8=E$19,C122!$B$1 &amp; " ", "") &amp; IF(C211!$E$8=E$19,C211!$B$1 &amp; " ", "") &amp; IF(C212!$E$8=E$19,C212!$B$1 &amp; " ", "") &amp; IF(C311!$E$8=E$19,C311!$B$1 &amp; " ", "") &amp; IF(C312!$E$8=E$19,C312!$B$1 &amp; " ", "") &amp; IF(C411!$E$8=E$19,C411!$B$1 &amp; " ", "") &amp; IF(C412!$E$8=E$19,C412!$B$1 &amp; " ", "") &amp; IF(M111!$E$8=E$19,M111!$B$1 &amp; " ", "") &amp; IF(M211!$E$8=E$19,M211!$B$1 &amp; " ", "") &amp; IF(M311!$E$8=E$19,M311!$B$1 &amp; " ", "") &amp; IF(M411!$E$8=E$19,M411!$B$1 &amp; " ", ""))), " ", ",")</f>
        <v/>
      </c>
      <c r="F21" s="13">
        <f>SUBSTITUTE(TRIM((IF(D111!$E$8=F$19,D111!$B$1 &amp; " ", "") &amp; IF(D211!$E$8=F$19,D211!$B$1 &amp; " ", "") &amp; IF(D311!$E$8=F$19,D311!$B$1 &amp; " ", "") &amp; IF(D411!$E$8=F$19,D411!$B$1 &amp; " ", "") &amp; IF(C111!$E$8=F$19,C111!$B$1 &amp; " ", "") &amp; IF(C121!$E$8=F$19,C121!$B$1 &amp; " ", "") &amp; IF(C122!$E$8=F$19,C122!$B$1 &amp; " ", "") &amp; IF(C211!$E$8=F$19,C211!$B$1 &amp; " ", "") &amp; IF(C212!$E$8=F$19,C212!$B$1 &amp; " ", "") &amp; IF(C311!$E$8=F$19,C311!$B$1 &amp; " ", "") &amp; IF(C312!$E$8=F$19,C312!$B$1 &amp; " ", "") &amp; IF(C411!$E$8=F$19,C411!$B$1 &amp; " ", "") &amp; IF(C412!$E$8=F$19,C412!$B$1 &amp; " ", "") &amp; IF(M111!$E$8=F$19,M111!$B$1 &amp; " ", "") &amp; IF(M211!$E$8=F$19,M211!$B$1 &amp; " ", "") &amp; IF(M311!$E$8=F$19,M311!$B$1 &amp; " ", "") &amp; IF(M411!$E$8=F$19,M411!$B$1 &amp; " ", ""))), " ", ",")</f>
        <v/>
      </c>
      <c r="G21" s="13">
        <f>SUBSTITUTE(TRIM((IF(D111!$E$8=G$19,D111!$B$1 &amp; " ", "") &amp; IF(D211!$E$8=G$19,D211!$B$1 &amp; " ", "") &amp; IF(D311!$E$8=G$19,D311!$B$1 &amp; " ", "") &amp; IF(D411!$E$8=G$19,D411!$B$1 &amp; " ", "") &amp; IF(C111!$E$8=G$19,C111!$B$1 &amp; " ", "") &amp; IF(C121!$E$8=G$19,C121!$B$1 &amp; " ", "") &amp; IF(C122!$E$8=G$19,C122!$B$1 &amp; " ", "") &amp; IF(C211!$E$8=G$19,C211!$B$1 &amp; " ", "") &amp; IF(C212!$E$8=G$19,C212!$B$1 &amp; " ", "") &amp; IF(C311!$E$8=G$19,C311!$B$1 &amp; " ", "") &amp; IF(C312!$E$8=G$19,C312!$B$1 &amp; " ", "") &amp; IF(C411!$E$8=G$19,C411!$B$1 &amp; " ", "") &amp; IF(C412!$E$8=G$19,C412!$B$1 &amp; " ", "") &amp; IF(M111!$E$8=G$19,M111!$B$1 &amp; " ", "") &amp; IF(M211!$E$8=G$19,M211!$B$1 &amp; " ", "") &amp; IF(M311!$E$8=G$19,M311!$B$1 &amp; " ", "") &amp; IF(M411!$E$8=G$19,M411!$B$1 &amp; " ", ""))), " ", ",")</f>
        <v/>
      </c>
      <c r="H21" s="13">
        <f>SUBSTITUTE(TRIM((IF(D111!$E$8=H$19,D111!$B$1 &amp; " ", "") &amp; IF(D211!$E$8=H$19,D211!$B$1 &amp; " ", "") &amp; IF(D311!$E$8=H$19,D311!$B$1 &amp; " ", "") &amp; IF(D411!$E$8=H$19,D411!$B$1 &amp; " ", "") &amp; IF(C111!$E$8=H$19,C111!$B$1 &amp; " ", "") &amp; IF(C121!$E$8=H$19,C121!$B$1 &amp; " ", "") &amp; IF(C122!$E$8=H$19,C122!$B$1 &amp; " ", "") &amp; IF(C211!$E$8=H$19,C211!$B$1 &amp; " ", "") &amp; IF(C212!$E$8=H$19,C212!$B$1 &amp; " ", "") &amp; IF(C311!$E$8=H$19,C311!$B$1 &amp; " ", "") &amp; IF(C312!$E$8=H$19,C312!$B$1 &amp; " ", "") &amp; IF(C411!$E$8=H$19,C411!$B$1 &amp; " ", "") &amp; IF(C412!$E$8=H$19,C412!$B$1 &amp; " ", "") &amp; IF(M111!$E$8=H$19,M111!$B$1 &amp; " ", "") &amp; IF(M211!$E$8=H$19,M211!$B$1 &amp; " ", "") &amp; IF(M311!$E$8=H$19,M311!$B$1 &amp; " ", "") &amp; IF(M411!$E$8=H$19,M411!$B$1 &amp; " ", ""))), " ", ",")</f>
        <v/>
      </c>
      <c r="I21" s="13">
        <f>SUBSTITUTE(TRIM((IF(D111!$E$8=I$19,D111!$B$1 &amp; " ", "") &amp; IF(D211!$E$8=I$19,D211!$B$1 &amp; " ", "") &amp; IF(D311!$E$8=I$19,D311!$B$1 &amp; " ", "") &amp; IF(D411!$E$8=I$19,D411!$B$1 &amp; " ", "") &amp; IF(C111!$E$8=I$19,C111!$B$1 &amp; " ", "") &amp; IF(C121!$E$8=I$19,C121!$B$1 &amp; " ", "") &amp; IF(C122!$E$8=I$19,C122!$B$1 &amp; " ", "") &amp; IF(C211!$E$8=I$19,C211!$B$1 &amp; " ", "") &amp; IF(C212!$E$8=I$19,C212!$B$1 &amp; " ", "") &amp; IF(C311!$E$8=I$19,C311!$B$1 &amp; " ", "") &amp; IF(C312!$E$8=I$19,C312!$B$1 &amp; " ", "") &amp; IF(C411!$E$8=I$19,C411!$B$1 &amp; " ", "") &amp; IF(C412!$E$8=I$19,C412!$B$1 &amp; " ", "") &amp; IF(M111!$E$8=I$19,M111!$B$1 &amp; " ", "") &amp; IF(M211!$E$8=I$19,M211!$B$1 &amp; " ", "") &amp; IF(M311!$E$8=I$19,M311!$B$1 &amp; " ", "") &amp; IF(M411!$E$8=I$19,M411!$B$1 &amp; " ", ""))), " ", ",")</f>
        <v/>
      </c>
      <c r="J21" s="13">
        <f>SUBSTITUTE(TRIM((IF(D111!$E$8=J$19,D111!$B$1 &amp; " ", "") &amp; IF(D211!$E$8=J$19,D211!$B$1 &amp; " ", "") &amp; IF(D311!$E$8=J$19,D311!$B$1 &amp; " ", "") &amp; IF(D411!$E$8=J$19,D411!$B$1 &amp; " ", "") &amp; IF(C111!$E$8=J$19,C111!$B$1 &amp; " ", "") &amp; IF(C121!$E$8=J$19,C121!$B$1 &amp; " ", "") &amp; IF(C122!$E$8=J$19,C122!$B$1 &amp; " ", "") &amp; IF(C211!$E$8=J$19,C211!$B$1 &amp; " ", "") &amp; IF(C212!$E$8=J$19,C212!$B$1 &amp; " ", "") &amp; IF(C311!$E$8=J$19,C311!$B$1 &amp; " ", "") &amp; IF(C312!$E$8=J$19,C312!$B$1 &amp; " ", "") &amp; IF(C411!$E$8=J$19,C411!$B$1 &amp; " ", "") &amp; IF(C412!$E$8=J$19,C412!$B$1 &amp; " ", "") &amp; IF(M111!$E$8=J$19,M111!$B$1 &amp; " ", "") &amp; IF(M211!$E$8=J$19,M211!$B$1 &amp; " ", "") &amp; IF(M311!$E$8=J$19,M311!$B$1 &amp; " ", "") &amp; IF(M411!$E$8=J$19,M411!$B$1 &amp; " ", ""))), " ", ",")</f>
        <v/>
      </c>
      <c r="K21" s="13">
        <f>SUBSTITUTE(TRIM((IF(D111!$E$8=K$19,D111!$B$1 &amp; " ", "") &amp; IF(D211!$E$8=K$19,D211!$B$1 &amp; " ", "") &amp; IF(D311!$E$8=K$19,D311!$B$1 &amp; " ", "") &amp; IF(D411!$E$8=K$19,D411!$B$1 &amp; " ", "") &amp; IF(C111!$E$8=K$19,C111!$B$1 &amp; " ", "") &amp; IF(C121!$E$8=K$19,C121!$B$1 &amp; " ", "") &amp; IF(C122!$E$8=K$19,C122!$B$1 &amp; " ", "") &amp; IF(C211!$E$8=K$19,C211!$B$1 &amp; " ", "") &amp; IF(C212!$E$8=K$19,C212!$B$1 &amp; " ", "") &amp; IF(C311!$E$8=K$19,C311!$B$1 &amp; " ", "") &amp; IF(C312!$E$8=K$19,C312!$B$1 &amp; " ", "") &amp; IF(C411!$E$8=K$19,C411!$B$1 &amp; " ", "") &amp; IF(C412!$E$8=K$19,C412!$B$1 &amp; " ", "") &amp; IF(M111!$E$8=K$19,M111!$B$1 &amp; " ", "") &amp; IF(M211!$E$8=K$19,M211!$B$1 &amp; " ", "") &amp; IF(M311!$E$8=K$19,M311!$B$1 &amp; " ", "") &amp; IF(M411!$E$8=K$19,M411!$B$1 &amp; " ", ""))), " ", ",")</f>
        <v/>
      </c>
      <c r="L21" s="13">
        <f>SUBSTITUTE(TRIM((IF(D111!$E$8=L$19,D111!$B$1 &amp; " ", "") &amp; IF(D211!$E$8=L$19,D211!$B$1 &amp; " ", "") &amp; IF(D311!$E$8=L$19,D311!$B$1 &amp; " ", "") &amp; IF(D411!$E$8=L$19,D411!$B$1 &amp; " ", "") &amp; IF(C111!$E$8=L$19,C111!$B$1 &amp; " ", "") &amp; IF(C121!$E$8=L$19,C121!$B$1 &amp; " ", "") &amp; IF(C122!$E$8=L$19,C122!$B$1 &amp; " ", "") &amp; IF(C211!$E$8=L$19,C211!$B$1 &amp; " ", "") &amp; IF(C212!$E$8=L$19,C212!$B$1 &amp; " ", "") &amp; IF(C311!$E$8=L$19,C311!$B$1 &amp; " ", "") &amp; IF(C312!$E$8=L$19,C312!$B$1 &amp; " ", "") &amp; IF(C411!$E$8=L$19,C411!$B$1 &amp; " ", "") &amp; IF(C412!$E$8=L$19,C412!$B$1 &amp; " ", "") &amp; IF(M111!$E$8=L$19,M111!$B$1 &amp; " ", "") &amp; IF(M211!$E$8=L$19,M211!$B$1 &amp; " ", "") &amp; IF(M311!$E$8=L$19,M311!$B$1 &amp; " ", "") &amp; IF(M411!$E$8=L$19,M411!$B$1 &amp; " ", ""))), " ", ",")</f>
        <v/>
      </c>
    </row>
    <row r="22">
      <c r="A22" t="inlineStr"/>
      <c r="B22" s="13" t="inlineStr">
        <is>
          <t>3ro</t>
        </is>
      </c>
      <c r="C22" s="13">
        <f>SUBSTITUTE(TRIM((IF(D111!$E$11=C$19,D111!$B$1 &amp; " ", "") &amp; IF(D211!$E$11=C$19,D211!$B$1 &amp; " ", "") &amp; IF(D311!$E$11=C$19,D311!$B$1 &amp; " ", "") &amp; IF(D411!$E$11=C$19,D411!$B$1 &amp; " ", "") &amp; IF(C111!$E$11=C$19,C111!$B$1 &amp; " ", "") &amp; IF(C121!$E$11=C$19,C121!$B$1 &amp; " ", "") &amp; IF(C122!$E$11=C$19,C122!$B$1 &amp; " ", "") &amp; IF(C211!$E$11=C$19,C211!$B$1 &amp; " ", "") &amp; IF(C212!$E$11=C$19,C212!$B$1 &amp; " ", "") &amp; IF(C311!$E$11=C$19,C311!$B$1 &amp; " ", "") &amp; IF(C312!$E$11=C$19,C312!$B$1 &amp; " ", "") &amp; IF(C411!$E$11=C$19,C411!$B$1 &amp; " ", "") &amp; IF(C412!$E$11=C$19,C412!$B$1 &amp; " ", "") &amp; IF(M111!$E$11=C$19,M111!$B$1 &amp; " ", "") &amp; IF(M211!$E$11=C$19,M211!$B$1 &amp; " ", "") &amp; IF(M311!$E$11=C$19,M311!$B$1 &amp; " ", "") &amp; IF(M411!$E$11=C$19,M411!$B$1 &amp; " ", ""))), " ", ",")</f>
        <v/>
      </c>
      <c r="D22" s="13">
        <f>SUBSTITUTE(TRIM((IF(D111!$E$11=D$19,D111!$B$1 &amp; " ", "") &amp; IF(D211!$E$11=D$19,D211!$B$1 &amp; " ", "") &amp; IF(D311!$E$11=D$19,D311!$B$1 &amp; " ", "") &amp; IF(D411!$E$11=D$19,D411!$B$1 &amp; " ", "") &amp; IF(C111!$E$11=D$19,C111!$B$1 &amp; " ", "") &amp; IF(C121!$E$11=D$19,C121!$B$1 &amp; " ", "") &amp; IF(C122!$E$11=D$19,C122!$B$1 &amp; " ", "") &amp; IF(C211!$E$11=D$19,C211!$B$1 &amp; " ", "") &amp; IF(C212!$E$11=D$19,C212!$B$1 &amp; " ", "") &amp; IF(C311!$E$11=D$19,C311!$B$1 &amp; " ", "") &amp; IF(C312!$E$11=D$19,C312!$B$1 &amp; " ", "") &amp; IF(C411!$E$11=D$19,C411!$B$1 &amp; " ", "") &amp; IF(C412!$E$11=D$19,C412!$B$1 &amp; " ", "") &amp; IF(M111!$E$11=D$19,M111!$B$1 &amp; " ", "") &amp; IF(M211!$E$11=D$19,M211!$B$1 &amp; " ", "") &amp; IF(M311!$E$11=D$19,M311!$B$1 &amp; " ", "") &amp; IF(M411!$E$11=D$19,M411!$B$1 &amp; " ", ""))), " ", ",")</f>
        <v/>
      </c>
      <c r="E22" s="13">
        <f>SUBSTITUTE(TRIM((IF(D111!$E$11=E$19,D111!$B$1 &amp; " ", "") &amp; IF(D211!$E$11=E$19,D211!$B$1 &amp; " ", "") &amp; IF(D311!$E$11=E$19,D311!$B$1 &amp; " ", "") &amp; IF(D411!$E$11=E$19,D411!$B$1 &amp; " ", "") &amp; IF(C111!$E$11=E$19,C111!$B$1 &amp; " ", "") &amp; IF(C121!$E$11=E$19,C121!$B$1 &amp; " ", "") &amp; IF(C122!$E$11=E$19,C122!$B$1 &amp; " ", "") &amp; IF(C211!$E$11=E$19,C211!$B$1 &amp; " ", "") &amp; IF(C212!$E$11=E$19,C212!$B$1 &amp; " ", "") &amp; IF(C311!$E$11=E$19,C311!$B$1 &amp; " ", "") &amp; IF(C312!$E$11=E$19,C312!$B$1 &amp; " ", "") &amp; IF(C411!$E$11=E$19,C411!$B$1 &amp; " ", "") &amp; IF(C412!$E$11=E$19,C412!$B$1 &amp; " ", "") &amp; IF(M111!$E$11=E$19,M111!$B$1 &amp; " ", "") &amp; IF(M211!$E$11=E$19,M211!$B$1 &amp; " ", "") &amp; IF(M311!$E$11=E$19,M311!$B$1 &amp; " ", "") &amp; IF(M411!$E$11=E$19,M411!$B$1 &amp; " ", ""))), " ", ",")</f>
        <v/>
      </c>
      <c r="F22" s="13">
        <f>SUBSTITUTE(TRIM((IF(D111!$E$11=F$19,D111!$B$1 &amp; " ", "") &amp; IF(D211!$E$11=F$19,D211!$B$1 &amp; " ", "") &amp; IF(D311!$E$11=F$19,D311!$B$1 &amp; " ", "") &amp; IF(D411!$E$11=F$19,D411!$B$1 &amp; " ", "") &amp; IF(C111!$E$11=F$19,C111!$B$1 &amp; " ", "") &amp; IF(C121!$E$11=F$19,C121!$B$1 &amp; " ", "") &amp; IF(C122!$E$11=F$19,C122!$B$1 &amp; " ", "") &amp; IF(C211!$E$11=F$19,C211!$B$1 &amp; " ", "") &amp; IF(C212!$E$11=F$19,C212!$B$1 &amp; " ", "") &amp; IF(C311!$E$11=F$19,C311!$B$1 &amp; " ", "") &amp; IF(C312!$E$11=F$19,C312!$B$1 &amp; " ", "") &amp; IF(C411!$E$11=F$19,C411!$B$1 &amp; " ", "") &amp; IF(C412!$E$11=F$19,C412!$B$1 &amp; " ", "") &amp; IF(M111!$E$11=F$19,M111!$B$1 &amp; " ", "") &amp; IF(M211!$E$11=F$19,M211!$B$1 &amp; " ", "") &amp; IF(M311!$E$11=F$19,M311!$B$1 &amp; " ", "") &amp; IF(M411!$E$11=F$19,M411!$B$1 &amp; " ", ""))), " ", ",")</f>
        <v/>
      </c>
      <c r="G22" s="13">
        <f>SUBSTITUTE(TRIM((IF(D111!$E$11=G$19,D111!$B$1 &amp; " ", "") &amp; IF(D211!$E$11=G$19,D211!$B$1 &amp; " ", "") &amp; IF(D311!$E$11=G$19,D311!$B$1 &amp; " ", "") &amp; IF(D411!$E$11=G$19,D411!$B$1 &amp; " ", "") &amp; IF(C111!$E$11=G$19,C111!$B$1 &amp; " ", "") &amp; IF(C121!$E$11=G$19,C121!$B$1 &amp; " ", "") &amp; IF(C122!$E$11=G$19,C122!$B$1 &amp; " ", "") &amp; IF(C211!$E$11=G$19,C211!$B$1 &amp; " ", "") &amp; IF(C212!$E$11=G$19,C212!$B$1 &amp; " ", "") &amp; IF(C311!$E$11=G$19,C311!$B$1 &amp; " ", "") &amp; IF(C312!$E$11=G$19,C312!$B$1 &amp; " ", "") &amp; IF(C411!$E$11=G$19,C411!$B$1 &amp; " ", "") &amp; IF(C412!$E$11=G$19,C412!$B$1 &amp; " ", "") &amp; IF(M111!$E$11=G$19,M111!$B$1 &amp; " ", "") &amp; IF(M211!$E$11=G$19,M211!$B$1 &amp; " ", "") &amp; IF(M311!$E$11=G$19,M311!$B$1 &amp; " ", "") &amp; IF(M411!$E$11=G$19,M411!$B$1 &amp; " ", ""))), " ", ",")</f>
        <v/>
      </c>
      <c r="H22" s="13">
        <f>SUBSTITUTE(TRIM((IF(D111!$E$11=H$19,D111!$B$1 &amp; " ", "") &amp; IF(D211!$E$11=H$19,D211!$B$1 &amp; " ", "") &amp; IF(D311!$E$11=H$19,D311!$B$1 &amp; " ", "") &amp; IF(D411!$E$11=H$19,D411!$B$1 &amp; " ", "") &amp; IF(C111!$E$11=H$19,C111!$B$1 &amp; " ", "") &amp; IF(C121!$E$11=H$19,C121!$B$1 &amp; " ", "") &amp; IF(C122!$E$11=H$19,C122!$B$1 &amp; " ", "") &amp; IF(C211!$E$11=H$19,C211!$B$1 &amp; " ", "") &amp; IF(C212!$E$11=H$19,C212!$B$1 &amp; " ", "") &amp; IF(C311!$E$11=H$19,C311!$B$1 &amp; " ", "") &amp; IF(C312!$E$11=H$19,C312!$B$1 &amp; " ", "") &amp; IF(C411!$E$11=H$19,C411!$B$1 &amp; " ", "") &amp; IF(C412!$E$11=H$19,C412!$B$1 &amp; " ", "") &amp; IF(M111!$E$11=H$19,M111!$B$1 &amp; " ", "") &amp; IF(M211!$E$11=H$19,M211!$B$1 &amp; " ", "") &amp; IF(M311!$E$11=H$19,M311!$B$1 &amp; " ", "") &amp; IF(M411!$E$11=H$19,M411!$B$1 &amp; " ", ""))), " ", ",")</f>
        <v/>
      </c>
      <c r="I22" s="13">
        <f>SUBSTITUTE(TRIM((IF(D111!$E$11=I$19,D111!$B$1 &amp; " ", "") &amp; IF(D211!$E$11=I$19,D211!$B$1 &amp; " ", "") &amp; IF(D311!$E$11=I$19,D311!$B$1 &amp; " ", "") &amp; IF(D411!$E$11=I$19,D411!$B$1 &amp; " ", "") &amp; IF(C111!$E$11=I$19,C111!$B$1 &amp; " ", "") &amp; IF(C121!$E$11=I$19,C121!$B$1 &amp; " ", "") &amp; IF(C122!$E$11=I$19,C122!$B$1 &amp; " ", "") &amp; IF(C211!$E$11=I$19,C211!$B$1 &amp; " ", "") &amp; IF(C212!$E$11=I$19,C212!$B$1 &amp; " ", "") &amp; IF(C311!$E$11=I$19,C311!$B$1 &amp; " ", "") &amp; IF(C312!$E$11=I$19,C312!$B$1 &amp; " ", "") &amp; IF(C411!$E$11=I$19,C411!$B$1 &amp; " ", "") &amp; IF(C412!$E$11=I$19,C412!$B$1 &amp; " ", "") &amp; IF(M111!$E$11=I$19,M111!$B$1 &amp; " ", "") &amp; IF(M211!$E$11=I$19,M211!$B$1 &amp; " ", "") &amp; IF(M311!$E$11=I$19,M311!$B$1 &amp; " ", "") &amp; IF(M411!$E$11=I$19,M411!$B$1 &amp; " ", ""))), " ", ",")</f>
        <v/>
      </c>
      <c r="J22" s="13">
        <f>SUBSTITUTE(TRIM((IF(D111!$E$11=J$19,D111!$B$1 &amp; " ", "") &amp; IF(D211!$E$11=J$19,D211!$B$1 &amp; " ", "") &amp; IF(D311!$E$11=J$19,D311!$B$1 &amp; " ", "") &amp; IF(D411!$E$11=J$19,D411!$B$1 &amp; " ", "") &amp; IF(C111!$E$11=J$19,C111!$B$1 &amp; " ", "") &amp; IF(C121!$E$11=J$19,C121!$B$1 &amp; " ", "") &amp; IF(C122!$E$11=J$19,C122!$B$1 &amp; " ", "") &amp; IF(C211!$E$11=J$19,C211!$B$1 &amp; " ", "") &amp; IF(C212!$E$11=J$19,C212!$B$1 &amp; " ", "") &amp; IF(C311!$E$11=J$19,C311!$B$1 &amp; " ", "") &amp; IF(C312!$E$11=J$19,C312!$B$1 &amp; " ", "") &amp; IF(C411!$E$11=J$19,C411!$B$1 &amp; " ", "") &amp; IF(C412!$E$11=J$19,C412!$B$1 &amp; " ", "") &amp; IF(M111!$E$11=J$19,M111!$B$1 &amp; " ", "") &amp; IF(M211!$E$11=J$19,M211!$B$1 &amp; " ", "") &amp; IF(M311!$E$11=J$19,M311!$B$1 &amp; " ", "") &amp; IF(M411!$E$11=J$19,M411!$B$1 &amp; " ", ""))), " ", ",")</f>
        <v/>
      </c>
      <c r="K22" s="13">
        <f>SUBSTITUTE(TRIM((IF(D111!$E$11=K$19,D111!$B$1 &amp; " ", "") &amp; IF(D211!$E$11=K$19,D211!$B$1 &amp; " ", "") &amp; IF(D311!$E$11=K$19,D311!$B$1 &amp; " ", "") &amp; IF(D411!$E$11=K$19,D411!$B$1 &amp; " ", "") &amp; IF(C111!$E$11=K$19,C111!$B$1 &amp; " ", "") &amp; IF(C121!$E$11=K$19,C121!$B$1 &amp; " ", "") &amp; IF(C122!$E$11=K$19,C122!$B$1 &amp; " ", "") &amp; IF(C211!$E$11=K$19,C211!$B$1 &amp; " ", "") &amp; IF(C212!$E$11=K$19,C212!$B$1 &amp; " ", "") &amp; IF(C311!$E$11=K$19,C311!$B$1 &amp; " ", "") &amp; IF(C312!$E$11=K$19,C312!$B$1 &amp; " ", "") &amp; IF(C411!$E$11=K$19,C411!$B$1 &amp; " ", "") &amp; IF(C412!$E$11=K$19,C412!$B$1 &amp; " ", "") &amp; IF(M111!$E$11=K$19,M111!$B$1 &amp; " ", "") &amp; IF(M211!$E$11=K$19,M211!$B$1 &amp; " ", "") &amp; IF(M311!$E$11=K$19,M311!$B$1 &amp; " ", "") &amp; IF(M411!$E$11=K$19,M411!$B$1 &amp; " ", ""))), " ", ",")</f>
        <v/>
      </c>
      <c r="L22" s="13">
        <f>SUBSTITUTE(TRIM((IF(D111!$E$11=L$19,D111!$B$1 &amp; " ", "") &amp; IF(D211!$E$11=L$19,D211!$B$1 &amp; " ", "") &amp; IF(D311!$E$11=L$19,D311!$B$1 &amp; " ", "") &amp; IF(D411!$E$11=L$19,D411!$B$1 &amp; " ", "") &amp; IF(C111!$E$11=L$19,C111!$B$1 &amp; " ", "") &amp; IF(C121!$E$11=L$19,C121!$B$1 &amp; " ", "") &amp; IF(C122!$E$11=L$19,C122!$B$1 &amp; " ", "") &amp; IF(C211!$E$11=L$19,C211!$B$1 &amp; " ", "") &amp; IF(C212!$E$11=L$19,C212!$B$1 &amp; " ", "") &amp; IF(C311!$E$11=L$19,C311!$B$1 &amp; " ", "") &amp; IF(C312!$E$11=L$19,C312!$B$1 &amp; " ", "") &amp; IF(C411!$E$11=L$19,C411!$B$1 &amp; " ", "") &amp; IF(C412!$E$11=L$19,C412!$B$1 &amp; " ", "") &amp; IF(M111!$E$11=L$19,M111!$B$1 &amp; " ", "") &amp; IF(M211!$E$11=L$19,M211!$B$1 &amp; " ", "") &amp; IF(M311!$E$11=L$19,M311!$B$1 &amp; " ", "") &amp; IF(M411!$E$11=L$19,M411!$B$1 &amp; " ", ""))), " ", ",")</f>
        <v/>
      </c>
    </row>
    <row r="23">
      <c r="A23" t="inlineStr"/>
      <c r="B23" s="13" t="inlineStr">
        <is>
          <t>4to</t>
        </is>
      </c>
      <c r="C23" s="13">
        <f>SUBSTITUTE(TRIM((IF(D111!$E$14=C$19,D111!$B$1 &amp; " ", "") &amp; IF(D211!$E$14=C$19,D211!$B$1 &amp; " ", "") &amp; IF(D311!$E$14=C$19,D311!$B$1 &amp; " ", "") &amp; IF(D411!$E$14=C$19,D411!$B$1 &amp; " ", "") &amp; IF(C111!$E$14=C$19,C111!$B$1 &amp; " ", "") &amp; IF(C121!$E$14=C$19,C121!$B$1 &amp; " ", "") &amp; IF(C122!$E$14=C$19,C122!$B$1 &amp; " ", "") &amp; IF(C211!$E$14=C$19,C211!$B$1 &amp; " ", "") &amp; IF(C212!$E$14=C$19,C212!$B$1 &amp; " ", "") &amp; IF(C311!$E$14=C$19,C311!$B$1 &amp; " ", "") &amp; IF(C312!$E$14=C$19,C312!$B$1 &amp; " ", "") &amp; IF(C411!$E$14=C$19,C411!$B$1 &amp; " ", "") &amp; IF(C412!$E$14=C$19,C412!$B$1 &amp; " ", "") &amp; IF(M111!$E$14=C$19,M111!$B$1 &amp; " ", "") &amp; IF(M211!$E$14=C$19,M211!$B$1 &amp; " ", "") &amp; IF(M311!$E$14=C$19,M311!$B$1 &amp; " ", "") &amp; IF(M411!$E$14=C$19,M411!$B$1 &amp; " ", ""))), " ", ",")</f>
        <v/>
      </c>
      <c r="D23" s="13">
        <f>SUBSTITUTE(TRIM((IF(D111!$E$14=D$19,D111!$B$1 &amp; " ", "") &amp; IF(D211!$E$14=D$19,D211!$B$1 &amp; " ", "") &amp; IF(D311!$E$14=D$19,D311!$B$1 &amp; " ", "") &amp; IF(D411!$E$14=D$19,D411!$B$1 &amp; " ", "") &amp; IF(C111!$E$14=D$19,C111!$B$1 &amp; " ", "") &amp; IF(C121!$E$14=D$19,C121!$B$1 &amp; " ", "") &amp; IF(C122!$E$14=D$19,C122!$B$1 &amp; " ", "") &amp; IF(C211!$E$14=D$19,C211!$B$1 &amp; " ", "") &amp; IF(C212!$E$14=D$19,C212!$B$1 &amp; " ", "") &amp; IF(C311!$E$14=D$19,C311!$B$1 &amp; " ", "") &amp; IF(C312!$E$14=D$19,C312!$B$1 &amp; " ", "") &amp; IF(C411!$E$14=D$19,C411!$B$1 &amp; " ", "") &amp; IF(C412!$E$14=D$19,C412!$B$1 &amp; " ", "") &amp; IF(M111!$E$14=D$19,M111!$B$1 &amp; " ", "") &amp; IF(M211!$E$14=D$19,M211!$B$1 &amp; " ", "") &amp; IF(M311!$E$14=D$19,M311!$B$1 &amp; " ", "") &amp; IF(M411!$E$14=D$19,M411!$B$1 &amp; " ", ""))), " ", ",")</f>
        <v/>
      </c>
      <c r="E23" s="13">
        <f>SUBSTITUTE(TRIM((IF(D111!$E$14=E$19,D111!$B$1 &amp; " ", "") &amp; IF(D211!$E$14=E$19,D211!$B$1 &amp; " ", "") &amp; IF(D311!$E$14=E$19,D311!$B$1 &amp; " ", "") &amp; IF(D411!$E$14=E$19,D411!$B$1 &amp; " ", "") &amp; IF(C111!$E$14=E$19,C111!$B$1 &amp; " ", "") &amp; IF(C121!$E$14=E$19,C121!$B$1 &amp; " ", "") &amp; IF(C122!$E$14=E$19,C122!$B$1 &amp; " ", "") &amp; IF(C211!$E$14=E$19,C211!$B$1 &amp; " ", "") &amp; IF(C212!$E$14=E$19,C212!$B$1 &amp; " ", "") &amp; IF(C311!$E$14=E$19,C311!$B$1 &amp; " ", "") &amp; IF(C312!$E$14=E$19,C312!$B$1 &amp; " ", "") &amp; IF(C411!$E$14=E$19,C411!$B$1 &amp; " ", "") &amp; IF(C412!$E$14=E$19,C412!$B$1 &amp; " ", "") &amp; IF(M111!$E$14=E$19,M111!$B$1 &amp; " ", "") &amp; IF(M211!$E$14=E$19,M211!$B$1 &amp; " ", "") &amp; IF(M311!$E$14=E$19,M311!$B$1 &amp; " ", "") &amp; IF(M411!$E$14=E$19,M411!$B$1 &amp; " ", ""))), " ", ",")</f>
        <v/>
      </c>
      <c r="F23" s="13">
        <f>SUBSTITUTE(TRIM((IF(D111!$E$14=F$19,D111!$B$1 &amp; " ", "") &amp; IF(D211!$E$14=F$19,D211!$B$1 &amp; " ", "") &amp; IF(D311!$E$14=F$19,D311!$B$1 &amp; " ", "") &amp; IF(D411!$E$14=F$19,D411!$B$1 &amp; " ", "") &amp; IF(C111!$E$14=F$19,C111!$B$1 &amp; " ", "") &amp; IF(C121!$E$14=F$19,C121!$B$1 &amp; " ", "") &amp; IF(C122!$E$14=F$19,C122!$B$1 &amp; " ", "") &amp; IF(C211!$E$14=F$19,C211!$B$1 &amp; " ", "") &amp; IF(C212!$E$14=F$19,C212!$B$1 &amp; " ", "") &amp; IF(C311!$E$14=F$19,C311!$B$1 &amp; " ", "") &amp; IF(C312!$E$14=F$19,C312!$B$1 &amp; " ", "") &amp; IF(C411!$E$14=F$19,C411!$B$1 &amp; " ", "") &amp; IF(C412!$E$14=F$19,C412!$B$1 &amp; " ", "") &amp; IF(M111!$E$14=F$19,M111!$B$1 &amp; " ", "") &amp; IF(M211!$E$14=F$19,M211!$B$1 &amp; " ", "") &amp; IF(M311!$E$14=F$19,M311!$B$1 &amp; " ", "") &amp; IF(M411!$E$14=F$19,M411!$B$1 &amp; " ", ""))), " ", ",")</f>
        <v/>
      </c>
      <c r="G23" s="13">
        <f>SUBSTITUTE(TRIM((IF(D111!$E$14=G$19,D111!$B$1 &amp; " ", "") &amp; IF(D211!$E$14=G$19,D211!$B$1 &amp; " ", "") &amp; IF(D311!$E$14=G$19,D311!$B$1 &amp; " ", "") &amp; IF(D411!$E$14=G$19,D411!$B$1 &amp; " ", "") &amp; IF(C111!$E$14=G$19,C111!$B$1 &amp; " ", "") &amp; IF(C121!$E$14=G$19,C121!$B$1 &amp; " ", "") &amp; IF(C122!$E$14=G$19,C122!$B$1 &amp; " ", "") &amp; IF(C211!$E$14=G$19,C211!$B$1 &amp; " ", "") &amp; IF(C212!$E$14=G$19,C212!$B$1 &amp; " ", "") &amp; IF(C311!$E$14=G$19,C311!$B$1 &amp; " ", "") &amp; IF(C312!$E$14=G$19,C312!$B$1 &amp; " ", "") &amp; IF(C411!$E$14=G$19,C411!$B$1 &amp; " ", "") &amp; IF(C412!$E$14=G$19,C412!$B$1 &amp; " ", "") &amp; IF(M111!$E$14=G$19,M111!$B$1 &amp; " ", "") &amp; IF(M211!$E$14=G$19,M211!$B$1 &amp; " ", "") &amp; IF(M311!$E$14=G$19,M311!$B$1 &amp; " ", "") &amp; IF(M411!$E$14=G$19,M411!$B$1 &amp; " ", ""))), " ", ",")</f>
        <v/>
      </c>
      <c r="H23" s="13">
        <f>SUBSTITUTE(TRIM((IF(D111!$E$14=H$19,D111!$B$1 &amp; " ", "") &amp; IF(D211!$E$14=H$19,D211!$B$1 &amp; " ", "") &amp; IF(D311!$E$14=H$19,D311!$B$1 &amp; " ", "") &amp; IF(D411!$E$14=H$19,D411!$B$1 &amp; " ", "") &amp; IF(C111!$E$14=H$19,C111!$B$1 &amp; " ", "") &amp; IF(C121!$E$14=H$19,C121!$B$1 &amp; " ", "") &amp; IF(C122!$E$14=H$19,C122!$B$1 &amp; " ", "") &amp; IF(C211!$E$14=H$19,C211!$B$1 &amp; " ", "") &amp; IF(C212!$E$14=H$19,C212!$B$1 &amp; " ", "") &amp; IF(C311!$E$14=H$19,C311!$B$1 &amp; " ", "") &amp; IF(C312!$E$14=H$19,C312!$B$1 &amp; " ", "") &amp; IF(C411!$E$14=H$19,C411!$B$1 &amp; " ", "") &amp; IF(C412!$E$14=H$19,C412!$B$1 &amp; " ", "") &amp; IF(M111!$E$14=H$19,M111!$B$1 &amp; " ", "") &amp; IF(M211!$E$14=H$19,M211!$B$1 &amp; " ", "") &amp; IF(M311!$E$14=H$19,M311!$B$1 &amp; " ", "") &amp; IF(M411!$E$14=H$19,M411!$B$1 &amp; " ", ""))), " ", ",")</f>
        <v/>
      </c>
      <c r="I23" s="13">
        <f>SUBSTITUTE(TRIM((IF(D111!$E$14=I$19,D111!$B$1 &amp; " ", "") &amp; IF(D211!$E$14=I$19,D211!$B$1 &amp; " ", "") &amp; IF(D311!$E$14=I$19,D311!$B$1 &amp; " ", "") &amp; IF(D411!$E$14=I$19,D411!$B$1 &amp; " ", "") &amp; IF(C111!$E$14=I$19,C111!$B$1 &amp; " ", "") &amp; IF(C121!$E$14=I$19,C121!$B$1 &amp; " ", "") &amp; IF(C122!$E$14=I$19,C122!$B$1 &amp; " ", "") &amp; IF(C211!$E$14=I$19,C211!$B$1 &amp; " ", "") &amp; IF(C212!$E$14=I$19,C212!$B$1 &amp; " ", "") &amp; IF(C311!$E$14=I$19,C311!$B$1 &amp; " ", "") &amp; IF(C312!$E$14=I$19,C312!$B$1 &amp; " ", "") &amp; IF(C411!$E$14=I$19,C411!$B$1 &amp; " ", "") &amp; IF(C412!$E$14=I$19,C412!$B$1 &amp; " ", "") &amp; IF(M111!$E$14=I$19,M111!$B$1 &amp; " ", "") &amp; IF(M211!$E$14=I$19,M211!$B$1 &amp; " ", "") &amp; IF(M311!$E$14=I$19,M311!$B$1 &amp; " ", "") &amp; IF(M411!$E$14=I$19,M411!$B$1 &amp; " ", ""))), " ", ",")</f>
        <v/>
      </c>
      <c r="J23" s="13">
        <f>SUBSTITUTE(TRIM((IF(D111!$E$14=J$19,D111!$B$1 &amp; " ", "") &amp; IF(D211!$E$14=J$19,D211!$B$1 &amp; " ", "") &amp; IF(D311!$E$14=J$19,D311!$B$1 &amp; " ", "") &amp; IF(D411!$E$14=J$19,D411!$B$1 &amp; " ", "") &amp; IF(C111!$E$14=J$19,C111!$B$1 &amp; " ", "") &amp; IF(C121!$E$14=J$19,C121!$B$1 &amp; " ", "") &amp; IF(C122!$E$14=J$19,C122!$B$1 &amp; " ", "") &amp; IF(C211!$E$14=J$19,C211!$B$1 &amp; " ", "") &amp; IF(C212!$E$14=J$19,C212!$B$1 &amp; " ", "") &amp; IF(C311!$E$14=J$19,C311!$B$1 &amp; " ", "") &amp; IF(C312!$E$14=J$19,C312!$B$1 &amp; " ", "") &amp; IF(C411!$E$14=J$19,C411!$B$1 &amp; " ", "") &amp; IF(C412!$E$14=J$19,C412!$B$1 &amp; " ", "") &amp; IF(M111!$E$14=J$19,M111!$B$1 &amp; " ", "") &amp; IF(M211!$E$14=J$19,M211!$B$1 &amp; " ", "") &amp; IF(M311!$E$14=J$19,M311!$B$1 &amp; " ", "") &amp; IF(M411!$E$14=J$19,M411!$B$1 &amp; " ", ""))), " ", ",")</f>
        <v/>
      </c>
      <c r="K23" s="13">
        <f>SUBSTITUTE(TRIM((IF(D111!$E$14=K$19,D111!$B$1 &amp; " ", "") &amp; IF(D211!$E$14=K$19,D211!$B$1 &amp; " ", "") &amp; IF(D311!$E$14=K$19,D311!$B$1 &amp; " ", "") &amp; IF(D411!$E$14=K$19,D411!$B$1 &amp; " ", "") &amp; IF(C111!$E$14=K$19,C111!$B$1 &amp; " ", "") &amp; IF(C121!$E$14=K$19,C121!$B$1 &amp; " ", "") &amp; IF(C122!$E$14=K$19,C122!$B$1 &amp; " ", "") &amp; IF(C211!$E$14=K$19,C211!$B$1 &amp; " ", "") &amp; IF(C212!$E$14=K$19,C212!$B$1 &amp; " ", "") &amp; IF(C311!$E$14=K$19,C311!$B$1 &amp; " ", "") &amp; IF(C312!$E$14=K$19,C312!$B$1 &amp; " ", "") &amp; IF(C411!$E$14=K$19,C411!$B$1 &amp; " ", "") &amp; IF(C412!$E$14=K$19,C412!$B$1 &amp; " ", "") &amp; IF(M111!$E$14=K$19,M111!$B$1 &amp; " ", "") &amp; IF(M211!$E$14=K$19,M211!$B$1 &amp; " ", "") &amp; IF(M311!$E$14=K$19,M311!$B$1 &amp; " ", "") &amp; IF(M411!$E$14=K$19,M411!$B$1 &amp; " ", ""))), " ", ",")</f>
        <v/>
      </c>
      <c r="L23" s="13">
        <f>SUBSTITUTE(TRIM((IF(D111!$E$14=L$19,D111!$B$1 &amp; " ", "") &amp; IF(D211!$E$14=L$19,D211!$B$1 &amp; " ", "") &amp; IF(D311!$E$14=L$19,D311!$B$1 &amp; " ", "") &amp; IF(D411!$E$14=L$19,D411!$B$1 &amp; " ", "") &amp; IF(C111!$E$14=L$19,C111!$B$1 &amp; " ", "") &amp; IF(C121!$E$14=L$19,C121!$B$1 &amp; " ", "") &amp; IF(C122!$E$14=L$19,C122!$B$1 &amp; " ", "") &amp; IF(C211!$E$14=L$19,C211!$B$1 &amp; " ", "") &amp; IF(C212!$E$14=L$19,C212!$B$1 &amp; " ", "") &amp; IF(C311!$E$14=L$19,C311!$B$1 &amp; " ", "") &amp; IF(C312!$E$14=L$19,C312!$B$1 &amp; " ", "") &amp; IF(C411!$E$14=L$19,C411!$B$1 &amp; " ", "") &amp; IF(C412!$E$14=L$19,C412!$B$1 &amp; " ", "") &amp; IF(M111!$E$14=L$19,M111!$B$1 &amp; " ", "") &amp; IF(M211!$E$14=L$19,M211!$B$1 &amp; " ", "") &amp; IF(M311!$E$14=L$19,M311!$B$1 &amp; " ", "") &amp; IF(M411!$E$14=L$19,M411!$B$1 &amp; " ", ""))), " ", ",")</f>
        <v/>
      </c>
    </row>
    <row r="24">
      <c r="A24" t="inlineStr"/>
      <c r="B24" s="13" t="inlineStr">
        <is>
          <t>5to</t>
        </is>
      </c>
      <c r="C24" s="13">
        <f>SUBSTITUTE(TRIM((IF(D111!$E$17=C$19,D111!$B$1 &amp; " ", "") &amp; IF(D211!$E$17=C$19,D211!$B$1 &amp; " ", "") &amp; IF(D311!$E$17=C$19,D311!$B$1 &amp; " ", "") &amp; IF(D411!$E$17=C$19,D411!$B$1 &amp; " ", "") &amp; IF(C111!$E$17=C$19,C111!$B$1 &amp; " ", "") &amp; IF(C121!$E$17=C$19,C121!$B$1 &amp; " ", "") &amp; IF(C122!$E$17=C$19,C122!$B$1 &amp; " ", "") &amp; IF(C211!$E$17=C$19,C211!$B$1 &amp; " ", "") &amp; IF(C212!$E$17=C$19,C212!$B$1 &amp; " ", "") &amp; IF(C311!$E$17=C$19,C311!$B$1 &amp; " ", "") &amp; IF(C312!$E$17=C$19,C312!$B$1 &amp; " ", "") &amp; IF(C411!$E$17=C$19,C411!$B$1 &amp; " ", "") &amp; IF(C412!$E$17=C$19,C412!$B$1 &amp; " ", "") &amp; IF(M111!$E$17=C$19,M111!$B$1 &amp; " ", "") &amp; IF(M211!$E$17=C$19,M211!$B$1 &amp; " ", "") &amp; IF(M311!$E$17=C$19,M311!$B$1 &amp; " ", "") &amp; IF(M411!$E$17=C$19,M411!$B$1 &amp; " ", ""))), " ", ",")</f>
        <v/>
      </c>
      <c r="D24" s="13">
        <f>SUBSTITUTE(TRIM((IF(D111!$E$17=D$19,D111!$B$1 &amp; " ", "") &amp; IF(D211!$E$17=D$19,D211!$B$1 &amp; " ", "") &amp; IF(D311!$E$17=D$19,D311!$B$1 &amp; " ", "") &amp; IF(D411!$E$17=D$19,D411!$B$1 &amp; " ", "") &amp; IF(C111!$E$17=D$19,C111!$B$1 &amp; " ", "") &amp; IF(C121!$E$17=D$19,C121!$B$1 &amp; " ", "") &amp; IF(C122!$E$17=D$19,C122!$B$1 &amp; " ", "") &amp; IF(C211!$E$17=D$19,C211!$B$1 &amp; " ", "") &amp; IF(C212!$E$17=D$19,C212!$B$1 &amp; " ", "") &amp; IF(C311!$E$17=D$19,C311!$B$1 &amp; " ", "") &amp; IF(C312!$E$17=D$19,C312!$B$1 &amp; " ", "") &amp; IF(C411!$E$17=D$19,C411!$B$1 &amp; " ", "") &amp; IF(C412!$E$17=D$19,C412!$B$1 &amp; " ", "") &amp; IF(M111!$E$17=D$19,M111!$B$1 &amp; " ", "") &amp; IF(M211!$E$17=D$19,M211!$B$1 &amp; " ", "") &amp; IF(M311!$E$17=D$19,M311!$B$1 &amp; " ", "") &amp; IF(M411!$E$17=D$19,M411!$B$1 &amp; " ", ""))), " ", ",")</f>
        <v/>
      </c>
      <c r="E24" s="13">
        <f>SUBSTITUTE(TRIM((IF(D111!$E$17=E$19,D111!$B$1 &amp; " ", "") &amp; IF(D211!$E$17=E$19,D211!$B$1 &amp; " ", "") &amp; IF(D311!$E$17=E$19,D311!$B$1 &amp; " ", "") &amp; IF(D411!$E$17=E$19,D411!$B$1 &amp; " ", "") &amp; IF(C111!$E$17=E$19,C111!$B$1 &amp; " ", "") &amp; IF(C121!$E$17=E$19,C121!$B$1 &amp; " ", "") &amp; IF(C122!$E$17=E$19,C122!$B$1 &amp; " ", "") &amp; IF(C211!$E$17=E$19,C211!$B$1 &amp; " ", "") &amp; IF(C212!$E$17=E$19,C212!$B$1 &amp; " ", "") &amp; IF(C311!$E$17=E$19,C311!$B$1 &amp; " ", "") &amp; IF(C312!$E$17=E$19,C312!$B$1 &amp; " ", "") &amp; IF(C411!$E$17=E$19,C411!$B$1 &amp; " ", "") &amp; IF(C412!$E$17=E$19,C412!$B$1 &amp; " ", "") &amp; IF(M111!$E$17=E$19,M111!$B$1 &amp; " ", "") &amp; IF(M211!$E$17=E$19,M211!$B$1 &amp; " ", "") &amp; IF(M311!$E$17=E$19,M311!$B$1 &amp; " ", "") &amp; IF(M411!$E$17=E$19,M411!$B$1 &amp; " ", ""))), " ", ",")</f>
        <v/>
      </c>
      <c r="F24" s="13">
        <f>SUBSTITUTE(TRIM((IF(D111!$E$17=F$19,D111!$B$1 &amp; " ", "") &amp; IF(D211!$E$17=F$19,D211!$B$1 &amp; " ", "") &amp; IF(D311!$E$17=F$19,D311!$B$1 &amp; " ", "") &amp; IF(D411!$E$17=F$19,D411!$B$1 &amp; " ", "") &amp; IF(C111!$E$17=F$19,C111!$B$1 &amp; " ", "") &amp; IF(C121!$E$17=F$19,C121!$B$1 &amp; " ", "") &amp; IF(C122!$E$17=F$19,C122!$B$1 &amp; " ", "") &amp; IF(C211!$E$17=F$19,C211!$B$1 &amp; " ", "") &amp; IF(C212!$E$17=F$19,C212!$B$1 &amp; " ", "") &amp; IF(C311!$E$17=F$19,C311!$B$1 &amp; " ", "") &amp; IF(C312!$E$17=F$19,C312!$B$1 &amp; " ", "") &amp; IF(C411!$E$17=F$19,C411!$B$1 &amp; " ", "") &amp; IF(C412!$E$17=F$19,C412!$B$1 &amp; " ", "") &amp; IF(M111!$E$17=F$19,M111!$B$1 &amp; " ", "") &amp; IF(M211!$E$17=F$19,M211!$B$1 &amp; " ", "") &amp; IF(M311!$E$17=F$19,M311!$B$1 &amp; " ", "") &amp; IF(M411!$E$17=F$19,M411!$B$1 &amp; " ", ""))), " ", ",")</f>
        <v/>
      </c>
      <c r="G24" s="13">
        <f>SUBSTITUTE(TRIM((IF(D111!$E$17=G$19,D111!$B$1 &amp; " ", "") &amp; IF(D211!$E$17=G$19,D211!$B$1 &amp; " ", "") &amp; IF(D311!$E$17=G$19,D311!$B$1 &amp; " ", "") &amp; IF(D411!$E$17=G$19,D411!$B$1 &amp; " ", "") &amp; IF(C111!$E$17=G$19,C111!$B$1 &amp; " ", "") &amp; IF(C121!$E$17=G$19,C121!$B$1 &amp; " ", "") &amp; IF(C122!$E$17=G$19,C122!$B$1 &amp; " ", "") &amp; IF(C211!$E$17=G$19,C211!$B$1 &amp; " ", "") &amp; IF(C212!$E$17=G$19,C212!$B$1 &amp; " ", "") &amp; IF(C311!$E$17=G$19,C311!$B$1 &amp; " ", "") &amp; IF(C312!$E$17=G$19,C312!$B$1 &amp; " ", "") &amp; IF(C411!$E$17=G$19,C411!$B$1 &amp; " ", "") &amp; IF(C412!$E$17=G$19,C412!$B$1 &amp; " ", "") &amp; IF(M111!$E$17=G$19,M111!$B$1 &amp; " ", "") &amp; IF(M211!$E$17=G$19,M211!$B$1 &amp; " ", "") &amp; IF(M311!$E$17=G$19,M311!$B$1 &amp; " ", "") &amp; IF(M411!$E$17=G$19,M411!$B$1 &amp; " ", ""))), " ", ",")</f>
        <v/>
      </c>
      <c r="H24" s="13">
        <f>SUBSTITUTE(TRIM((IF(D111!$E$17=H$19,D111!$B$1 &amp; " ", "") &amp; IF(D211!$E$17=H$19,D211!$B$1 &amp; " ", "") &amp; IF(D311!$E$17=H$19,D311!$B$1 &amp; " ", "") &amp; IF(D411!$E$17=H$19,D411!$B$1 &amp; " ", "") &amp; IF(C111!$E$17=H$19,C111!$B$1 &amp; " ", "") &amp; IF(C121!$E$17=H$19,C121!$B$1 &amp; " ", "") &amp; IF(C122!$E$17=H$19,C122!$B$1 &amp; " ", "") &amp; IF(C211!$E$17=H$19,C211!$B$1 &amp; " ", "") &amp; IF(C212!$E$17=H$19,C212!$B$1 &amp; " ", "") &amp; IF(C311!$E$17=H$19,C311!$B$1 &amp; " ", "") &amp; IF(C312!$E$17=H$19,C312!$B$1 &amp; " ", "") &amp; IF(C411!$E$17=H$19,C411!$B$1 &amp; " ", "") &amp; IF(C412!$E$17=H$19,C412!$B$1 &amp; " ", "") &amp; IF(M111!$E$17=H$19,M111!$B$1 &amp; " ", "") &amp; IF(M211!$E$17=H$19,M211!$B$1 &amp; " ", "") &amp; IF(M311!$E$17=H$19,M311!$B$1 &amp; " ", "") &amp; IF(M411!$E$17=H$19,M411!$B$1 &amp; " ", ""))), " ", ",")</f>
        <v/>
      </c>
      <c r="I24" s="13">
        <f>SUBSTITUTE(TRIM((IF(D111!$E$17=I$19,D111!$B$1 &amp; " ", "") &amp; IF(D211!$E$17=I$19,D211!$B$1 &amp; " ", "") &amp; IF(D311!$E$17=I$19,D311!$B$1 &amp; " ", "") &amp; IF(D411!$E$17=I$19,D411!$B$1 &amp; " ", "") &amp; IF(C111!$E$17=I$19,C111!$B$1 &amp; " ", "") &amp; IF(C121!$E$17=I$19,C121!$B$1 &amp; " ", "") &amp; IF(C122!$E$17=I$19,C122!$B$1 &amp; " ", "") &amp; IF(C211!$E$17=I$19,C211!$B$1 &amp; " ", "") &amp; IF(C212!$E$17=I$19,C212!$B$1 &amp; " ", "") &amp; IF(C311!$E$17=I$19,C311!$B$1 &amp; " ", "") &amp; IF(C312!$E$17=I$19,C312!$B$1 &amp; " ", "") &amp; IF(C411!$E$17=I$19,C411!$B$1 &amp; " ", "") &amp; IF(C412!$E$17=I$19,C412!$B$1 &amp; " ", "") &amp; IF(M111!$E$17=I$19,M111!$B$1 &amp; " ", "") &amp; IF(M211!$E$17=I$19,M211!$B$1 &amp; " ", "") &amp; IF(M311!$E$17=I$19,M311!$B$1 &amp; " ", "") &amp; IF(M411!$E$17=I$19,M411!$B$1 &amp; " ", ""))), " ", ",")</f>
        <v/>
      </c>
      <c r="J24" s="13">
        <f>SUBSTITUTE(TRIM((IF(D111!$E$17=J$19,D111!$B$1 &amp; " ", "") &amp; IF(D211!$E$17=J$19,D211!$B$1 &amp; " ", "") &amp; IF(D311!$E$17=J$19,D311!$B$1 &amp; " ", "") &amp; IF(D411!$E$17=J$19,D411!$B$1 &amp; " ", "") &amp; IF(C111!$E$17=J$19,C111!$B$1 &amp; " ", "") &amp; IF(C121!$E$17=J$19,C121!$B$1 &amp; " ", "") &amp; IF(C122!$E$17=J$19,C122!$B$1 &amp; " ", "") &amp; IF(C211!$E$17=J$19,C211!$B$1 &amp; " ", "") &amp; IF(C212!$E$17=J$19,C212!$B$1 &amp; " ", "") &amp; IF(C311!$E$17=J$19,C311!$B$1 &amp; " ", "") &amp; IF(C312!$E$17=J$19,C312!$B$1 &amp; " ", "") &amp; IF(C411!$E$17=J$19,C411!$B$1 &amp; " ", "") &amp; IF(C412!$E$17=J$19,C412!$B$1 &amp; " ", "") &amp; IF(M111!$E$17=J$19,M111!$B$1 &amp; " ", "") &amp; IF(M211!$E$17=J$19,M211!$B$1 &amp; " ", "") &amp; IF(M311!$E$17=J$19,M311!$B$1 &amp; " ", "") &amp; IF(M411!$E$17=J$19,M411!$B$1 &amp; " ", ""))), " ", ",")</f>
        <v/>
      </c>
      <c r="K24" s="13">
        <f>SUBSTITUTE(TRIM((IF(D111!$E$17=K$19,D111!$B$1 &amp; " ", "") &amp; IF(D211!$E$17=K$19,D211!$B$1 &amp; " ", "") &amp; IF(D311!$E$17=K$19,D311!$B$1 &amp; " ", "") &amp; IF(D411!$E$17=K$19,D411!$B$1 &amp; " ", "") &amp; IF(C111!$E$17=K$19,C111!$B$1 &amp; " ", "") &amp; IF(C121!$E$17=K$19,C121!$B$1 &amp; " ", "") &amp; IF(C122!$E$17=K$19,C122!$B$1 &amp; " ", "") &amp; IF(C211!$E$17=K$19,C211!$B$1 &amp; " ", "") &amp; IF(C212!$E$17=K$19,C212!$B$1 &amp; " ", "") &amp; IF(C311!$E$17=K$19,C311!$B$1 &amp; " ", "") &amp; IF(C312!$E$17=K$19,C312!$B$1 &amp; " ", "") &amp; IF(C411!$E$17=K$19,C411!$B$1 &amp; " ", "") &amp; IF(C412!$E$17=K$19,C412!$B$1 &amp; " ", "") &amp; IF(M111!$E$17=K$19,M111!$B$1 &amp; " ", "") &amp; IF(M211!$E$17=K$19,M211!$B$1 &amp; " ", "") &amp; IF(M311!$E$17=K$19,M311!$B$1 &amp; " ", "") &amp; IF(M411!$E$17=K$19,M411!$B$1 &amp; " ", ""))), " ", ",")</f>
        <v/>
      </c>
      <c r="L24" s="13">
        <f>SUBSTITUTE(TRIM((IF(D111!$E$17=L$19,D111!$B$1 &amp; " ", "") &amp; IF(D211!$E$17=L$19,D211!$B$1 &amp; " ", "") &amp; IF(D311!$E$17=L$19,D311!$B$1 &amp; " ", "") &amp; IF(D411!$E$17=L$19,D411!$B$1 &amp; " ", "") &amp; IF(C111!$E$17=L$19,C111!$B$1 &amp; " ", "") &amp; IF(C121!$E$17=L$19,C121!$B$1 &amp; " ", "") &amp; IF(C122!$E$17=L$19,C122!$B$1 &amp; " ", "") &amp; IF(C211!$E$17=L$19,C211!$B$1 &amp; " ", "") &amp; IF(C212!$E$17=L$19,C212!$B$1 &amp; " ", "") &amp; IF(C311!$E$17=L$19,C311!$B$1 &amp; " ", "") &amp; IF(C312!$E$17=L$19,C312!$B$1 &amp; " ", "") &amp; IF(C411!$E$17=L$19,C411!$B$1 &amp; " ", "") &amp; IF(C412!$E$17=L$19,C412!$B$1 &amp; " ", "") &amp; IF(M111!$E$17=L$19,M111!$B$1 &amp; " ", "") &amp; IF(M211!$E$17=L$19,M211!$B$1 &amp; " ", "") &amp; IF(M311!$E$17=L$19,M311!$B$1 &amp; " ", "") &amp; IF(M411!$E$17=L$19,M411!$B$1 &amp; " ", ""))), " ", ",")</f>
        <v/>
      </c>
    </row>
    <row r="25">
      <c r="A25" t="inlineStr"/>
      <c r="B25" s="13" t="inlineStr">
        <is>
          <t>6to</t>
        </is>
      </c>
      <c r="C25" s="13">
        <f>SUBSTITUTE(TRIM((IF(D111!$E$20=C$19,D111!$B$1 &amp; " ", "") &amp; IF(D211!$E$20=C$19,D211!$B$1 &amp; " ", "") &amp; IF(D311!$E$20=C$19,D311!$B$1 &amp; " ", "") &amp; IF(D411!$E$20=C$19,D411!$B$1 &amp; " ", "") &amp; IF(C111!$E$20=C$19,C111!$B$1 &amp; " ", "") &amp; IF(C121!$E$20=C$19,C121!$B$1 &amp; " ", "") &amp; IF(C122!$E$20=C$19,C122!$B$1 &amp; " ", "") &amp; IF(C211!$E$20=C$19,C211!$B$1 &amp; " ", "") &amp; IF(C212!$E$20=C$19,C212!$B$1 &amp; " ", "") &amp; IF(C311!$E$20=C$19,C311!$B$1 &amp; " ", "") &amp; IF(C312!$E$20=C$19,C312!$B$1 &amp; " ", "") &amp; IF(C411!$E$20=C$19,C411!$B$1 &amp; " ", "") &amp; IF(C412!$E$20=C$19,C412!$B$1 &amp; " ", "") &amp; IF(M111!$E$20=C$19,M111!$B$1 &amp; " ", "") &amp; IF(M211!$E$20=C$19,M211!$B$1 &amp; " ", "") &amp; IF(M311!$E$20=C$19,M311!$B$1 &amp; " ", "") &amp; IF(M411!$E$20=C$19,M411!$B$1 &amp; " ", ""))), " ", ",")</f>
        <v/>
      </c>
      <c r="D25" s="13">
        <f>SUBSTITUTE(TRIM((IF(D111!$E$20=D$19,D111!$B$1 &amp; " ", "") &amp; IF(D211!$E$20=D$19,D211!$B$1 &amp; " ", "") &amp; IF(D311!$E$20=D$19,D311!$B$1 &amp; " ", "") &amp; IF(D411!$E$20=D$19,D411!$B$1 &amp; " ", "") &amp; IF(C111!$E$20=D$19,C111!$B$1 &amp; " ", "") &amp; IF(C121!$E$20=D$19,C121!$B$1 &amp; " ", "") &amp; IF(C122!$E$20=D$19,C122!$B$1 &amp; " ", "") &amp; IF(C211!$E$20=D$19,C211!$B$1 &amp; " ", "") &amp; IF(C212!$E$20=D$19,C212!$B$1 &amp; " ", "") &amp; IF(C311!$E$20=D$19,C311!$B$1 &amp; " ", "") &amp; IF(C312!$E$20=D$19,C312!$B$1 &amp; " ", "") &amp; IF(C411!$E$20=D$19,C411!$B$1 &amp; " ", "") &amp; IF(C412!$E$20=D$19,C412!$B$1 &amp; " ", "") &amp; IF(M111!$E$20=D$19,M111!$B$1 &amp; " ", "") &amp; IF(M211!$E$20=D$19,M211!$B$1 &amp; " ", "") &amp; IF(M311!$E$20=D$19,M311!$B$1 &amp; " ", "") &amp; IF(M411!$E$20=D$19,M411!$B$1 &amp; " ", ""))), " ", ",")</f>
        <v/>
      </c>
      <c r="E25" s="13">
        <f>SUBSTITUTE(TRIM((IF(D111!$E$20=E$19,D111!$B$1 &amp; " ", "") &amp; IF(D211!$E$20=E$19,D211!$B$1 &amp; " ", "") &amp; IF(D311!$E$20=E$19,D311!$B$1 &amp; " ", "") &amp; IF(D411!$E$20=E$19,D411!$B$1 &amp; " ", "") &amp; IF(C111!$E$20=E$19,C111!$B$1 &amp; " ", "") &amp; IF(C121!$E$20=E$19,C121!$B$1 &amp; " ", "") &amp; IF(C122!$E$20=E$19,C122!$B$1 &amp; " ", "") &amp; IF(C211!$E$20=E$19,C211!$B$1 &amp; " ", "") &amp; IF(C212!$E$20=E$19,C212!$B$1 &amp; " ", "") &amp; IF(C311!$E$20=E$19,C311!$B$1 &amp; " ", "") &amp; IF(C312!$E$20=E$19,C312!$B$1 &amp; " ", "") &amp; IF(C411!$E$20=E$19,C411!$B$1 &amp; " ", "") &amp; IF(C412!$E$20=E$19,C412!$B$1 &amp; " ", "") &amp; IF(M111!$E$20=E$19,M111!$B$1 &amp; " ", "") &amp; IF(M211!$E$20=E$19,M211!$B$1 &amp; " ", "") &amp; IF(M311!$E$20=E$19,M311!$B$1 &amp; " ", "") &amp; IF(M411!$E$20=E$19,M411!$B$1 &amp; " ", ""))), " ", ",")</f>
        <v/>
      </c>
      <c r="F25" s="13">
        <f>SUBSTITUTE(TRIM((IF(D111!$E$20=F$19,D111!$B$1 &amp; " ", "") &amp; IF(D211!$E$20=F$19,D211!$B$1 &amp; " ", "") &amp; IF(D311!$E$20=F$19,D311!$B$1 &amp; " ", "") &amp; IF(D411!$E$20=F$19,D411!$B$1 &amp; " ", "") &amp; IF(C111!$E$20=F$19,C111!$B$1 &amp; " ", "") &amp; IF(C121!$E$20=F$19,C121!$B$1 &amp; " ", "") &amp; IF(C122!$E$20=F$19,C122!$B$1 &amp; " ", "") &amp; IF(C211!$E$20=F$19,C211!$B$1 &amp; " ", "") &amp; IF(C212!$E$20=F$19,C212!$B$1 &amp; " ", "") &amp; IF(C311!$E$20=F$19,C311!$B$1 &amp; " ", "") &amp; IF(C312!$E$20=F$19,C312!$B$1 &amp; " ", "") &amp; IF(C411!$E$20=F$19,C411!$B$1 &amp; " ", "") &amp; IF(C412!$E$20=F$19,C412!$B$1 &amp; " ", "") &amp; IF(M111!$E$20=F$19,M111!$B$1 &amp; " ", "") &amp; IF(M211!$E$20=F$19,M211!$B$1 &amp; " ", "") &amp; IF(M311!$E$20=F$19,M311!$B$1 &amp; " ", "") &amp; IF(M411!$E$20=F$19,M411!$B$1 &amp; " ", ""))), " ", ",")</f>
        <v/>
      </c>
      <c r="G25" s="13">
        <f>SUBSTITUTE(TRIM((IF(D111!$E$20=G$19,D111!$B$1 &amp; " ", "") &amp; IF(D211!$E$20=G$19,D211!$B$1 &amp; " ", "") &amp; IF(D311!$E$20=G$19,D311!$B$1 &amp; " ", "") &amp; IF(D411!$E$20=G$19,D411!$B$1 &amp; " ", "") &amp; IF(C111!$E$20=G$19,C111!$B$1 &amp; " ", "") &amp; IF(C121!$E$20=G$19,C121!$B$1 &amp; " ", "") &amp; IF(C122!$E$20=G$19,C122!$B$1 &amp; " ", "") &amp; IF(C211!$E$20=G$19,C211!$B$1 &amp; " ", "") &amp; IF(C212!$E$20=G$19,C212!$B$1 &amp; " ", "") &amp; IF(C311!$E$20=G$19,C311!$B$1 &amp; " ", "") &amp; IF(C312!$E$20=G$19,C312!$B$1 &amp; " ", "") &amp; IF(C411!$E$20=G$19,C411!$B$1 &amp; " ", "") &amp; IF(C412!$E$20=G$19,C412!$B$1 &amp; " ", "") &amp; IF(M111!$E$20=G$19,M111!$B$1 &amp; " ", "") &amp; IF(M211!$E$20=G$19,M211!$B$1 &amp; " ", "") &amp; IF(M311!$E$20=G$19,M311!$B$1 &amp; " ", "") &amp; IF(M411!$E$20=G$19,M411!$B$1 &amp; " ", ""))), " ", ",")</f>
        <v/>
      </c>
      <c r="H25" s="13">
        <f>SUBSTITUTE(TRIM((IF(D111!$E$20=H$19,D111!$B$1 &amp; " ", "") &amp; IF(D211!$E$20=H$19,D211!$B$1 &amp; " ", "") &amp; IF(D311!$E$20=H$19,D311!$B$1 &amp; " ", "") &amp; IF(D411!$E$20=H$19,D411!$B$1 &amp; " ", "") &amp; IF(C111!$E$20=H$19,C111!$B$1 &amp; " ", "") &amp; IF(C121!$E$20=H$19,C121!$B$1 &amp; " ", "") &amp; IF(C122!$E$20=H$19,C122!$B$1 &amp; " ", "") &amp; IF(C211!$E$20=H$19,C211!$B$1 &amp; " ", "") &amp; IF(C212!$E$20=H$19,C212!$B$1 &amp; " ", "") &amp; IF(C311!$E$20=H$19,C311!$B$1 &amp; " ", "") &amp; IF(C312!$E$20=H$19,C312!$B$1 &amp; " ", "") &amp; IF(C411!$E$20=H$19,C411!$B$1 &amp; " ", "") &amp; IF(C412!$E$20=H$19,C412!$B$1 &amp; " ", "") &amp; IF(M111!$E$20=H$19,M111!$B$1 &amp; " ", "") &amp; IF(M211!$E$20=H$19,M211!$B$1 &amp; " ", "") &amp; IF(M311!$E$20=H$19,M311!$B$1 &amp; " ", "") &amp; IF(M411!$E$20=H$19,M411!$B$1 &amp; " ", ""))), " ", ",")</f>
        <v/>
      </c>
      <c r="I25" s="13">
        <f>SUBSTITUTE(TRIM((IF(D111!$E$20=I$19,D111!$B$1 &amp; " ", "") &amp; IF(D211!$E$20=I$19,D211!$B$1 &amp; " ", "") &amp; IF(D311!$E$20=I$19,D311!$B$1 &amp; " ", "") &amp; IF(D411!$E$20=I$19,D411!$B$1 &amp; " ", "") &amp; IF(C111!$E$20=I$19,C111!$B$1 &amp; " ", "") &amp; IF(C121!$E$20=I$19,C121!$B$1 &amp; " ", "") &amp; IF(C122!$E$20=I$19,C122!$B$1 &amp; " ", "") &amp; IF(C211!$E$20=I$19,C211!$B$1 &amp; " ", "") &amp; IF(C212!$E$20=I$19,C212!$B$1 &amp; " ", "") &amp; IF(C311!$E$20=I$19,C311!$B$1 &amp; " ", "") &amp; IF(C312!$E$20=I$19,C312!$B$1 &amp; " ", "") &amp; IF(C411!$E$20=I$19,C411!$B$1 &amp; " ", "") &amp; IF(C412!$E$20=I$19,C412!$B$1 &amp; " ", "") &amp; IF(M111!$E$20=I$19,M111!$B$1 &amp; " ", "") &amp; IF(M211!$E$20=I$19,M211!$B$1 &amp; " ", "") &amp; IF(M311!$E$20=I$19,M311!$B$1 &amp; " ", "") &amp; IF(M411!$E$20=I$19,M411!$B$1 &amp; " ", ""))), " ", ",")</f>
        <v/>
      </c>
      <c r="J25" s="13">
        <f>SUBSTITUTE(TRIM((IF(D111!$E$20=J$19,D111!$B$1 &amp; " ", "") &amp; IF(D211!$E$20=J$19,D211!$B$1 &amp; " ", "") &amp; IF(D311!$E$20=J$19,D311!$B$1 &amp; " ", "") &amp; IF(D411!$E$20=J$19,D411!$B$1 &amp; " ", "") &amp; IF(C111!$E$20=J$19,C111!$B$1 &amp; " ", "") &amp; IF(C121!$E$20=J$19,C121!$B$1 &amp; " ", "") &amp; IF(C122!$E$20=J$19,C122!$B$1 &amp; " ", "") &amp; IF(C211!$E$20=J$19,C211!$B$1 &amp; " ", "") &amp; IF(C212!$E$20=J$19,C212!$B$1 &amp; " ", "") &amp; IF(C311!$E$20=J$19,C311!$B$1 &amp; " ", "") &amp; IF(C312!$E$20=J$19,C312!$B$1 &amp; " ", "") &amp; IF(C411!$E$20=J$19,C411!$B$1 &amp; " ", "") &amp; IF(C412!$E$20=J$19,C412!$B$1 &amp; " ", "") &amp; IF(M111!$E$20=J$19,M111!$B$1 &amp; " ", "") &amp; IF(M211!$E$20=J$19,M211!$B$1 &amp; " ", "") &amp; IF(M311!$E$20=J$19,M311!$B$1 &amp; " ", "") &amp; IF(M411!$E$20=J$19,M411!$B$1 &amp; " ", ""))), " ", ",")</f>
        <v/>
      </c>
      <c r="K25" s="13">
        <f>SUBSTITUTE(TRIM((IF(D111!$E$20=K$19,D111!$B$1 &amp; " ", "") &amp; IF(D211!$E$20=K$19,D211!$B$1 &amp; " ", "") &amp; IF(D311!$E$20=K$19,D311!$B$1 &amp; " ", "") &amp; IF(D411!$E$20=K$19,D411!$B$1 &amp; " ", "") &amp; IF(C111!$E$20=K$19,C111!$B$1 &amp; " ", "") &amp; IF(C121!$E$20=K$19,C121!$B$1 &amp; " ", "") &amp; IF(C122!$E$20=K$19,C122!$B$1 &amp; " ", "") &amp; IF(C211!$E$20=K$19,C211!$B$1 &amp; " ", "") &amp; IF(C212!$E$20=K$19,C212!$B$1 &amp; " ", "") &amp; IF(C311!$E$20=K$19,C311!$B$1 &amp; " ", "") &amp; IF(C312!$E$20=K$19,C312!$B$1 &amp; " ", "") &amp; IF(C411!$E$20=K$19,C411!$B$1 &amp; " ", "") &amp; IF(C412!$E$20=K$19,C412!$B$1 &amp; " ", "") &amp; IF(M111!$E$20=K$19,M111!$B$1 &amp; " ", "") &amp; IF(M211!$E$20=K$19,M211!$B$1 &amp; " ", "") &amp; IF(M311!$E$20=K$19,M311!$B$1 &amp; " ", "") &amp; IF(M411!$E$20=K$19,M411!$B$1 &amp; " ", ""))), " ", ",")</f>
        <v/>
      </c>
      <c r="L25" s="13">
        <f>SUBSTITUTE(TRIM((IF(D111!$E$20=L$19,D111!$B$1 &amp; " ", "") &amp; IF(D211!$E$20=L$19,D211!$B$1 &amp; " ", "") &amp; IF(D311!$E$20=L$19,D311!$B$1 &amp; " ", "") &amp; IF(D411!$E$20=L$19,D411!$B$1 &amp; " ", "") &amp; IF(C111!$E$20=L$19,C111!$B$1 &amp; " ", "") &amp; IF(C121!$E$20=L$19,C121!$B$1 &amp; " ", "") &amp; IF(C122!$E$20=L$19,C122!$B$1 &amp; " ", "") &amp; IF(C211!$E$20=L$19,C211!$B$1 &amp; " ", "") &amp; IF(C212!$E$20=L$19,C212!$B$1 &amp; " ", "") &amp; IF(C311!$E$20=L$19,C311!$B$1 &amp; " ", "") &amp; IF(C312!$E$20=L$19,C312!$B$1 &amp; " ", "") &amp; IF(C411!$E$20=L$19,C411!$B$1 &amp; " ", "") &amp; IF(C412!$E$20=L$19,C412!$B$1 &amp; " ", "") &amp; IF(M111!$E$20=L$19,M111!$B$1 &amp; " ", "") &amp; IF(M211!$E$20=L$19,M211!$B$1 &amp; " ", "") &amp; IF(M311!$E$20=L$19,M311!$B$1 &amp; " ", "") &amp; IF(M411!$E$20=L$19,M411!$B$1 &amp; " ", ""))), " ", ",")</f>
        <v/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12" t="inlineStr">
        <is>
          <t>Jueves</t>
        </is>
      </c>
      <c r="C27" s="12" t="inlineStr">
        <is>
          <t>Aula 1</t>
        </is>
      </c>
      <c r="D27" s="12" t="inlineStr">
        <is>
          <t>Aula 2</t>
        </is>
      </c>
      <c r="E27" s="12" t="inlineStr">
        <is>
          <t>Aula 3</t>
        </is>
      </c>
      <c r="F27" s="12" t="inlineStr">
        <is>
          <t>Aula 4</t>
        </is>
      </c>
      <c r="G27" s="12" t="inlineStr">
        <is>
          <t>Aula 5</t>
        </is>
      </c>
      <c r="H27" s="12" t="inlineStr">
        <is>
          <t>Aula 6</t>
        </is>
      </c>
      <c r="I27" s="12" t="inlineStr">
        <is>
          <t>Aula 7</t>
        </is>
      </c>
      <c r="J27" s="12" t="inlineStr">
        <is>
          <t>Aula 8</t>
        </is>
      </c>
      <c r="K27" s="12" t="inlineStr">
        <is>
          <t>Aula 9</t>
        </is>
      </c>
      <c r="L27" s="12" t="inlineStr">
        <is>
          <t>Lab</t>
        </is>
      </c>
    </row>
    <row r="28">
      <c r="A28" t="inlineStr"/>
      <c r="B28" s="13" t="inlineStr">
        <is>
          <t>1ro</t>
        </is>
      </c>
      <c r="C28" s="13">
        <f>SUBSTITUTE(TRIM((IF(D111!$F$5=C$27,D111!$B$1 &amp; " ", "") &amp; IF(D211!$F$5=C$27,D211!$B$1 &amp; " ", "") &amp; IF(D311!$F$5=C$27,D311!$B$1 &amp; " ", "") &amp; IF(D411!$F$5=C$27,D411!$B$1 &amp; " ", "") &amp; IF(C111!$F$5=C$27,C111!$B$1 &amp; " ", "") &amp; IF(C121!$F$5=C$27,C121!$B$1 &amp; " ", "") &amp; IF(C122!$F$5=C$27,C122!$B$1 &amp; " ", "") &amp; IF(C211!$F$5=C$27,C211!$B$1 &amp; " ", "") &amp; IF(C212!$F$5=C$27,C212!$B$1 &amp; " ", "") &amp; IF(C311!$F$5=C$27,C311!$B$1 &amp; " ", "") &amp; IF(C312!$F$5=C$27,C312!$B$1 &amp; " ", "") &amp; IF(C411!$F$5=C$27,C411!$B$1 &amp; " ", "") &amp; IF(C412!$F$5=C$27,C412!$B$1 &amp; " ", "") &amp; IF(M111!$F$5=C$27,M111!$B$1 &amp; " ", "") &amp; IF(M211!$F$5=C$27,M211!$B$1 &amp; " ", "") &amp; IF(M311!$F$5=C$27,M311!$B$1 &amp; " ", "") &amp; IF(M411!$F$5=C$27,M411!$B$1 &amp; " ", ""))), " ", ",")</f>
        <v/>
      </c>
      <c r="D28" s="13">
        <f>SUBSTITUTE(TRIM((IF(D111!$F$5=D$27,D111!$B$1 &amp; " ", "") &amp; IF(D211!$F$5=D$27,D211!$B$1 &amp; " ", "") &amp; IF(D311!$F$5=D$27,D311!$B$1 &amp; " ", "") &amp; IF(D411!$F$5=D$27,D411!$B$1 &amp; " ", "") &amp; IF(C111!$F$5=D$27,C111!$B$1 &amp; " ", "") &amp; IF(C121!$F$5=D$27,C121!$B$1 &amp; " ", "") &amp; IF(C122!$F$5=D$27,C122!$B$1 &amp; " ", "") &amp; IF(C211!$F$5=D$27,C211!$B$1 &amp; " ", "") &amp; IF(C212!$F$5=D$27,C212!$B$1 &amp; " ", "") &amp; IF(C311!$F$5=D$27,C311!$B$1 &amp; " ", "") &amp; IF(C312!$F$5=D$27,C312!$B$1 &amp; " ", "") &amp; IF(C411!$F$5=D$27,C411!$B$1 &amp; " ", "") &amp; IF(C412!$F$5=D$27,C412!$B$1 &amp; " ", "") &amp; IF(M111!$F$5=D$27,M111!$B$1 &amp; " ", "") &amp; IF(M211!$F$5=D$27,M211!$B$1 &amp; " ", "") &amp; IF(M311!$F$5=D$27,M311!$B$1 &amp; " ", "") &amp; IF(M411!$F$5=D$27,M411!$B$1 &amp; " ", ""))), " ", ",")</f>
        <v/>
      </c>
      <c r="E28" s="13">
        <f>SUBSTITUTE(TRIM((IF(D111!$F$5=E$27,D111!$B$1 &amp; " ", "") &amp; IF(D211!$F$5=E$27,D211!$B$1 &amp; " ", "") &amp; IF(D311!$F$5=E$27,D311!$B$1 &amp; " ", "") &amp; IF(D411!$F$5=E$27,D411!$B$1 &amp; " ", "") &amp; IF(C111!$F$5=E$27,C111!$B$1 &amp; " ", "") &amp; IF(C121!$F$5=E$27,C121!$B$1 &amp; " ", "") &amp; IF(C122!$F$5=E$27,C122!$B$1 &amp; " ", "") &amp; IF(C211!$F$5=E$27,C211!$B$1 &amp; " ", "") &amp; IF(C212!$F$5=E$27,C212!$B$1 &amp; " ", "") &amp; IF(C311!$F$5=E$27,C311!$B$1 &amp; " ", "") &amp; IF(C312!$F$5=E$27,C312!$B$1 &amp; " ", "") &amp; IF(C411!$F$5=E$27,C411!$B$1 &amp; " ", "") &amp; IF(C412!$F$5=E$27,C412!$B$1 &amp; " ", "") &amp; IF(M111!$F$5=E$27,M111!$B$1 &amp; " ", "") &amp; IF(M211!$F$5=E$27,M211!$B$1 &amp; " ", "") &amp; IF(M311!$F$5=E$27,M311!$B$1 &amp; " ", "") &amp; IF(M411!$F$5=E$27,M411!$B$1 &amp; " ", ""))), " ", ",")</f>
        <v/>
      </c>
      <c r="F28" s="13">
        <f>SUBSTITUTE(TRIM((IF(D111!$F$5=F$27,D111!$B$1 &amp; " ", "") &amp; IF(D211!$F$5=F$27,D211!$B$1 &amp; " ", "") &amp; IF(D311!$F$5=F$27,D311!$B$1 &amp; " ", "") &amp; IF(D411!$F$5=F$27,D411!$B$1 &amp; " ", "") &amp; IF(C111!$F$5=F$27,C111!$B$1 &amp; " ", "") &amp; IF(C121!$F$5=F$27,C121!$B$1 &amp; " ", "") &amp; IF(C122!$F$5=F$27,C122!$B$1 &amp; " ", "") &amp; IF(C211!$F$5=F$27,C211!$B$1 &amp; " ", "") &amp; IF(C212!$F$5=F$27,C212!$B$1 &amp; " ", "") &amp; IF(C311!$F$5=F$27,C311!$B$1 &amp; " ", "") &amp; IF(C312!$F$5=F$27,C312!$B$1 &amp; " ", "") &amp; IF(C411!$F$5=F$27,C411!$B$1 &amp; " ", "") &amp; IF(C412!$F$5=F$27,C412!$B$1 &amp; " ", "") &amp; IF(M111!$F$5=F$27,M111!$B$1 &amp; " ", "") &amp; IF(M211!$F$5=F$27,M211!$B$1 &amp; " ", "") &amp; IF(M311!$F$5=F$27,M311!$B$1 &amp; " ", "") &amp; IF(M411!$F$5=F$27,M411!$B$1 &amp; " ", ""))), " ", ",")</f>
        <v/>
      </c>
      <c r="G28" s="13">
        <f>SUBSTITUTE(TRIM((IF(D111!$F$5=G$27,D111!$B$1 &amp; " ", "") &amp; IF(D211!$F$5=G$27,D211!$B$1 &amp; " ", "") &amp; IF(D311!$F$5=G$27,D311!$B$1 &amp; " ", "") &amp; IF(D411!$F$5=G$27,D411!$B$1 &amp; " ", "") &amp; IF(C111!$F$5=G$27,C111!$B$1 &amp; " ", "") &amp; IF(C121!$F$5=G$27,C121!$B$1 &amp; " ", "") &amp; IF(C122!$F$5=G$27,C122!$B$1 &amp; " ", "") &amp; IF(C211!$F$5=G$27,C211!$B$1 &amp; " ", "") &amp; IF(C212!$F$5=G$27,C212!$B$1 &amp; " ", "") &amp; IF(C311!$F$5=G$27,C311!$B$1 &amp; " ", "") &amp; IF(C312!$F$5=G$27,C312!$B$1 &amp; " ", "") &amp; IF(C411!$F$5=G$27,C411!$B$1 &amp; " ", "") &amp; IF(C412!$F$5=G$27,C412!$B$1 &amp; " ", "") &amp; IF(M111!$F$5=G$27,M111!$B$1 &amp; " ", "") &amp; IF(M211!$F$5=G$27,M211!$B$1 &amp; " ", "") &amp; IF(M311!$F$5=G$27,M311!$B$1 &amp; " ", "") &amp; IF(M411!$F$5=G$27,M411!$B$1 &amp; " ", ""))), " ", ",")</f>
        <v/>
      </c>
      <c r="H28" s="13">
        <f>SUBSTITUTE(TRIM((IF(D111!$F$5=H$27,D111!$B$1 &amp; " ", "") &amp; IF(D211!$F$5=H$27,D211!$B$1 &amp; " ", "") &amp; IF(D311!$F$5=H$27,D311!$B$1 &amp; " ", "") &amp; IF(D411!$F$5=H$27,D411!$B$1 &amp; " ", "") &amp; IF(C111!$F$5=H$27,C111!$B$1 &amp; " ", "") &amp; IF(C121!$F$5=H$27,C121!$B$1 &amp; " ", "") &amp; IF(C122!$F$5=H$27,C122!$B$1 &amp; " ", "") &amp; IF(C211!$F$5=H$27,C211!$B$1 &amp; " ", "") &amp; IF(C212!$F$5=H$27,C212!$B$1 &amp; " ", "") &amp; IF(C311!$F$5=H$27,C311!$B$1 &amp; " ", "") &amp; IF(C312!$F$5=H$27,C312!$B$1 &amp; " ", "") &amp; IF(C411!$F$5=H$27,C411!$B$1 &amp; " ", "") &amp; IF(C412!$F$5=H$27,C412!$B$1 &amp; " ", "") &amp; IF(M111!$F$5=H$27,M111!$B$1 &amp; " ", "") &amp; IF(M211!$F$5=H$27,M211!$B$1 &amp; " ", "") &amp; IF(M311!$F$5=H$27,M311!$B$1 &amp; " ", "") &amp; IF(M411!$F$5=H$27,M411!$B$1 &amp; " ", ""))), " ", ",")</f>
        <v/>
      </c>
      <c r="I28" s="13">
        <f>SUBSTITUTE(TRIM((IF(D111!$F$5=I$27,D111!$B$1 &amp; " ", "") &amp; IF(D211!$F$5=I$27,D211!$B$1 &amp; " ", "") &amp; IF(D311!$F$5=I$27,D311!$B$1 &amp; " ", "") &amp; IF(D411!$F$5=I$27,D411!$B$1 &amp; " ", "") &amp; IF(C111!$F$5=I$27,C111!$B$1 &amp; " ", "") &amp; IF(C121!$F$5=I$27,C121!$B$1 &amp; " ", "") &amp; IF(C122!$F$5=I$27,C122!$B$1 &amp; " ", "") &amp; IF(C211!$F$5=I$27,C211!$B$1 &amp; " ", "") &amp; IF(C212!$F$5=I$27,C212!$B$1 &amp; " ", "") &amp; IF(C311!$F$5=I$27,C311!$B$1 &amp; " ", "") &amp; IF(C312!$F$5=I$27,C312!$B$1 &amp; " ", "") &amp; IF(C411!$F$5=I$27,C411!$B$1 &amp; " ", "") &amp; IF(C412!$F$5=I$27,C412!$B$1 &amp; " ", "") &amp; IF(M111!$F$5=I$27,M111!$B$1 &amp; " ", "") &amp; IF(M211!$F$5=I$27,M211!$B$1 &amp; " ", "") &amp; IF(M311!$F$5=I$27,M311!$B$1 &amp; " ", "") &amp; IF(M411!$F$5=I$27,M411!$B$1 &amp; " ", ""))), " ", ",")</f>
        <v/>
      </c>
      <c r="J28" s="13">
        <f>SUBSTITUTE(TRIM((IF(D111!$F$5=J$27,D111!$B$1 &amp; " ", "") &amp; IF(D211!$F$5=J$27,D211!$B$1 &amp; " ", "") &amp; IF(D311!$F$5=J$27,D311!$B$1 &amp; " ", "") &amp; IF(D411!$F$5=J$27,D411!$B$1 &amp; " ", "") &amp; IF(C111!$F$5=J$27,C111!$B$1 &amp; " ", "") &amp; IF(C121!$F$5=J$27,C121!$B$1 &amp; " ", "") &amp; IF(C122!$F$5=J$27,C122!$B$1 &amp; " ", "") &amp; IF(C211!$F$5=J$27,C211!$B$1 &amp; " ", "") &amp; IF(C212!$F$5=J$27,C212!$B$1 &amp; " ", "") &amp; IF(C311!$F$5=J$27,C311!$B$1 &amp; " ", "") &amp; IF(C312!$F$5=J$27,C312!$B$1 &amp; " ", "") &amp; IF(C411!$F$5=J$27,C411!$B$1 &amp; " ", "") &amp; IF(C412!$F$5=J$27,C412!$B$1 &amp; " ", "") &amp; IF(M111!$F$5=J$27,M111!$B$1 &amp; " ", "") &amp; IF(M211!$F$5=J$27,M211!$B$1 &amp; " ", "") &amp; IF(M311!$F$5=J$27,M311!$B$1 &amp; " ", "") &amp; IF(M411!$F$5=J$27,M411!$B$1 &amp; " ", ""))), " ", ",")</f>
        <v/>
      </c>
      <c r="K28" s="13">
        <f>SUBSTITUTE(TRIM((IF(D111!$F$5=K$27,D111!$B$1 &amp; " ", "") &amp; IF(D211!$F$5=K$27,D211!$B$1 &amp; " ", "") &amp; IF(D311!$F$5=K$27,D311!$B$1 &amp; " ", "") &amp; IF(D411!$F$5=K$27,D411!$B$1 &amp; " ", "") &amp; IF(C111!$F$5=K$27,C111!$B$1 &amp; " ", "") &amp; IF(C121!$F$5=K$27,C121!$B$1 &amp; " ", "") &amp; IF(C122!$F$5=K$27,C122!$B$1 &amp; " ", "") &amp; IF(C211!$F$5=K$27,C211!$B$1 &amp; " ", "") &amp; IF(C212!$F$5=K$27,C212!$B$1 &amp; " ", "") &amp; IF(C311!$F$5=K$27,C311!$B$1 &amp; " ", "") &amp; IF(C312!$F$5=K$27,C312!$B$1 &amp; " ", "") &amp; IF(C411!$F$5=K$27,C411!$B$1 &amp; " ", "") &amp; IF(C412!$F$5=K$27,C412!$B$1 &amp; " ", "") &amp; IF(M111!$F$5=K$27,M111!$B$1 &amp; " ", "") &amp; IF(M211!$F$5=K$27,M211!$B$1 &amp; " ", "") &amp; IF(M311!$F$5=K$27,M311!$B$1 &amp; " ", "") &amp; IF(M411!$F$5=K$27,M411!$B$1 &amp; " ", ""))), " ", ",")</f>
        <v/>
      </c>
      <c r="L28" s="13">
        <f>SUBSTITUTE(TRIM((IF(D111!$F$5=L$27,D111!$B$1 &amp; " ", "") &amp; IF(D211!$F$5=L$27,D211!$B$1 &amp; " ", "") &amp; IF(D311!$F$5=L$27,D311!$B$1 &amp; " ", "") &amp; IF(D411!$F$5=L$27,D411!$B$1 &amp; " ", "") &amp; IF(C111!$F$5=L$27,C111!$B$1 &amp; " ", "") &amp; IF(C121!$F$5=L$27,C121!$B$1 &amp; " ", "") &amp; IF(C122!$F$5=L$27,C122!$B$1 &amp; " ", "") &amp; IF(C211!$F$5=L$27,C211!$B$1 &amp; " ", "") &amp; IF(C212!$F$5=L$27,C212!$B$1 &amp; " ", "") &amp; IF(C311!$F$5=L$27,C311!$B$1 &amp; " ", "") &amp; IF(C312!$F$5=L$27,C312!$B$1 &amp; " ", "") &amp; IF(C411!$F$5=L$27,C411!$B$1 &amp; " ", "") &amp; IF(C412!$F$5=L$27,C412!$B$1 &amp; " ", "") &amp; IF(M111!$F$5=L$27,M111!$B$1 &amp; " ", "") &amp; IF(M211!$F$5=L$27,M211!$B$1 &amp; " ", "") &amp; IF(M311!$F$5=L$27,M311!$B$1 &amp; " ", "") &amp; IF(M411!$F$5=L$27,M411!$B$1 &amp; " ", ""))), " ", ",")</f>
        <v/>
      </c>
    </row>
    <row r="29">
      <c r="A29" t="inlineStr"/>
      <c r="B29" s="13" t="inlineStr">
        <is>
          <t>2do</t>
        </is>
      </c>
      <c r="C29" s="13">
        <f>SUBSTITUTE(TRIM((IF(D111!$F$8=C$27,D111!$B$1 &amp; " ", "") &amp; IF(D211!$F$8=C$27,D211!$B$1 &amp; " ", "") &amp; IF(D311!$F$8=C$27,D311!$B$1 &amp; " ", "") &amp; IF(D411!$F$8=C$27,D411!$B$1 &amp; " ", "") &amp; IF(C111!$F$8=C$27,C111!$B$1 &amp; " ", "") &amp; IF(C121!$F$8=C$27,C121!$B$1 &amp; " ", "") &amp; IF(C122!$F$8=C$27,C122!$B$1 &amp; " ", "") &amp; IF(C211!$F$8=C$27,C211!$B$1 &amp; " ", "") &amp; IF(C212!$F$8=C$27,C212!$B$1 &amp; " ", "") &amp; IF(C311!$F$8=C$27,C311!$B$1 &amp; " ", "") &amp; IF(C312!$F$8=C$27,C312!$B$1 &amp; " ", "") &amp; IF(C411!$F$8=C$27,C411!$B$1 &amp; " ", "") &amp; IF(C412!$F$8=C$27,C412!$B$1 &amp; " ", "") &amp; IF(M111!$F$8=C$27,M111!$B$1 &amp; " ", "") &amp; IF(M211!$F$8=C$27,M211!$B$1 &amp; " ", "") &amp; IF(M311!$F$8=C$27,M311!$B$1 &amp; " ", "") &amp; IF(M411!$F$8=C$27,M411!$B$1 &amp; " ", ""))), " ", ",")</f>
        <v/>
      </c>
      <c r="D29" s="13">
        <f>SUBSTITUTE(TRIM((IF(D111!$F$8=D$27,D111!$B$1 &amp; " ", "") &amp; IF(D211!$F$8=D$27,D211!$B$1 &amp; " ", "") &amp; IF(D311!$F$8=D$27,D311!$B$1 &amp; " ", "") &amp; IF(D411!$F$8=D$27,D411!$B$1 &amp; " ", "") &amp; IF(C111!$F$8=D$27,C111!$B$1 &amp; " ", "") &amp; IF(C121!$F$8=D$27,C121!$B$1 &amp; " ", "") &amp; IF(C122!$F$8=D$27,C122!$B$1 &amp; " ", "") &amp; IF(C211!$F$8=D$27,C211!$B$1 &amp; " ", "") &amp; IF(C212!$F$8=D$27,C212!$B$1 &amp; " ", "") &amp; IF(C311!$F$8=D$27,C311!$B$1 &amp; " ", "") &amp; IF(C312!$F$8=D$27,C312!$B$1 &amp; " ", "") &amp; IF(C411!$F$8=D$27,C411!$B$1 &amp; " ", "") &amp; IF(C412!$F$8=D$27,C412!$B$1 &amp; " ", "") &amp; IF(M111!$F$8=D$27,M111!$B$1 &amp; " ", "") &amp; IF(M211!$F$8=D$27,M211!$B$1 &amp; " ", "") &amp; IF(M311!$F$8=D$27,M311!$B$1 &amp; " ", "") &amp; IF(M411!$F$8=D$27,M411!$B$1 &amp; " ", ""))), " ", ",")</f>
        <v/>
      </c>
      <c r="E29" s="13">
        <f>SUBSTITUTE(TRIM((IF(D111!$F$8=E$27,D111!$B$1 &amp; " ", "") &amp; IF(D211!$F$8=E$27,D211!$B$1 &amp; " ", "") &amp; IF(D311!$F$8=E$27,D311!$B$1 &amp; " ", "") &amp; IF(D411!$F$8=E$27,D411!$B$1 &amp; " ", "") &amp; IF(C111!$F$8=E$27,C111!$B$1 &amp; " ", "") &amp; IF(C121!$F$8=E$27,C121!$B$1 &amp; " ", "") &amp; IF(C122!$F$8=E$27,C122!$B$1 &amp; " ", "") &amp; IF(C211!$F$8=E$27,C211!$B$1 &amp; " ", "") &amp; IF(C212!$F$8=E$27,C212!$B$1 &amp; " ", "") &amp; IF(C311!$F$8=E$27,C311!$B$1 &amp; " ", "") &amp; IF(C312!$F$8=E$27,C312!$B$1 &amp; " ", "") &amp; IF(C411!$F$8=E$27,C411!$B$1 &amp; " ", "") &amp; IF(C412!$F$8=E$27,C412!$B$1 &amp; " ", "") &amp; IF(M111!$F$8=E$27,M111!$B$1 &amp; " ", "") &amp; IF(M211!$F$8=E$27,M211!$B$1 &amp; " ", "") &amp; IF(M311!$F$8=E$27,M311!$B$1 &amp; " ", "") &amp; IF(M411!$F$8=E$27,M411!$B$1 &amp; " ", ""))), " ", ",")</f>
        <v/>
      </c>
      <c r="F29" s="13">
        <f>SUBSTITUTE(TRIM((IF(D111!$F$8=F$27,D111!$B$1 &amp; " ", "") &amp; IF(D211!$F$8=F$27,D211!$B$1 &amp; " ", "") &amp; IF(D311!$F$8=F$27,D311!$B$1 &amp; " ", "") &amp; IF(D411!$F$8=F$27,D411!$B$1 &amp; " ", "") &amp; IF(C111!$F$8=F$27,C111!$B$1 &amp; " ", "") &amp; IF(C121!$F$8=F$27,C121!$B$1 &amp; " ", "") &amp; IF(C122!$F$8=F$27,C122!$B$1 &amp; " ", "") &amp; IF(C211!$F$8=F$27,C211!$B$1 &amp; " ", "") &amp; IF(C212!$F$8=F$27,C212!$B$1 &amp; " ", "") &amp; IF(C311!$F$8=F$27,C311!$B$1 &amp; " ", "") &amp; IF(C312!$F$8=F$27,C312!$B$1 &amp; " ", "") &amp; IF(C411!$F$8=F$27,C411!$B$1 &amp; " ", "") &amp; IF(C412!$F$8=F$27,C412!$B$1 &amp; " ", "") &amp; IF(M111!$F$8=F$27,M111!$B$1 &amp; " ", "") &amp; IF(M211!$F$8=F$27,M211!$B$1 &amp; " ", "") &amp; IF(M311!$F$8=F$27,M311!$B$1 &amp; " ", "") &amp; IF(M411!$F$8=F$27,M411!$B$1 &amp; " ", ""))), " ", ",")</f>
        <v/>
      </c>
      <c r="G29" s="13">
        <f>SUBSTITUTE(TRIM((IF(D111!$F$8=G$27,D111!$B$1 &amp; " ", "") &amp; IF(D211!$F$8=G$27,D211!$B$1 &amp; " ", "") &amp; IF(D311!$F$8=G$27,D311!$B$1 &amp; " ", "") &amp; IF(D411!$F$8=G$27,D411!$B$1 &amp; " ", "") &amp; IF(C111!$F$8=G$27,C111!$B$1 &amp; " ", "") &amp; IF(C121!$F$8=G$27,C121!$B$1 &amp; " ", "") &amp; IF(C122!$F$8=G$27,C122!$B$1 &amp; " ", "") &amp; IF(C211!$F$8=G$27,C211!$B$1 &amp; " ", "") &amp; IF(C212!$F$8=G$27,C212!$B$1 &amp; " ", "") &amp; IF(C311!$F$8=G$27,C311!$B$1 &amp; " ", "") &amp; IF(C312!$F$8=G$27,C312!$B$1 &amp; " ", "") &amp; IF(C411!$F$8=G$27,C411!$B$1 &amp; " ", "") &amp; IF(C412!$F$8=G$27,C412!$B$1 &amp; " ", "") &amp; IF(M111!$F$8=G$27,M111!$B$1 &amp; " ", "") &amp; IF(M211!$F$8=G$27,M211!$B$1 &amp; " ", "") &amp; IF(M311!$F$8=G$27,M311!$B$1 &amp; " ", "") &amp; IF(M411!$F$8=G$27,M411!$B$1 &amp; " ", ""))), " ", ",")</f>
        <v/>
      </c>
      <c r="H29" s="13">
        <f>SUBSTITUTE(TRIM((IF(D111!$F$8=H$27,D111!$B$1 &amp; " ", "") &amp; IF(D211!$F$8=H$27,D211!$B$1 &amp; " ", "") &amp; IF(D311!$F$8=H$27,D311!$B$1 &amp; " ", "") &amp; IF(D411!$F$8=H$27,D411!$B$1 &amp; " ", "") &amp; IF(C111!$F$8=H$27,C111!$B$1 &amp; " ", "") &amp; IF(C121!$F$8=H$27,C121!$B$1 &amp; " ", "") &amp; IF(C122!$F$8=H$27,C122!$B$1 &amp; " ", "") &amp; IF(C211!$F$8=H$27,C211!$B$1 &amp; " ", "") &amp; IF(C212!$F$8=H$27,C212!$B$1 &amp; " ", "") &amp; IF(C311!$F$8=H$27,C311!$B$1 &amp; " ", "") &amp; IF(C312!$F$8=H$27,C312!$B$1 &amp; " ", "") &amp; IF(C411!$F$8=H$27,C411!$B$1 &amp; " ", "") &amp; IF(C412!$F$8=H$27,C412!$B$1 &amp; " ", "") &amp; IF(M111!$F$8=H$27,M111!$B$1 &amp; " ", "") &amp; IF(M211!$F$8=H$27,M211!$B$1 &amp; " ", "") &amp; IF(M311!$F$8=H$27,M311!$B$1 &amp; " ", "") &amp; IF(M411!$F$8=H$27,M411!$B$1 &amp; " ", ""))), " ", ",")</f>
        <v/>
      </c>
      <c r="I29" s="13">
        <f>SUBSTITUTE(TRIM((IF(D111!$F$8=I$27,D111!$B$1 &amp; " ", "") &amp; IF(D211!$F$8=I$27,D211!$B$1 &amp; " ", "") &amp; IF(D311!$F$8=I$27,D311!$B$1 &amp; " ", "") &amp; IF(D411!$F$8=I$27,D411!$B$1 &amp; " ", "") &amp; IF(C111!$F$8=I$27,C111!$B$1 &amp; " ", "") &amp; IF(C121!$F$8=I$27,C121!$B$1 &amp; " ", "") &amp; IF(C122!$F$8=I$27,C122!$B$1 &amp; " ", "") &amp; IF(C211!$F$8=I$27,C211!$B$1 &amp; " ", "") &amp; IF(C212!$F$8=I$27,C212!$B$1 &amp; " ", "") &amp; IF(C311!$F$8=I$27,C311!$B$1 &amp; " ", "") &amp; IF(C312!$F$8=I$27,C312!$B$1 &amp; " ", "") &amp; IF(C411!$F$8=I$27,C411!$B$1 &amp; " ", "") &amp; IF(C412!$F$8=I$27,C412!$B$1 &amp; " ", "") &amp; IF(M111!$F$8=I$27,M111!$B$1 &amp; " ", "") &amp; IF(M211!$F$8=I$27,M211!$B$1 &amp; " ", "") &amp; IF(M311!$F$8=I$27,M311!$B$1 &amp; " ", "") &amp; IF(M411!$F$8=I$27,M411!$B$1 &amp; " ", ""))), " ", ",")</f>
        <v/>
      </c>
      <c r="J29" s="13">
        <f>SUBSTITUTE(TRIM((IF(D111!$F$8=J$27,D111!$B$1 &amp; " ", "") &amp; IF(D211!$F$8=J$27,D211!$B$1 &amp; " ", "") &amp; IF(D311!$F$8=J$27,D311!$B$1 &amp; " ", "") &amp; IF(D411!$F$8=J$27,D411!$B$1 &amp; " ", "") &amp; IF(C111!$F$8=J$27,C111!$B$1 &amp; " ", "") &amp; IF(C121!$F$8=J$27,C121!$B$1 &amp; " ", "") &amp; IF(C122!$F$8=J$27,C122!$B$1 &amp; " ", "") &amp; IF(C211!$F$8=J$27,C211!$B$1 &amp; " ", "") &amp; IF(C212!$F$8=J$27,C212!$B$1 &amp; " ", "") &amp; IF(C311!$F$8=J$27,C311!$B$1 &amp; " ", "") &amp; IF(C312!$F$8=J$27,C312!$B$1 &amp; " ", "") &amp; IF(C411!$F$8=J$27,C411!$B$1 &amp; " ", "") &amp; IF(C412!$F$8=J$27,C412!$B$1 &amp; " ", "") &amp; IF(M111!$F$8=J$27,M111!$B$1 &amp; " ", "") &amp; IF(M211!$F$8=J$27,M211!$B$1 &amp; " ", "") &amp; IF(M311!$F$8=J$27,M311!$B$1 &amp; " ", "") &amp; IF(M411!$F$8=J$27,M411!$B$1 &amp; " ", ""))), " ", ",")</f>
        <v/>
      </c>
      <c r="K29" s="13">
        <f>SUBSTITUTE(TRIM((IF(D111!$F$8=K$27,D111!$B$1 &amp; " ", "") &amp; IF(D211!$F$8=K$27,D211!$B$1 &amp; " ", "") &amp; IF(D311!$F$8=K$27,D311!$B$1 &amp; " ", "") &amp; IF(D411!$F$8=K$27,D411!$B$1 &amp; " ", "") &amp; IF(C111!$F$8=K$27,C111!$B$1 &amp; " ", "") &amp; IF(C121!$F$8=K$27,C121!$B$1 &amp; " ", "") &amp; IF(C122!$F$8=K$27,C122!$B$1 &amp; " ", "") &amp; IF(C211!$F$8=K$27,C211!$B$1 &amp; " ", "") &amp; IF(C212!$F$8=K$27,C212!$B$1 &amp; " ", "") &amp; IF(C311!$F$8=K$27,C311!$B$1 &amp; " ", "") &amp; IF(C312!$F$8=K$27,C312!$B$1 &amp; " ", "") &amp; IF(C411!$F$8=K$27,C411!$B$1 &amp; " ", "") &amp; IF(C412!$F$8=K$27,C412!$B$1 &amp; " ", "") &amp; IF(M111!$F$8=K$27,M111!$B$1 &amp; " ", "") &amp; IF(M211!$F$8=K$27,M211!$B$1 &amp; " ", "") &amp; IF(M311!$F$8=K$27,M311!$B$1 &amp; " ", "") &amp; IF(M411!$F$8=K$27,M411!$B$1 &amp; " ", ""))), " ", ",")</f>
        <v/>
      </c>
      <c r="L29" s="13">
        <f>SUBSTITUTE(TRIM((IF(D111!$F$8=L$27,D111!$B$1 &amp; " ", "") &amp; IF(D211!$F$8=L$27,D211!$B$1 &amp; " ", "") &amp; IF(D311!$F$8=L$27,D311!$B$1 &amp; " ", "") &amp; IF(D411!$F$8=L$27,D411!$B$1 &amp; " ", "") &amp; IF(C111!$F$8=L$27,C111!$B$1 &amp; " ", "") &amp; IF(C121!$F$8=L$27,C121!$B$1 &amp; " ", "") &amp; IF(C122!$F$8=L$27,C122!$B$1 &amp; " ", "") &amp; IF(C211!$F$8=L$27,C211!$B$1 &amp; " ", "") &amp; IF(C212!$F$8=L$27,C212!$B$1 &amp; " ", "") &amp; IF(C311!$F$8=L$27,C311!$B$1 &amp; " ", "") &amp; IF(C312!$F$8=L$27,C312!$B$1 &amp; " ", "") &amp; IF(C411!$F$8=L$27,C411!$B$1 &amp; " ", "") &amp; IF(C412!$F$8=L$27,C412!$B$1 &amp; " ", "") &amp; IF(M111!$F$8=L$27,M111!$B$1 &amp; " ", "") &amp; IF(M211!$F$8=L$27,M211!$B$1 &amp; " ", "") &amp; IF(M311!$F$8=L$27,M311!$B$1 &amp; " ", "") &amp; IF(M411!$F$8=L$27,M411!$B$1 &amp; " ", ""))), " ", ",")</f>
        <v/>
      </c>
    </row>
    <row r="30">
      <c r="A30" t="inlineStr"/>
      <c r="B30" s="13" t="inlineStr">
        <is>
          <t>3ro</t>
        </is>
      </c>
      <c r="C30" s="13">
        <f>SUBSTITUTE(TRIM((IF(D111!$F$11=C$27,D111!$B$1 &amp; " ", "") &amp; IF(D211!$F$11=C$27,D211!$B$1 &amp; " ", "") &amp; IF(D311!$F$11=C$27,D311!$B$1 &amp; " ", "") &amp; IF(D411!$F$11=C$27,D411!$B$1 &amp; " ", "") &amp; IF(C111!$F$11=C$27,C111!$B$1 &amp; " ", "") &amp; IF(C121!$F$11=C$27,C121!$B$1 &amp; " ", "") &amp; IF(C122!$F$11=C$27,C122!$B$1 &amp; " ", "") &amp; IF(C211!$F$11=C$27,C211!$B$1 &amp; " ", "") &amp; IF(C212!$F$11=C$27,C212!$B$1 &amp; " ", "") &amp; IF(C311!$F$11=C$27,C311!$B$1 &amp; " ", "") &amp; IF(C312!$F$11=C$27,C312!$B$1 &amp; " ", "") &amp; IF(C411!$F$11=C$27,C411!$B$1 &amp; " ", "") &amp; IF(C412!$F$11=C$27,C412!$B$1 &amp; " ", "") &amp; IF(M111!$F$11=C$27,M111!$B$1 &amp; " ", "") &amp; IF(M211!$F$11=C$27,M211!$B$1 &amp; " ", "") &amp; IF(M311!$F$11=C$27,M311!$B$1 &amp; " ", "") &amp; IF(M411!$F$11=C$27,M411!$B$1 &amp; " ", ""))), " ", ",")</f>
        <v/>
      </c>
      <c r="D30" s="13">
        <f>SUBSTITUTE(TRIM((IF(D111!$F$11=D$27,D111!$B$1 &amp; " ", "") &amp; IF(D211!$F$11=D$27,D211!$B$1 &amp; " ", "") &amp; IF(D311!$F$11=D$27,D311!$B$1 &amp; " ", "") &amp; IF(D411!$F$11=D$27,D411!$B$1 &amp; " ", "") &amp; IF(C111!$F$11=D$27,C111!$B$1 &amp; " ", "") &amp; IF(C121!$F$11=D$27,C121!$B$1 &amp; " ", "") &amp; IF(C122!$F$11=D$27,C122!$B$1 &amp; " ", "") &amp; IF(C211!$F$11=D$27,C211!$B$1 &amp; " ", "") &amp; IF(C212!$F$11=D$27,C212!$B$1 &amp; " ", "") &amp; IF(C311!$F$11=D$27,C311!$B$1 &amp; " ", "") &amp; IF(C312!$F$11=D$27,C312!$B$1 &amp; " ", "") &amp; IF(C411!$F$11=D$27,C411!$B$1 &amp; " ", "") &amp; IF(C412!$F$11=D$27,C412!$B$1 &amp; " ", "") &amp; IF(M111!$F$11=D$27,M111!$B$1 &amp; " ", "") &amp; IF(M211!$F$11=D$27,M211!$B$1 &amp; " ", "") &amp; IF(M311!$F$11=D$27,M311!$B$1 &amp; " ", "") &amp; IF(M411!$F$11=D$27,M411!$B$1 &amp; " ", ""))), " ", ",")</f>
        <v/>
      </c>
      <c r="E30" s="13">
        <f>SUBSTITUTE(TRIM((IF(D111!$F$11=E$27,D111!$B$1 &amp; " ", "") &amp; IF(D211!$F$11=E$27,D211!$B$1 &amp; " ", "") &amp; IF(D311!$F$11=E$27,D311!$B$1 &amp; " ", "") &amp; IF(D411!$F$11=E$27,D411!$B$1 &amp; " ", "") &amp; IF(C111!$F$11=E$27,C111!$B$1 &amp; " ", "") &amp; IF(C121!$F$11=E$27,C121!$B$1 &amp; " ", "") &amp; IF(C122!$F$11=E$27,C122!$B$1 &amp; " ", "") &amp; IF(C211!$F$11=E$27,C211!$B$1 &amp; " ", "") &amp; IF(C212!$F$11=E$27,C212!$B$1 &amp; " ", "") &amp; IF(C311!$F$11=E$27,C311!$B$1 &amp; " ", "") &amp; IF(C312!$F$11=E$27,C312!$B$1 &amp; " ", "") &amp; IF(C411!$F$11=E$27,C411!$B$1 &amp; " ", "") &amp; IF(C412!$F$11=E$27,C412!$B$1 &amp; " ", "") &amp; IF(M111!$F$11=E$27,M111!$B$1 &amp; " ", "") &amp; IF(M211!$F$11=E$27,M211!$B$1 &amp; " ", "") &amp; IF(M311!$F$11=E$27,M311!$B$1 &amp; " ", "") &amp; IF(M411!$F$11=E$27,M411!$B$1 &amp; " ", ""))), " ", ",")</f>
        <v/>
      </c>
      <c r="F30" s="13">
        <f>SUBSTITUTE(TRIM((IF(D111!$F$11=F$27,D111!$B$1 &amp; " ", "") &amp; IF(D211!$F$11=F$27,D211!$B$1 &amp; " ", "") &amp; IF(D311!$F$11=F$27,D311!$B$1 &amp; " ", "") &amp; IF(D411!$F$11=F$27,D411!$B$1 &amp; " ", "") &amp; IF(C111!$F$11=F$27,C111!$B$1 &amp; " ", "") &amp; IF(C121!$F$11=F$27,C121!$B$1 &amp; " ", "") &amp; IF(C122!$F$11=F$27,C122!$B$1 &amp; " ", "") &amp; IF(C211!$F$11=F$27,C211!$B$1 &amp; " ", "") &amp; IF(C212!$F$11=F$27,C212!$B$1 &amp; " ", "") &amp; IF(C311!$F$11=F$27,C311!$B$1 &amp; " ", "") &amp; IF(C312!$F$11=F$27,C312!$B$1 &amp; " ", "") &amp; IF(C411!$F$11=F$27,C411!$B$1 &amp; " ", "") &amp; IF(C412!$F$11=F$27,C412!$B$1 &amp; " ", "") &amp; IF(M111!$F$11=F$27,M111!$B$1 &amp; " ", "") &amp; IF(M211!$F$11=F$27,M211!$B$1 &amp; " ", "") &amp; IF(M311!$F$11=F$27,M311!$B$1 &amp; " ", "") &amp; IF(M411!$F$11=F$27,M411!$B$1 &amp; " ", ""))), " ", ",")</f>
        <v/>
      </c>
      <c r="G30" s="13">
        <f>SUBSTITUTE(TRIM((IF(D111!$F$11=G$27,D111!$B$1 &amp; " ", "") &amp; IF(D211!$F$11=G$27,D211!$B$1 &amp; " ", "") &amp; IF(D311!$F$11=G$27,D311!$B$1 &amp; " ", "") &amp; IF(D411!$F$11=G$27,D411!$B$1 &amp; " ", "") &amp; IF(C111!$F$11=G$27,C111!$B$1 &amp; " ", "") &amp; IF(C121!$F$11=G$27,C121!$B$1 &amp; " ", "") &amp; IF(C122!$F$11=G$27,C122!$B$1 &amp; " ", "") &amp; IF(C211!$F$11=G$27,C211!$B$1 &amp; " ", "") &amp; IF(C212!$F$11=G$27,C212!$B$1 &amp; " ", "") &amp; IF(C311!$F$11=G$27,C311!$B$1 &amp; " ", "") &amp; IF(C312!$F$11=G$27,C312!$B$1 &amp; " ", "") &amp; IF(C411!$F$11=G$27,C411!$B$1 &amp; " ", "") &amp; IF(C412!$F$11=G$27,C412!$B$1 &amp; " ", "") &amp; IF(M111!$F$11=G$27,M111!$B$1 &amp; " ", "") &amp; IF(M211!$F$11=G$27,M211!$B$1 &amp; " ", "") &amp; IF(M311!$F$11=G$27,M311!$B$1 &amp; " ", "") &amp; IF(M411!$F$11=G$27,M411!$B$1 &amp; " ", ""))), " ", ",")</f>
        <v/>
      </c>
      <c r="H30" s="13">
        <f>SUBSTITUTE(TRIM((IF(D111!$F$11=H$27,D111!$B$1 &amp; " ", "") &amp; IF(D211!$F$11=H$27,D211!$B$1 &amp; " ", "") &amp; IF(D311!$F$11=H$27,D311!$B$1 &amp; " ", "") &amp; IF(D411!$F$11=H$27,D411!$B$1 &amp; " ", "") &amp; IF(C111!$F$11=H$27,C111!$B$1 &amp; " ", "") &amp; IF(C121!$F$11=H$27,C121!$B$1 &amp; " ", "") &amp; IF(C122!$F$11=H$27,C122!$B$1 &amp; " ", "") &amp; IF(C211!$F$11=H$27,C211!$B$1 &amp; " ", "") &amp; IF(C212!$F$11=H$27,C212!$B$1 &amp; " ", "") &amp; IF(C311!$F$11=H$27,C311!$B$1 &amp; " ", "") &amp; IF(C312!$F$11=H$27,C312!$B$1 &amp; " ", "") &amp; IF(C411!$F$11=H$27,C411!$B$1 &amp; " ", "") &amp; IF(C412!$F$11=H$27,C412!$B$1 &amp; " ", "") &amp; IF(M111!$F$11=H$27,M111!$B$1 &amp; " ", "") &amp; IF(M211!$F$11=H$27,M211!$B$1 &amp; " ", "") &amp; IF(M311!$F$11=H$27,M311!$B$1 &amp; " ", "") &amp; IF(M411!$F$11=H$27,M411!$B$1 &amp; " ", ""))), " ", ",")</f>
        <v/>
      </c>
      <c r="I30" s="13">
        <f>SUBSTITUTE(TRIM((IF(D111!$F$11=I$27,D111!$B$1 &amp; " ", "") &amp; IF(D211!$F$11=I$27,D211!$B$1 &amp; " ", "") &amp; IF(D311!$F$11=I$27,D311!$B$1 &amp; " ", "") &amp; IF(D411!$F$11=I$27,D411!$B$1 &amp; " ", "") &amp; IF(C111!$F$11=I$27,C111!$B$1 &amp; " ", "") &amp; IF(C121!$F$11=I$27,C121!$B$1 &amp; " ", "") &amp; IF(C122!$F$11=I$27,C122!$B$1 &amp; " ", "") &amp; IF(C211!$F$11=I$27,C211!$B$1 &amp; " ", "") &amp; IF(C212!$F$11=I$27,C212!$B$1 &amp; " ", "") &amp; IF(C311!$F$11=I$27,C311!$B$1 &amp; " ", "") &amp; IF(C312!$F$11=I$27,C312!$B$1 &amp; " ", "") &amp; IF(C411!$F$11=I$27,C411!$B$1 &amp; " ", "") &amp; IF(C412!$F$11=I$27,C412!$B$1 &amp; " ", "") &amp; IF(M111!$F$11=I$27,M111!$B$1 &amp; " ", "") &amp; IF(M211!$F$11=I$27,M211!$B$1 &amp; " ", "") &amp; IF(M311!$F$11=I$27,M311!$B$1 &amp; " ", "") &amp; IF(M411!$F$11=I$27,M411!$B$1 &amp; " ", ""))), " ", ",")</f>
        <v/>
      </c>
      <c r="J30" s="13">
        <f>SUBSTITUTE(TRIM((IF(D111!$F$11=J$27,D111!$B$1 &amp; " ", "") &amp; IF(D211!$F$11=J$27,D211!$B$1 &amp; " ", "") &amp; IF(D311!$F$11=J$27,D311!$B$1 &amp; " ", "") &amp; IF(D411!$F$11=J$27,D411!$B$1 &amp; " ", "") &amp; IF(C111!$F$11=J$27,C111!$B$1 &amp; " ", "") &amp; IF(C121!$F$11=J$27,C121!$B$1 &amp; " ", "") &amp; IF(C122!$F$11=J$27,C122!$B$1 &amp; " ", "") &amp; IF(C211!$F$11=J$27,C211!$B$1 &amp; " ", "") &amp; IF(C212!$F$11=J$27,C212!$B$1 &amp; " ", "") &amp; IF(C311!$F$11=J$27,C311!$B$1 &amp; " ", "") &amp; IF(C312!$F$11=J$27,C312!$B$1 &amp; " ", "") &amp; IF(C411!$F$11=J$27,C411!$B$1 &amp; " ", "") &amp; IF(C412!$F$11=J$27,C412!$B$1 &amp; " ", "") &amp; IF(M111!$F$11=J$27,M111!$B$1 &amp; " ", "") &amp; IF(M211!$F$11=J$27,M211!$B$1 &amp; " ", "") &amp; IF(M311!$F$11=J$27,M311!$B$1 &amp; " ", "") &amp; IF(M411!$F$11=J$27,M411!$B$1 &amp; " ", ""))), " ", ",")</f>
        <v/>
      </c>
      <c r="K30" s="13">
        <f>SUBSTITUTE(TRIM((IF(D111!$F$11=K$27,D111!$B$1 &amp; " ", "") &amp; IF(D211!$F$11=K$27,D211!$B$1 &amp; " ", "") &amp; IF(D311!$F$11=K$27,D311!$B$1 &amp; " ", "") &amp; IF(D411!$F$11=K$27,D411!$B$1 &amp; " ", "") &amp; IF(C111!$F$11=K$27,C111!$B$1 &amp; " ", "") &amp; IF(C121!$F$11=K$27,C121!$B$1 &amp; " ", "") &amp; IF(C122!$F$11=K$27,C122!$B$1 &amp; " ", "") &amp; IF(C211!$F$11=K$27,C211!$B$1 &amp; " ", "") &amp; IF(C212!$F$11=K$27,C212!$B$1 &amp; " ", "") &amp; IF(C311!$F$11=K$27,C311!$B$1 &amp; " ", "") &amp; IF(C312!$F$11=K$27,C312!$B$1 &amp; " ", "") &amp; IF(C411!$F$11=K$27,C411!$B$1 &amp; " ", "") &amp; IF(C412!$F$11=K$27,C412!$B$1 &amp; " ", "") &amp; IF(M111!$F$11=K$27,M111!$B$1 &amp; " ", "") &amp; IF(M211!$F$11=K$27,M211!$B$1 &amp; " ", "") &amp; IF(M311!$F$11=K$27,M311!$B$1 &amp; " ", "") &amp; IF(M411!$F$11=K$27,M411!$B$1 &amp; " ", ""))), " ", ",")</f>
        <v/>
      </c>
      <c r="L30" s="13">
        <f>SUBSTITUTE(TRIM((IF(D111!$F$11=L$27,D111!$B$1 &amp; " ", "") &amp; IF(D211!$F$11=L$27,D211!$B$1 &amp; " ", "") &amp; IF(D311!$F$11=L$27,D311!$B$1 &amp; " ", "") &amp; IF(D411!$F$11=L$27,D411!$B$1 &amp; " ", "") &amp; IF(C111!$F$11=L$27,C111!$B$1 &amp; " ", "") &amp; IF(C121!$F$11=L$27,C121!$B$1 &amp; " ", "") &amp; IF(C122!$F$11=L$27,C122!$B$1 &amp; " ", "") &amp; IF(C211!$F$11=L$27,C211!$B$1 &amp; " ", "") &amp; IF(C212!$F$11=L$27,C212!$B$1 &amp; " ", "") &amp; IF(C311!$F$11=L$27,C311!$B$1 &amp; " ", "") &amp; IF(C312!$F$11=L$27,C312!$B$1 &amp; " ", "") &amp; IF(C411!$F$11=L$27,C411!$B$1 &amp; " ", "") &amp; IF(C412!$F$11=L$27,C412!$B$1 &amp; " ", "") &amp; IF(M111!$F$11=L$27,M111!$B$1 &amp; " ", "") &amp; IF(M211!$F$11=L$27,M211!$B$1 &amp; " ", "") &amp; IF(M311!$F$11=L$27,M311!$B$1 &amp; " ", "") &amp; IF(M411!$F$11=L$27,M411!$B$1 &amp; " ", ""))), " ", ",")</f>
        <v/>
      </c>
    </row>
    <row r="31">
      <c r="A31" t="inlineStr"/>
      <c r="B31" s="13" t="inlineStr">
        <is>
          <t>4to</t>
        </is>
      </c>
      <c r="C31" s="13">
        <f>SUBSTITUTE(TRIM((IF(D111!$F$14=C$27,D111!$B$1 &amp; " ", "") &amp; IF(D211!$F$14=C$27,D211!$B$1 &amp; " ", "") &amp; IF(D311!$F$14=C$27,D311!$B$1 &amp; " ", "") &amp; IF(D411!$F$14=C$27,D411!$B$1 &amp; " ", "") &amp; IF(C111!$F$14=C$27,C111!$B$1 &amp; " ", "") &amp; IF(C121!$F$14=C$27,C121!$B$1 &amp; " ", "") &amp; IF(C122!$F$14=C$27,C122!$B$1 &amp; " ", "") &amp; IF(C211!$F$14=C$27,C211!$B$1 &amp; " ", "") &amp; IF(C212!$F$14=C$27,C212!$B$1 &amp; " ", "") &amp; IF(C311!$F$14=C$27,C311!$B$1 &amp; " ", "") &amp; IF(C312!$F$14=C$27,C312!$B$1 &amp; " ", "") &amp; IF(C411!$F$14=C$27,C411!$B$1 &amp; " ", "") &amp; IF(C412!$F$14=C$27,C412!$B$1 &amp; " ", "") &amp; IF(M111!$F$14=C$27,M111!$B$1 &amp; " ", "") &amp; IF(M211!$F$14=C$27,M211!$B$1 &amp; " ", "") &amp; IF(M311!$F$14=C$27,M311!$B$1 &amp; " ", "") &amp; IF(M411!$F$14=C$27,M411!$B$1 &amp; " ", ""))), " ", ",")</f>
        <v/>
      </c>
      <c r="D31" s="13">
        <f>SUBSTITUTE(TRIM((IF(D111!$F$14=D$27,D111!$B$1 &amp; " ", "") &amp; IF(D211!$F$14=D$27,D211!$B$1 &amp; " ", "") &amp; IF(D311!$F$14=D$27,D311!$B$1 &amp; " ", "") &amp; IF(D411!$F$14=D$27,D411!$B$1 &amp; " ", "") &amp; IF(C111!$F$14=D$27,C111!$B$1 &amp; " ", "") &amp; IF(C121!$F$14=D$27,C121!$B$1 &amp; " ", "") &amp; IF(C122!$F$14=D$27,C122!$B$1 &amp; " ", "") &amp; IF(C211!$F$14=D$27,C211!$B$1 &amp; " ", "") &amp; IF(C212!$F$14=D$27,C212!$B$1 &amp; " ", "") &amp; IF(C311!$F$14=D$27,C311!$B$1 &amp; " ", "") &amp; IF(C312!$F$14=D$27,C312!$B$1 &amp; " ", "") &amp; IF(C411!$F$14=D$27,C411!$B$1 &amp; " ", "") &amp; IF(C412!$F$14=D$27,C412!$B$1 &amp; " ", "") &amp; IF(M111!$F$14=D$27,M111!$B$1 &amp; " ", "") &amp; IF(M211!$F$14=D$27,M211!$B$1 &amp; " ", "") &amp; IF(M311!$F$14=D$27,M311!$B$1 &amp; " ", "") &amp; IF(M411!$F$14=D$27,M411!$B$1 &amp; " ", ""))), " ", ",")</f>
        <v/>
      </c>
      <c r="E31" s="13">
        <f>SUBSTITUTE(TRIM((IF(D111!$F$14=E$27,D111!$B$1 &amp; " ", "") &amp; IF(D211!$F$14=E$27,D211!$B$1 &amp; " ", "") &amp; IF(D311!$F$14=E$27,D311!$B$1 &amp; " ", "") &amp; IF(D411!$F$14=E$27,D411!$B$1 &amp; " ", "") &amp; IF(C111!$F$14=E$27,C111!$B$1 &amp; " ", "") &amp; IF(C121!$F$14=E$27,C121!$B$1 &amp; " ", "") &amp; IF(C122!$F$14=E$27,C122!$B$1 &amp; " ", "") &amp; IF(C211!$F$14=E$27,C211!$B$1 &amp; " ", "") &amp; IF(C212!$F$14=E$27,C212!$B$1 &amp; " ", "") &amp; IF(C311!$F$14=E$27,C311!$B$1 &amp; " ", "") &amp; IF(C312!$F$14=E$27,C312!$B$1 &amp; " ", "") &amp; IF(C411!$F$14=E$27,C411!$B$1 &amp; " ", "") &amp; IF(C412!$F$14=E$27,C412!$B$1 &amp; " ", "") &amp; IF(M111!$F$14=E$27,M111!$B$1 &amp; " ", "") &amp; IF(M211!$F$14=E$27,M211!$B$1 &amp; " ", "") &amp; IF(M311!$F$14=E$27,M311!$B$1 &amp; " ", "") &amp; IF(M411!$F$14=E$27,M411!$B$1 &amp; " ", ""))), " ", ",")</f>
        <v/>
      </c>
      <c r="F31" s="13">
        <f>SUBSTITUTE(TRIM((IF(D111!$F$14=F$27,D111!$B$1 &amp; " ", "") &amp; IF(D211!$F$14=F$27,D211!$B$1 &amp; " ", "") &amp; IF(D311!$F$14=F$27,D311!$B$1 &amp; " ", "") &amp; IF(D411!$F$14=F$27,D411!$B$1 &amp; " ", "") &amp; IF(C111!$F$14=F$27,C111!$B$1 &amp; " ", "") &amp; IF(C121!$F$14=F$27,C121!$B$1 &amp; " ", "") &amp; IF(C122!$F$14=F$27,C122!$B$1 &amp; " ", "") &amp; IF(C211!$F$14=F$27,C211!$B$1 &amp; " ", "") &amp; IF(C212!$F$14=F$27,C212!$B$1 &amp; " ", "") &amp; IF(C311!$F$14=F$27,C311!$B$1 &amp; " ", "") &amp; IF(C312!$F$14=F$27,C312!$B$1 &amp; " ", "") &amp; IF(C411!$F$14=F$27,C411!$B$1 &amp; " ", "") &amp; IF(C412!$F$14=F$27,C412!$B$1 &amp; " ", "") &amp; IF(M111!$F$14=F$27,M111!$B$1 &amp; " ", "") &amp; IF(M211!$F$14=F$27,M211!$B$1 &amp; " ", "") &amp; IF(M311!$F$14=F$27,M311!$B$1 &amp; " ", "") &amp; IF(M411!$F$14=F$27,M411!$B$1 &amp; " ", ""))), " ", ",")</f>
        <v/>
      </c>
      <c r="G31" s="13">
        <f>SUBSTITUTE(TRIM((IF(D111!$F$14=G$27,D111!$B$1 &amp; " ", "") &amp; IF(D211!$F$14=G$27,D211!$B$1 &amp; " ", "") &amp; IF(D311!$F$14=G$27,D311!$B$1 &amp; " ", "") &amp; IF(D411!$F$14=G$27,D411!$B$1 &amp; " ", "") &amp; IF(C111!$F$14=G$27,C111!$B$1 &amp; " ", "") &amp; IF(C121!$F$14=G$27,C121!$B$1 &amp; " ", "") &amp; IF(C122!$F$14=G$27,C122!$B$1 &amp; " ", "") &amp; IF(C211!$F$14=G$27,C211!$B$1 &amp; " ", "") &amp; IF(C212!$F$14=G$27,C212!$B$1 &amp; " ", "") &amp; IF(C311!$F$14=G$27,C311!$B$1 &amp; " ", "") &amp; IF(C312!$F$14=G$27,C312!$B$1 &amp; " ", "") &amp; IF(C411!$F$14=G$27,C411!$B$1 &amp; " ", "") &amp; IF(C412!$F$14=G$27,C412!$B$1 &amp; " ", "") &amp; IF(M111!$F$14=G$27,M111!$B$1 &amp; " ", "") &amp; IF(M211!$F$14=G$27,M211!$B$1 &amp; " ", "") &amp; IF(M311!$F$14=G$27,M311!$B$1 &amp; " ", "") &amp; IF(M411!$F$14=G$27,M411!$B$1 &amp; " ", ""))), " ", ",")</f>
        <v/>
      </c>
      <c r="H31" s="13">
        <f>SUBSTITUTE(TRIM((IF(D111!$F$14=H$27,D111!$B$1 &amp; " ", "") &amp; IF(D211!$F$14=H$27,D211!$B$1 &amp; " ", "") &amp; IF(D311!$F$14=H$27,D311!$B$1 &amp; " ", "") &amp; IF(D411!$F$14=H$27,D411!$B$1 &amp; " ", "") &amp; IF(C111!$F$14=H$27,C111!$B$1 &amp; " ", "") &amp; IF(C121!$F$14=H$27,C121!$B$1 &amp; " ", "") &amp; IF(C122!$F$14=H$27,C122!$B$1 &amp; " ", "") &amp; IF(C211!$F$14=H$27,C211!$B$1 &amp; " ", "") &amp; IF(C212!$F$14=H$27,C212!$B$1 &amp; " ", "") &amp; IF(C311!$F$14=H$27,C311!$B$1 &amp; " ", "") &amp; IF(C312!$F$14=H$27,C312!$B$1 &amp; " ", "") &amp; IF(C411!$F$14=H$27,C411!$B$1 &amp; " ", "") &amp; IF(C412!$F$14=H$27,C412!$B$1 &amp; " ", "") &amp; IF(M111!$F$14=H$27,M111!$B$1 &amp; " ", "") &amp; IF(M211!$F$14=H$27,M211!$B$1 &amp; " ", "") &amp; IF(M311!$F$14=H$27,M311!$B$1 &amp; " ", "") &amp; IF(M411!$F$14=H$27,M411!$B$1 &amp; " ", ""))), " ", ",")</f>
        <v/>
      </c>
      <c r="I31" s="13">
        <f>SUBSTITUTE(TRIM((IF(D111!$F$14=I$27,D111!$B$1 &amp; " ", "") &amp; IF(D211!$F$14=I$27,D211!$B$1 &amp; " ", "") &amp; IF(D311!$F$14=I$27,D311!$B$1 &amp; " ", "") &amp; IF(D411!$F$14=I$27,D411!$B$1 &amp; " ", "") &amp; IF(C111!$F$14=I$27,C111!$B$1 &amp; " ", "") &amp; IF(C121!$F$14=I$27,C121!$B$1 &amp; " ", "") &amp; IF(C122!$F$14=I$27,C122!$B$1 &amp; " ", "") &amp; IF(C211!$F$14=I$27,C211!$B$1 &amp; " ", "") &amp; IF(C212!$F$14=I$27,C212!$B$1 &amp; " ", "") &amp; IF(C311!$F$14=I$27,C311!$B$1 &amp; " ", "") &amp; IF(C312!$F$14=I$27,C312!$B$1 &amp; " ", "") &amp; IF(C411!$F$14=I$27,C411!$B$1 &amp; " ", "") &amp; IF(C412!$F$14=I$27,C412!$B$1 &amp; " ", "") &amp; IF(M111!$F$14=I$27,M111!$B$1 &amp; " ", "") &amp; IF(M211!$F$14=I$27,M211!$B$1 &amp; " ", "") &amp; IF(M311!$F$14=I$27,M311!$B$1 &amp; " ", "") &amp; IF(M411!$F$14=I$27,M411!$B$1 &amp; " ", ""))), " ", ",")</f>
        <v/>
      </c>
      <c r="J31" s="13">
        <f>SUBSTITUTE(TRIM((IF(D111!$F$14=J$27,D111!$B$1 &amp; " ", "") &amp; IF(D211!$F$14=J$27,D211!$B$1 &amp; " ", "") &amp; IF(D311!$F$14=J$27,D311!$B$1 &amp; " ", "") &amp; IF(D411!$F$14=J$27,D411!$B$1 &amp; " ", "") &amp; IF(C111!$F$14=J$27,C111!$B$1 &amp; " ", "") &amp; IF(C121!$F$14=J$27,C121!$B$1 &amp; " ", "") &amp; IF(C122!$F$14=J$27,C122!$B$1 &amp; " ", "") &amp; IF(C211!$F$14=J$27,C211!$B$1 &amp; " ", "") &amp; IF(C212!$F$14=J$27,C212!$B$1 &amp; " ", "") &amp; IF(C311!$F$14=J$27,C311!$B$1 &amp; " ", "") &amp; IF(C312!$F$14=J$27,C312!$B$1 &amp; " ", "") &amp; IF(C411!$F$14=J$27,C411!$B$1 &amp; " ", "") &amp; IF(C412!$F$14=J$27,C412!$B$1 &amp; " ", "") &amp; IF(M111!$F$14=J$27,M111!$B$1 &amp; " ", "") &amp; IF(M211!$F$14=J$27,M211!$B$1 &amp; " ", "") &amp; IF(M311!$F$14=J$27,M311!$B$1 &amp; " ", "") &amp; IF(M411!$F$14=J$27,M411!$B$1 &amp; " ", ""))), " ", ",")</f>
        <v/>
      </c>
      <c r="K31" s="13">
        <f>SUBSTITUTE(TRIM((IF(D111!$F$14=K$27,D111!$B$1 &amp; " ", "") &amp; IF(D211!$F$14=K$27,D211!$B$1 &amp; " ", "") &amp; IF(D311!$F$14=K$27,D311!$B$1 &amp; " ", "") &amp; IF(D411!$F$14=K$27,D411!$B$1 &amp; " ", "") &amp; IF(C111!$F$14=K$27,C111!$B$1 &amp; " ", "") &amp; IF(C121!$F$14=K$27,C121!$B$1 &amp; " ", "") &amp; IF(C122!$F$14=K$27,C122!$B$1 &amp; " ", "") &amp; IF(C211!$F$14=K$27,C211!$B$1 &amp; " ", "") &amp; IF(C212!$F$14=K$27,C212!$B$1 &amp; " ", "") &amp; IF(C311!$F$14=K$27,C311!$B$1 &amp; " ", "") &amp; IF(C312!$F$14=K$27,C312!$B$1 &amp; " ", "") &amp; IF(C411!$F$14=K$27,C411!$B$1 &amp; " ", "") &amp; IF(C412!$F$14=K$27,C412!$B$1 &amp; " ", "") &amp; IF(M111!$F$14=K$27,M111!$B$1 &amp; " ", "") &amp; IF(M211!$F$14=K$27,M211!$B$1 &amp; " ", "") &amp; IF(M311!$F$14=K$27,M311!$B$1 &amp; " ", "") &amp; IF(M411!$F$14=K$27,M411!$B$1 &amp; " ", ""))), " ", ",")</f>
        <v/>
      </c>
      <c r="L31" s="13">
        <f>SUBSTITUTE(TRIM((IF(D111!$F$14=L$27,D111!$B$1 &amp; " ", "") &amp; IF(D211!$F$14=L$27,D211!$B$1 &amp; " ", "") &amp; IF(D311!$F$14=L$27,D311!$B$1 &amp; " ", "") &amp; IF(D411!$F$14=L$27,D411!$B$1 &amp; " ", "") &amp; IF(C111!$F$14=L$27,C111!$B$1 &amp; " ", "") &amp; IF(C121!$F$14=L$27,C121!$B$1 &amp; " ", "") &amp; IF(C122!$F$14=L$27,C122!$B$1 &amp; " ", "") &amp; IF(C211!$F$14=L$27,C211!$B$1 &amp; " ", "") &amp; IF(C212!$F$14=L$27,C212!$B$1 &amp; " ", "") &amp; IF(C311!$F$14=L$27,C311!$B$1 &amp; " ", "") &amp; IF(C312!$F$14=L$27,C312!$B$1 &amp; " ", "") &amp; IF(C411!$F$14=L$27,C411!$B$1 &amp; " ", "") &amp; IF(C412!$F$14=L$27,C412!$B$1 &amp; " ", "") &amp; IF(M111!$F$14=L$27,M111!$B$1 &amp; " ", "") &amp; IF(M211!$F$14=L$27,M211!$B$1 &amp; " ", "") &amp; IF(M311!$F$14=L$27,M311!$B$1 &amp; " ", "") &amp; IF(M411!$F$14=L$27,M411!$B$1 &amp; " ", ""))), " ", ",")</f>
        <v/>
      </c>
    </row>
    <row r="32">
      <c r="A32" t="inlineStr"/>
      <c r="B32" s="13" t="inlineStr">
        <is>
          <t>5to</t>
        </is>
      </c>
      <c r="C32" s="13">
        <f>SUBSTITUTE(TRIM((IF(D111!$F$17=C$27,D111!$B$1 &amp; " ", "") &amp; IF(D211!$F$17=C$27,D211!$B$1 &amp; " ", "") &amp; IF(D311!$F$17=C$27,D311!$B$1 &amp; " ", "") &amp; IF(D411!$F$17=C$27,D411!$B$1 &amp; " ", "") &amp; IF(C111!$F$17=C$27,C111!$B$1 &amp; " ", "") &amp; IF(C121!$F$17=C$27,C121!$B$1 &amp; " ", "") &amp; IF(C122!$F$17=C$27,C122!$B$1 &amp; " ", "") &amp; IF(C211!$F$17=C$27,C211!$B$1 &amp; " ", "") &amp; IF(C212!$F$17=C$27,C212!$B$1 &amp; " ", "") &amp; IF(C311!$F$17=C$27,C311!$B$1 &amp; " ", "") &amp; IF(C312!$F$17=C$27,C312!$B$1 &amp; " ", "") &amp; IF(C411!$F$17=C$27,C411!$B$1 &amp; " ", "") &amp; IF(C412!$F$17=C$27,C412!$B$1 &amp; " ", "") &amp; IF(M111!$F$17=C$27,M111!$B$1 &amp; " ", "") &amp; IF(M211!$F$17=C$27,M211!$B$1 &amp; " ", "") &amp; IF(M311!$F$17=C$27,M311!$B$1 &amp; " ", "") &amp; IF(M411!$F$17=C$27,M411!$B$1 &amp; " ", ""))), " ", ",")</f>
        <v/>
      </c>
      <c r="D32" s="13">
        <f>SUBSTITUTE(TRIM((IF(D111!$F$17=D$27,D111!$B$1 &amp; " ", "") &amp; IF(D211!$F$17=D$27,D211!$B$1 &amp; " ", "") &amp; IF(D311!$F$17=D$27,D311!$B$1 &amp; " ", "") &amp; IF(D411!$F$17=D$27,D411!$B$1 &amp; " ", "") &amp; IF(C111!$F$17=D$27,C111!$B$1 &amp; " ", "") &amp; IF(C121!$F$17=D$27,C121!$B$1 &amp; " ", "") &amp; IF(C122!$F$17=D$27,C122!$B$1 &amp; " ", "") &amp; IF(C211!$F$17=D$27,C211!$B$1 &amp; " ", "") &amp; IF(C212!$F$17=D$27,C212!$B$1 &amp; " ", "") &amp; IF(C311!$F$17=D$27,C311!$B$1 &amp; " ", "") &amp; IF(C312!$F$17=D$27,C312!$B$1 &amp; " ", "") &amp; IF(C411!$F$17=D$27,C411!$B$1 &amp; " ", "") &amp; IF(C412!$F$17=D$27,C412!$B$1 &amp; " ", "") &amp; IF(M111!$F$17=D$27,M111!$B$1 &amp; " ", "") &amp; IF(M211!$F$17=D$27,M211!$B$1 &amp; " ", "") &amp; IF(M311!$F$17=D$27,M311!$B$1 &amp; " ", "") &amp; IF(M411!$F$17=D$27,M411!$B$1 &amp; " ", ""))), " ", ",")</f>
        <v/>
      </c>
      <c r="E32" s="13">
        <f>SUBSTITUTE(TRIM((IF(D111!$F$17=E$27,D111!$B$1 &amp; " ", "") &amp; IF(D211!$F$17=E$27,D211!$B$1 &amp; " ", "") &amp; IF(D311!$F$17=E$27,D311!$B$1 &amp; " ", "") &amp; IF(D411!$F$17=E$27,D411!$B$1 &amp; " ", "") &amp; IF(C111!$F$17=E$27,C111!$B$1 &amp; " ", "") &amp; IF(C121!$F$17=E$27,C121!$B$1 &amp; " ", "") &amp; IF(C122!$F$17=E$27,C122!$B$1 &amp; " ", "") &amp; IF(C211!$F$17=E$27,C211!$B$1 &amp; " ", "") &amp; IF(C212!$F$17=E$27,C212!$B$1 &amp; " ", "") &amp; IF(C311!$F$17=E$27,C311!$B$1 &amp; " ", "") &amp; IF(C312!$F$17=E$27,C312!$B$1 &amp; " ", "") &amp; IF(C411!$F$17=E$27,C411!$B$1 &amp; " ", "") &amp; IF(C412!$F$17=E$27,C412!$B$1 &amp; " ", "") &amp; IF(M111!$F$17=E$27,M111!$B$1 &amp; " ", "") &amp; IF(M211!$F$17=E$27,M211!$B$1 &amp; " ", "") &amp; IF(M311!$F$17=E$27,M311!$B$1 &amp; " ", "") &amp; IF(M411!$F$17=E$27,M411!$B$1 &amp; " ", ""))), " ", ",")</f>
        <v/>
      </c>
      <c r="F32" s="13">
        <f>SUBSTITUTE(TRIM((IF(D111!$F$17=F$27,D111!$B$1 &amp; " ", "") &amp; IF(D211!$F$17=F$27,D211!$B$1 &amp; " ", "") &amp; IF(D311!$F$17=F$27,D311!$B$1 &amp; " ", "") &amp; IF(D411!$F$17=F$27,D411!$B$1 &amp; " ", "") &amp; IF(C111!$F$17=F$27,C111!$B$1 &amp; " ", "") &amp; IF(C121!$F$17=F$27,C121!$B$1 &amp; " ", "") &amp; IF(C122!$F$17=F$27,C122!$B$1 &amp; " ", "") &amp; IF(C211!$F$17=F$27,C211!$B$1 &amp; " ", "") &amp; IF(C212!$F$17=F$27,C212!$B$1 &amp; " ", "") &amp; IF(C311!$F$17=F$27,C311!$B$1 &amp; " ", "") &amp; IF(C312!$F$17=F$27,C312!$B$1 &amp; " ", "") &amp; IF(C411!$F$17=F$27,C411!$B$1 &amp; " ", "") &amp; IF(C412!$F$17=F$27,C412!$B$1 &amp; " ", "") &amp; IF(M111!$F$17=F$27,M111!$B$1 &amp; " ", "") &amp; IF(M211!$F$17=F$27,M211!$B$1 &amp; " ", "") &amp; IF(M311!$F$17=F$27,M311!$B$1 &amp; " ", "") &amp; IF(M411!$F$17=F$27,M411!$B$1 &amp; " ", ""))), " ", ",")</f>
        <v/>
      </c>
      <c r="G32" s="13">
        <f>SUBSTITUTE(TRIM((IF(D111!$F$17=G$27,D111!$B$1 &amp; " ", "") &amp; IF(D211!$F$17=G$27,D211!$B$1 &amp; " ", "") &amp; IF(D311!$F$17=G$27,D311!$B$1 &amp; " ", "") &amp; IF(D411!$F$17=G$27,D411!$B$1 &amp; " ", "") &amp; IF(C111!$F$17=G$27,C111!$B$1 &amp; " ", "") &amp; IF(C121!$F$17=G$27,C121!$B$1 &amp; " ", "") &amp; IF(C122!$F$17=G$27,C122!$B$1 &amp; " ", "") &amp; IF(C211!$F$17=G$27,C211!$B$1 &amp; " ", "") &amp; IF(C212!$F$17=G$27,C212!$B$1 &amp; " ", "") &amp; IF(C311!$F$17=G$27,C311!$B$1 &amp; " ", "") &amp; IF(C312!$F$17=G$27,C312!$B$1 &amp; " ", "") &amp; IF(C411!$F$17=G$27,C411!$B$1 &amp; " ", "") &amp; IF(C412!$F$17=G$27,C412!$B$1 &amp; " ", "") &amp; IF(M111!$F$17=G$27,M111!$B$1 &amp; " ", "") &amp; IF(M211!$F$17=G$27,M211!$B$1 &amp; " ", "") &amp; IF(M311!$F$17=G$27,M311!$B$1 &amp; " ", "") &amp; IF(M411!$F$17=G$27,M411!$B$1 &amp; " ", ""))), " ", ",")</f>
        <v/>
      </c>
      <c r="H32" s="13">
        <f>SUBSTITUTE(TRIM((IF(D111!$F$17=H$27,D111!$B$1 &amp; " ", "") &amp; IF(D211!$F$17=H$27,D211!$B$1 &amp; " ", "") &amp; IF(D311!$F$17=H$27,D311!$B$1 &amp; " ", "") &amp; IF(D411!$F$17=H$27,D411!$B$1 &amp; " ", "") &amp; IF(C111!$F$17=H$27,C111!$B$1 &amp; " ", "") &amp; IF(C121!$F$17=H$27,C121!$B$1 &amp; " ", "") &amp; IF(C122!$F$17=H$27,C122!$B$1 &amp; " ", "") &amp; IF(C211!$F$17=H$27,C211!$B$1 &amp; " ", "") &amp; IF(C212!$F$17=H$27,C212!$B$1 &amp; " ", "") &amp; IF(C311!$F$17=H$27,C311!$B$1 &amp; " ", "") &amp; IF(C312!$F$17=H$27,C312!$B$1 &amp; " ", "") &amp; IF(C411!$F$17=H$27,C411!$B$1 &amp; " ", "") &amp; IF(C412!$F$17=H$27,C412!$B$1 &amp; " ", "") &amp; IF(M111!$F$17=H$27,M111!$B$1 &amp; " ", "") &amp; IF(M211!$F$17=H$27,M211!$B$1 &amp; " ", "") &amp; IF(M311!$F$17=H$27,M311!$B$1 &amp; " ", "") &amp; IF(M411!$F$17=H$27,M411!$B$1 &amp; " ", ""))), " ", ",")</f>
        <v/>
      </c>
      <c r="I32" s="13">
        <f>SUBSTITUTE(TRIM((IF(D111!$F$17=I$27,D111!$B$1 &amp; " ", "") &amp; IF(D211!$F$17=I$27,D211!$B$1 &amp; " ", "") &amp; IF(D311!$F$17=I$27,D311!$B$1 &amp; " ", "") &amp; IF(D411!$F$17=I$27,D411!$B$1 &amp; " ", "") &amp; IF(C111!$F$17=I$27,C111!$B$1 &amp; " ", "") &amp; IF(C121!$F$17=I$27,C121!$B$1 &amp; " ", "") &amp; IF(C122!$F$17=I$27,C122!$B$1 &amp; " ", "") &amp; IF(C211!$F$17=I$27,C211!$B$1 &amp; " ", "") &amp; IF(C212!$F$17=I$27,C212!$B$1 &amp; " ", "") &amp; IF(C311!$F$17=I$27,C311!$B$1 &amp; " ", "") &amp; IF(C312!$F$17=I$27,C312!$B$1 &amp; " ", "") &amp; IF(C411!$F$17=I$27,C411!$B$1 &amp; " ", "") &amp; IF(C412!$F$17=I$27,C412!$B$1 &amp; " ", "") &amp; IF(M111!$F$17=I$27,M111!$B$1 &amp; " ", "") &amp; IF(M211!$F$17=I$27,M211!$B$1 &amp; " ", "") &amp; IF(M311!$F$17=I$27,M311!$B$1 &amp; " ", "") &amp; IF(M411!$F$17=I$27,M411!$B$1 &amp; " ", ""))), " ", ",")</f>
        <v/>
      </c>
      <c r="J32" s="13">
        <f>SUBSTITUTE(TRIM((IF(D111!$F$17=J$27,D111!$B$1 &amp; " ", "") &amp; IF(D211!$F$17=J$27,D211!$B$1 &amp; " ", "") &amp; IF(D311!$F$17=J$27,D311!$B$1 &amp; " ", "") &amp; IF(D411!$F$17=J$27,D411!$B$1 &amp; " ", "") &amp; IF(C111!$F$17=J$27,C111!$B$1 &amp; " ", "") &amp; IF(C121!$F$17=J$27,C121!$B$1 &amp; " ", "") &amp; IF(C122!$F$17=J$27,C122!$B$1 &amp; " ", "") &amp; IF(C211!$F$17=J$27,C211!$B$1 &amp; " ", "") &amp; IF(C212!$F$17=J$27,C212!$B$1 &amp; " ", "") &amp; IF(C311!$F$17=J$27,C311!$B$1 &amp; " ", "") &amp; IF(C312!$F$17=J$27,C312!$B$1 &amp; " ", "") &amp; IF(C411!$F$17=J$27,C411!$B$1 &amp; " ", "") &amp; IF(C412!$F$17=J$27,C412!$B$1 &amp; " ", "") &amp; IF(M111!$F$17=J$27,M111!$B$1 &amp; " ", "") &amp; IF(M211!$F$17=J$27,M211!$B$1 &amp; " ", "") &amp; IF(M311!$F$17=J$27,M311!$B$1 &amp; " ", "") &amp; IF(M411!$F$17=J$27,M411!$B$1 &amp; " ", ""))), " ", ",")</f>
        <v/>
      </c>
      <c r="K32" s="13">
        <f>SUBSTITUTE(TRIM((IF(D111!$F$17=K$27,D111!$B$1 &amp; " ", "") &amp; IF(D211!$F$17=K$27,D211!$B$1 &amp; " ", "") &amp; IF(D311!$F$17=K$27,D311!$B$1 &amp; " ", "") &amp; IF(D411!$F$17=K$27,D411!$B$1 &amp; " ", "") &amp; IF(C111!$F$17=K$27,C111!$B$1 &amp; " ", "") &amp; IF(C121!$F$17=K$27,C121!$B$1 &amp; " ", "") &amp; IF(C122!$F$17=K$27,C122!$B$1 &amp; " ", "") &amp; IF(C211!$F$17=K$27,C211!$B$1 &amp; " ", "") &amp; IF(C212!$F$17=K$27,C212!$B$1 &amp; " ", "") &amp; IF(C311!$F$17=K$27,C311!$B$1 &amp; " ", "") &amp; IF(C312!$F$17=K$27,C312!$B$1 &amp; " ", "") &amp; IF(C411!$F$17=K$27,C411!$B$1 &amp; " ", "") &amp; IF(C412!$F$17=K$27,C412!$B$1 &amp; " ", "") &amp; IF(M111!$F$17=K$27,M111!$B$1 &amp; " ", "") &amp; IF(M211!$F$17=K$27,M211!$B$1 &amp; " ", "") &amp; IF(M311!$F$17=K$27,M311!$B$1 &amp; " ", "") &amp; IF(M411!$F$17=K$27,M411!$B$1 &amp; " ", ""))), " ", ",")</f>
        <v/>
      </c>
      <c r="L32" s="13">
        <f>SUBSTITUTE(TRIM((IF(D111!$F$17=L$27,D111!$B$1 &amp; " ", "") &amp; IF(D211!$F$17=L$27,D211!$B$1 &amp; " ", "") &amp; IF(D311!$F$17=L$27,D311!$B$1 &amp; " ", "") &amp; IF(D411!$F$17=L$27,D411!$B$1 &amp; " ", "") &amp; IF(C111!$F$17=L$27,C111!$B$1 &amp; " ", "") &amp; IF(C121!$F$17=L$27,C121!$B$1 &amp; " ", "") &amp; IF(C122!$F$17=L$27,C122!$B$1 &amp; " ", "") &amp; IF(C211!$F$17=L$27,C211!$B$1 &amp; " ", "") &amp; IF(C212!$F$17=L$27,C212!$B$1 &amp; " ", "") &amp; IF(C311!$F$17=L$27,C311!$B$1 &amp; " ", "") &amp; IF(C312!$F$17=L$27,C312!$B$1 &amp; " ", "") &amp; IF(C411!$F$17=L$27,C411!$B$1 &amp; " ", "") &amp; IF(C412!$F$17=L$27,C412!$B$1 &amp; " ", "") &amp; IF(M111!$F$17=L$27,M111!$B$1 &amp; " ", "") &amp; IF(M211!$F$17=L$27,M211!$B$1 &amp; " ", "") &amp; IF(M311!$F$17=L$27,M311!$B$1 &amp; " ", "") &amp; IF(M411!$F$17=L$27,M411!$B$1 &amp; " ", ""))), " ", ",")</f>
        <v/>
      </c>
    </row>
    <row r="33">
      <c r="A33" t="inlineStr"/>
      <c r="B33" s="13" t="inlineStr">
        <is>
          <t>6to</t>
        </is>
      </c>
      <c r="C33" s="13">
        <f>SUBSTITUTE(TRIM((IF(D111!$F$20=C$27,D111!$B$1 &amp; " ", "") &amp; IF(D211!$F$20=C$27,D211!$B$1 &amp; " ", "") &amp; IF(D311!$F$20=C$27,D311!$B$1 &amp; " ", "") &amp; IF(D411!$F$20=C$27,D411!$B$1 &amp; " ", "") &amp; IF(C111!$F$20=C$27,C111!$B$1 &amp; " ", "") &amp; IF(C121!$F$20=C$27,C121!$B$1 &amp; " ", "") &amp; IF(C122!$F$20=C$27,C122!$B$1 &amp; " ", "") &amp; IF(C211!$F$20=C$27,C211!$B$1 &amp; " ", "") &amp; IF(C212!$F$20=C$27,C212!$B$1 &amp; " ", "") &amp; IF(C311!$F$20=C$27,C311!$B$1 &amp; " ", "") &amp; IF(C312!$F$20=C$27,C312!$B$1 &amp; " ", "") &amp; IF(C411!$F$20=C$27,C411!$B$1 &amp; " ", "") &amp; IF(C412!$F$20=C$27,C412!$B$1 &amp; " ", "") &amp; IF(M111!$F$20=C$27,M111!$B$1 &amp; " ", "") &amp; IF(M211!$F$20=C$27,M211!$B$1 &amp; " ", "") &amp; IF(M311!$F$20=C$27,M311!$B$1 &amp; " ", "") &amp; IF(M411!$F$20=C$27,M411!$B$1 &amp; " ", ""))), " ", ",")</f>
        <v/>
      </c>
      <c r="D33" s="13">
        <f>SUBSTITUTE(TRIM((IF(D111!$F$20=D$27,D111!$B$1 &amp; " ", "") &amp; IF(D211!$F$20=D$27,D211!$B$1 &amp; " ", "") &amp; IF(D311!$F$20=D$27,D311!$B$1 &amp; " ", "") &amp; IF(D411!$F$20=D$27,D411!$B$1 &amp; " ", "") &amp; IF(C111!$F$20=D$27,C111!$B$1 &amp; " ", "") &amp; IF(C121!$F$20=D$27,C121!$B$1 &amp; " ", "") &amp; IF(C122!$F$20=D$27,C122!$B$1 &amp; " ", "") &amp; IF(C211!$F$20=D$27,C211!$B$1 &amp; " ", "") &amp; IF(C212!$F$20=D$27,C212!$B$1 &amp; " ", "") &amp; IF(C311!$F$20=D$27,C311!$B$1 &amp; " ", "") &amp; IF(C312!$F$20=D$27,C312!$B$1 &amp; " ", "") &amp; IF(C411!$F$20=D$27,C411!$B$1 &amp; " ", "") &amp; IF(C412!$F$20=D$27,C412!$B$1 &amp; " ", "") &amp; IF(M111!$F$20=D$27,M111!$B$1 &amp; " ", "") &amp; IF(M211!$F$20=D$27,M211!$B$1 &amp; " ", "") &amp; IF(M311!$F$20=D$27,M311!$B$1 &amp; " ", "") &amp; IF(M411!$F$20=D$27,M411!$B$1 &amp; " ", ""))), " ", ",")</f>
        <v/>
      </c>
      <c r="E33" s="13">
        <f>SUBSTITUTE(TRIM((IF(D111!$F$20=E$27,D111!$B$1 &amp; " ", "") &amp; IF(D211!$F$20=E$27,D211!$B$1 &amp; " ", "") &amp; IF(D311!$F$20=E$27,D311!$B$1 &amp; " ", "") &amp; IF(D411!$F$20=E$27,D411!$B$1 &amp; " ", "") &amp; IF(C111!$F$20=E$27,C111!$B$1 &amp; " ", "") &amp; IF(C121!$F$20=E$27,C121!$B$1 &amp; " ", "") &amp; IF(C122!$F$20=E$27,C122!$B$1 &amp; " ", "") &amp; IF(C211!$F$20=E$27,C211!$B$1 &amp; " ", "") &amp; IF(C212!$F$20=E$27,C212!$B$1 &amp; " ", "") &amp; IF(C311!$F$20=E$27,C311!$B$1 &amp; " ", "") &amp; IF(C312!$F$20=E$27,C312!$B$1 &amp; " ", "") &amp; IF(C411!$F$20=E$27,C411!$B$1 &amp; " ", "") &amp; IF(C412!$F$20=E$27,C412!$B$1 &amp; " ", "") &amp; IF(M111!$F$20=E$27,M111!$B$1 &amp; " ", "") &amp; IF(M211!$F$20=E$27,M211!$B$1 &amp; " ", "") &amp; IF(M311!$F$20=E$27,M311!$B$1 &amp; " ", "") &amp; IF(M411!$F$20=E$27,M411!$B$1 &amp; " ", ""))), " ", ",")</f>
        <v/>
      </c>
      <c r="F33" s="13">
        <f>SUBSTITUTE(TRIM((IF(D111!$F$20=F$27,D111!$B$1 &amp; " ", "") &amp; IF(D211!$F$20=F$27,D211!$B$1 &amp; " ", "") &amp; IF(D311!$F$20=F$27,D311!$B$1 &amp; " ", "") &amp; IF(D411!$F$20=F$27,D411!$B$1 &amp; " ", "") &amp; IF(C111!$F$20=F$27,C111!$B$1 &amp; " ", "") &amp; IF(C121!$F$20=F$27,C121!$B$1 &amp; " ", "") &amp; IF(C122!$F$20=F$27,C122!$B$1 &amp; " ", "") &amp; IF(C211!$F$20=F$27,C211!$B$1 &amp; " ", "") &amp; IF(C212!$F$20=F$27,C212!$B$1 &amp; " ", "") &amp; IF(C311!$F$20=F$27,C311!$B$1 &amp; " ", "") &amp; IF(C312!$F$20=F$27,C312!$B$1 &amp; " ", "") &amp; IF(C411!$F$20=F$27,C411!$B$1 &amp; " ", "") &amp; IF(C412!$F$20=F$27,C412!$B$1 &amp; " ", "") &amp; IF(M111!$F$20=F$27,M111!$B$1 &amp; " ", "") &amp; IF(M211!$F$20=F$27,M211!$B$1 &amp; " ", "") &amp; IF(M311!$F$20=F$27,M311!$B$1 &amp; " ", "") &amp; IF(M411!$F$20=F$27,M411!$B$1 &amp; " ", ""))), " ", ",")</f>
        <v/>
      </c>
      <c r="G33" s="13">
        <f>SUBSTITUTE(TRIM((IF(D111!$F$20=G$27,D111!$B$1 &amp; " ", "") &amp; IF(D211!$F$20=G$27,D211!$B$1 &amp; " ", "") &amp; IF(D311!$F$20=G$27,D311!$B$1 &amp; " ", "") &amp; IF(D411!$F$20=G$27,D411!$B$1 &amp; " ", "") &amp; IF(C111!$F$20=G$27,C111!$B$1 &amp; " ", "") &amp; IF(C121!$F$20=G$27,C121!$B$1 &amp; " ", "") &amp; IF(C122!$F$20=G$27,C122!$B$1 &amp; " ", "") &amp; IF(C211!$F$20=G$27,C211!$B$1 &amp; " ", "") &amp; IF(C212!$F$20=G$27,C212!$B$1 &amp; " ", "") &amp; IF(C311!$F$20=G$27,C311!$B$1 &amp; " ", "") &amp; IF(C312!$F$20=G$27,C312!$B$1 &amp; " ", "") &amp; IF(C411!$F$20=G$27,C411!$B$1 &amp; " ", "") &amp; IF(C412!$F$20=G$27,C412!$B$1 &amp; " ", "") &amp; IF(M111!$F$20=G$27,M111!$B$1 &amp; " ", "") &amp; IF(M211!$F$20=G$27,M211!$B$1 &amp; " ", "") &amp; IF(M311!$F$20=G$27,M311!$B$1 &amp; " ", "") &amp; IF(M411!$F$20=G$27,M411!$B$1 &amp; " ", ""))), " ", ",")</f>
        <v/>
      </c>
      <c r="H33" s="13">
        <f>SUBSTITUTE(TRIM((IF(D111!$F$20=H$27,D111!$B$1 &amp; " ", "") &amp; IF(D211!$F$20=H$27,D211!$B$1 &amp; " ", "") &amp; IF(D311!$F$20=H$27,D311!$B$1 &amp; " ", "") &amp; IF(D411!$F$20=H$27,D411!$B$1 &amp; " ", "") &amp; IF(C111!$F$20=H$27,C111!$B$1 &amp; " ", "") &amp; IF(C121!$F$20=H$27,C121!$B$1 &amp; " ", "") &amp; IF(C122!$F$20=H$27,C122!$B$1 &amp; " ", "") &amp; IF(C211!$F$20=H$27,C211!$B$1 &amp; " ", "") &amp; IF(C212!$F$20=H$27,C212!$B$1 &amp; " ", "") &amp; IF(C311!$F$20=H$27,C311!$B$1 &amp; " ", "") &amp; IF(C312!$F$20=H$27,C312!$B$1 &amp; " ", "") &amp; IF(C411!$F$20=H$27,C411!$B$1 &amp; " ", "") &amp; IF(C412!$F$20=H$27,C412!$B$1 &amp; " ", "") &amp; IF(M111!$F$20=H$27,M111!$B$1 &amp; " ", "") &amp; IF(M211!$F$20=H$27,M211!$B$1 &amp; " ", "") &amp; IF(M311!$F$20=H$27,M311!$B$1 &amp; " ", "") &amp; IF(M411!$F$20=H$27,M411!$B$1 &amp; " ", ""))), " ", ",")</f>
        <v/>
      </c>
      <c r="I33" s="13">
        <f>SUBSTITUTE(TRIM((IF(D111!$F$20=I$27,D111!$B$1 &amp; " ", "") &amp; IF(D211!$F$20=I$27,D211!$B$1 &amp; " ", "") &amp; IF(D311!$F$20=I$27,D311!$B$1 &amp; " ", "") &amp; IF(D411!$F$20=I$27,D411!$B$1 &amp; " ", "") &amp; IF(C111!$F$20=I$27,C111!$B$1 &amp; " ", "") &amp; IF(C121!$F$20=I$27,C121!$B$1 &amp; " ", "") &amp; IF(C122!$F$20=I$27,C122!$B$1 &amp; " ", "") &amp; IF(C211!$F$20=I$27,C211!$B$1 &amp; " ", "") &amp; IF(C212!$F$20=I$27,C212!$B$1 &amp; " ", "") &amp; IF(C311!$F$20=I$27,C311!$B$1 &amp; " ", "") &amp; IF(C312!$F$20=I$27,C312!$B$1 &amp; " ", "") &amp; IF(C411!$F$20=I$27,C411!$B$1 &amp; " ", "") &amp; IF(C412!$F$20=I$27,C412!$B$1 &amp; " ", "") &amp; IF(M111!$F$20=I$27,M111!$B$1 &amp; " ", "") &amp; IF(M211!$F$20=I$27,M211!$B$1 &amp; " ", "") &amp; IF(M311!$F$20=I$27,M311!$B$1 &amp; " ", "") &amp; IF(M411!$F$20=I$27,M411!$B$1 &amp; " ", ""))), " ", ",")</f>
        <v/>
      </c>
      <c r="J33" s="13">
        <f>SUBSTITUTE(TRIM((IF(D111!$F$20=J$27,D111!$B$1 &amp; " ", "") &amp; IF(D211!$F$20=J$27,D211!$B$1 &amp; " ", "") &amp; IF(D311!$F$20=J$27,D311!$B$1 &amp; " ", "") &amp; IF(D411!$F$20=J$27,D411!$B$1 &amp; " ", "") &amp; IF(C111!$F$20=J$27,C111!$B$1 &amp; " ", "") &amp; IF(C121!$F$20=J$27,C121!$B$1 &amp; " ", "") &amp; IF(C122!$F$20=J$27,C122!$B$1 &amp; " ", "") &amp; IF(C211!$F$20=J$27,C211!$B$1 &amp; " ", "") &amp; IF(C212!$F$20=J$27,C212!$B$1 &amp; " ", "") &amp; IF(C311!$F$20=J$27,C311!$B$1 &amp; " ", "") &amp; IF(C312!$F$20=J$27,C312!$B$1 &amp; " ", "") &amp; IF(C411!$F$20=J$27,C411!$B$1 &amp; " ", "") &amp; IF(C412!$F$20=J$27,C412!$B$1 &amp; " ", "") &amp; IF(M111!$F$20=J$27,M111!$B$1 &amp; " ", "") &amp; IF(M211!$F$20=J$27,M211!$B$1 &amp; " ", "") &amp; IF(M311!$F$20=J$27,M311!$B$1 &amp; " ", "") &amp; IF(M411!$F$20=J$27,M411!$B$1 &amp; " ", ""))), " ", ",")</f>
        <v/>
      </c>
      <c r="K33" s="13">
        <f>SUBSTITUTE(TRIM((IF(D111!$F$20=K$27,D111!$B$1 &amp; " ", "") &amp; IF(D211!$F$20=K$27,D211!$B$1 &amp; " ", "") &amp; IF(D311!$F$20=K$27,D311!$B$1 &amp; " ", "") &amp; IF(D411!$F$20=K$27,D411!$B$1 &amp; " ", "") &amp; IF(C111!$F$20=K$27,C111!$B$1 &amp; " ", "") &amp; IF(C121!$F$20=K$27,C121!$B$1 &amp; " ", "") &amp; IF(C122!$F$20=K$27,C122!$B$1 &amp; " ", "") &amp; IF(C211!$F$20=K$27,C211!$B$1 &amp; " ", "") &amp; IF(C212!$F$20=K$27,C212!$B$1 &amp; " ", "") &amp; IF(C311!$F$20=K$27,C311!$B$1 &amp; " ", "") &amp; IF(C312!$F$20=K$27,C312!$B$1 &amp; " ", "") &amp; IF(C411!$F$20=K$27,C411!$B$1 &amp; " ", "") &amp; IF(C412!$F$20=K$27,C412!$B$1 &amp; " ", "") &amp; IF(M111!$F$20=K$27,M111!$B$1 &amp; " ", "") &amp; IF(M211!$F$20=K$27,M211!$B$1 &amp; " ", "") &amp; IF(M311!$F$20=K$27,M311!$B$1 &amp; " ", "") &amp; IF(M411!$F$20=K$27,M411!$B$1 &amp; " ", ""))), " ", ",")</f>
        <v/>
      </c>
      <c r="L33" s="13">
        <f>SUBSTITUTE(TRIM((IF(D111!$F$20=L$27,D111!$B$1 &amp; " ", "") &amp; IF(D211!$F$20=L$27,D211!$B$1 &amp; " ", "") &amp; IF(D311!$F$20=L$27,D311!$B$1 &amp; " ", "") &amp; IF(D411!$F$20=L$27,D411!$B$1 &amp; " ", "") &amp; IF(C111!$F$20=L$27,C111!$B$1 &amp; " ", "") &amp; IF(C121!$F$20=L$27,C121!$B$1 &amp; " ", "") &amp; IF(C122!$F$20=L$27,C122!$B$1 &amp; " ", "") &amp; IF(C211!$F$20=L$27,C211!$B$1 &amp; " ", "") &amp; IF(C212!$F$20=L$27,C212!$B$1 &amp; " ", "") &amp; IF(C311!$F$20=L$27,C311!$B$1 &amp; " ", "") &amp; IF(C312!$F$20=L$27,C312!$B$1 &amp; " ", "") &amp; IF(C411!$F$20=L$27,C411!$B$1 &amp; " ", "") &amp; IF(C412!$F$20=L$27,C412!$B$1 &amp; " ", "") &amp; IF(M111!$F$20=L$27,M111!$B$1 &amp; " ", "") &amp; IF(M211!$F$20=L$27,M211!$B$1 &amp; " ", "") &amp; IF(M311!$F$20=L$27,M311!$B$1 &amp; " ", "") &amp; IF(M411!$F$20=L$27,M411!$B$1 &amp; " ", ""))), " ", ",")</f>
        <v/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12" t="inlineStr">
        <is>
          <t>Viernes</t>
        </is>
      </c>
      <c r="C35" s="12" t="inlineStr">
        <is>
          <t>Aula 1</t>
        </is>
      </c>
      <c r="D35" s="12" t="inlineStr">
        <is>
          <t>Aula 2</t>
        </is>
      </c>
      <c r="E35" s="12" t="inlineStr">
        <is>
          <t>Aula 3</t>
        </is>
      </c>
      <c r="F35" s="12" t="inlineStr">
        <is>
          <t>Aula 4</t>
        </is>
      </c>
      <c r="G35" s="12" t="inlineStr">
        <is>
          <t>Aula 5</t>
        </is>
      </c>
      <c r="H35" s="12" t="inlineStr">
        <is>
          <t>Aula 6</t>
        </is>
      </c>
      <c r="I35" s="12" t="inlineStr">
        <is>
          <t>Aula 7</t>
        </is>
      </c>
      <c r="J35" s="12" t="inlineStr">
        <is>
          <t>Aula 8</t>
        </is>
      </c>
      <c r="K35" s="12" t="inlineStr">
        <is>
          <t>Aula 9</t>
        </is>
      </c>
      <c r="L35" s="12" t="inlineStr">
        <is>
          <t>Lab</t>
        </is>
      </c>
    </row>
    <row r="36">
      <c r="A36" t="inlineStr"/>
      <c r="B36" s="13" t="inlineStr">
        <is>
          <t>1ro</t>
        </is>
      </c>
      <c r="C36" s="13">
        <f>SUBSTITUTE(TRIM((IF(D111!$G$5=C$35,D111!$B$1 &amp; " ", "") &amp; IF(D211!$G$5=C$35,D211!$B$1 &amp; " ", "") &amp; IF(D311!$G$5=C$35,D311!$B$1 &amp; " ", "") &amp; IF(D411!$G$5=C$35,D411!$B$1 &amp; " ", "") &amp; IF(C111!$G$5=C$35,C111!$B$1 &amp; " ", "") &amp; IF(C121!$G$5=C$35,C121!$B$1 &amp; " ", "") &amp; IF(C122!$G$5=C$35,C122!$B$1 &amp; " ", "") &amp; IF(C211!$G$5=C$35,C211!$B$1 &amp; " ", "") &amp; IF(C212!$G$5=C$35,C212!$B$1 &amp; " ", "") &amp; IF(C311!$G$5=C$35,C311!$B$1 &amp; " ", "") &amp; IF(C312!$G$5=C$35,C312!$B$1 &amp; " ", "") &amp; IF(C411!$G$5=C$35,C411!$B$1 &amp; " ", "") &amp; IF(C412!$G$5=C$35,C412!$B$1 &amp; " ", "") &amp; IF(M111!$G$5=C$35,M111!$B$1 &amp; " ", "") &amp; IF(M211!$G$5=C$35,M211!$B$1 &amp; " ", "") &amp; IF(M311!$G$5=C$35,M311!$B$1 &amp; " ", "") &amp; IF(M411!$G$5=C$35,M411!$B$1 &amp; " ", ""))), " ", ",")</f>
        <v/>
      </c>
      <c r="D36" s="13">
        <f>SUBSTITUTE(TRIM((IF(D111!$G$5=D$35,D111!$B$1 &amp; " ", "") &amp; IF(D211!$G$5=D$35,D211!$B$1 &amp; " ", "") &amp; IF(D311!$G$5=D$35,D311!$B$1 &amp; " ", "") &amp; IF(D411!$G$5=D$35,D411!$B$1 &amp; " ", "") &amp; IF(C111!$G$5=D$35,C111!$B$1 &amp; " ", "") &amp; IF(C121!$G$5=D$35,C121!$B$1 &amp; " ", "") &amp; IF(C122!$G$5=D$35,C122!$B$1 &amp; " ", "") &amp; IF(C211!$G$5=D$35,C211!$B$1 &amp; " ", "") &amp; IF(C212!$G$5=D$35,C212!$B$1 &amp; " ", "") &amp; IF(C311!$G$5=D$35,C311!$B$1 &amp; " ", "") &amp; IF(C312!$G$5=D$35,C312!$B$1 &amp; " ", "") &amp; IF(C411!$G$5=D$35,C411!$B$1 &amp; " ", "") &amp; IF(C412!$G$5=D$35,C412!$B$1 &amp; " ", "") &amp; IF(M111!$G$5=D$35,M111!$B$1 &amp; " ", "") &amp; IF(M211!$G$5=D$35,M211!$B$1 &amp; " ", "") &amp; IF(M311!$G$5=D$35,M311!$B$1 &amp; " ", "") &amp; IF(M411!$G$5=D$35,M411!$B$1 &amp; " ", ""))), " ", ",")</f>
        <v/>
      </c>
      <c r="E36" s="13">
        <f>SUBSTITUTE(TRIM((IF(D111!$G$5=E$35,D111!$B$1 &amp; " ", "") &amp; IF(D211!$G$5=E$35,D211!$B$1 &amp; " ", "") &amp; IF(D311!$G$5=E$35,D311!$B$1 &amp; " ", "") &amp; IF(D411!$G$5=E$35,D411!$B$1 &amp; " ", "") &amp; IF(C111!$G$5=E$35,C111!$B$1 &amp; " ", "") &amp; IF(C121!$G$5=E$35,C121!$B$1 &amp; " ", "") &amp; IF(C122!$G$5=E$35,C122!$B$1 &amp; " ", "") &amp; IF(C211!$G$5=E$35,C211!$B$1 &amp; " ", "") &amp; IF(C212!$G$5=E$35,C212!$B$1 &amp; " ", "") &amp; IF(C311!$G$5=E$35,C311!$B$1 &amp; " ", "") &amp; IF(C312!$G$5=E$35,C312!$B$1 &amp; " ", "") &amp; IF(C411!$G$5=E$35,C411!$B$1 &amp; " ", "") &amp; IF(C412!$G$5=E$35,C412!$B$1 &amp; " ", "") &amp; IF(M111!$G$5=E$35,M111!$B$1 &amp; " ", "") &amp; IF(M211!$G$5=E$35,M211!$B$1 &amp; " ", "") &amp; IF(M311!$G$5=E$35,M311!$B$1 &amp; " ", "") &amp; IF(M411!$G$5=E$35,M411!$B$1 &amp; " ", ""))), " ", ",")</f>
        <v/>
      </c>
      <c r="F36" s="13">
        <f>SUBSTITUTE(TRIM((IF(D111!$G$5=F$35,D111!$B$1 &amp; " ", "") &amp; IF(D211!$G$5=F$35,D211!$B$1 &amp; " ", "") &amp; IF(D311!$G$5=F$35,D311!$B$1 &amp; " ", "") &amp; IF(D411!$G$5=F$35,D411!$B$1 &amp; " ", "") &amp; IF(C111!$G$5=F$35,C111!$B$1 &amp; " ", "") &amp; IF(C121!$G$5=F$35,C121!$B$1 &amp; " ", "") &amp; IF(C122!$G$5=F$35,C122!$B$1 &amp; " ", "") &amp; IF(C211!$G$5=F$35,C211!$B$1 &amp; " ", "") &amp; IF(C212!$G$5=F$35,C212!$B$1 &amp; " ", "") &amp; IF(C311!$G$5=F$35,C311!$B$1 &amp; " ", "") &amp; IF(C312!$G$5=F$35,C312!$B$1 &amp; " ", "") &amp; IF(C411!$G$5=F$35,C411!$B$1 &amp; " ", "") &amp; IF(C412!$G$5=F$35,C412!$B$1 &amp; " ", "") &amp; IF(M111!$G$5=F$35,M111!$B$1 &amp; " ", "") &amp; IF(M211!$G$5=F$35,M211!$B$1 &amp; " ", "") &amp; IF(M311!$G$5=F$35,M311!$B$1 &amp; " ", "") &amp; IF(M411!$G$5=F$35,M411!$B$1 &amp; " ", ""))), " ", ",")</f>
        <v/>
      </c>
      <c r="G36" s="13">
        <f>SUBSTITUTE(TRIM((IF(D111!$G$5=G$35,D111!$B$1 &amp; " ", "") &amp; IF(D211!$G$5=G$35,D211!$B$1 &amp; " ", "") &amp; IF(D311!$G$5=G$35,D311!$B$1 &amp; " ", "") &amp; IF(D411!$G$5=G$35,D411!$B$1 &amp; " ", "") &amp; IF(C111!$G$5=G$35,C111!$B$1 &amp; " ", "") &amp; IF(C121!$G$5=G$35,C121!$B$1 &amp; " ", "") &amp; IF(C122!$G$5=G$35,C122!$B$1 &amp; " ", "") &amp; IF(C211!$G$5=G$35,C211!$B$1 &amp; " ", "") &amp; IF(C212!$G$5=G$35,C212!$B$1 &amp; " ", "") &amp; IF(C311!$G$5=G$35,C311!$B$1 &amp; " ", "") &amp; IF(C312!$G$5=G$35,C312!$B$1 &amp; " ", "") &amp; IF(C411!$G$5=G$35,C411!$B$1 &amp; " ", "") &amp; IF(C412!$G$5=G$35,C412!$B$1 &amp; " ", "") &amp; IF(M111!$G$5=G$35,M111!$B$1 &amp; " ", "") &amp; IF(M211!$G$5=G$35,M211!$B$1 &amp; " ", "") &amp; IF(M311!$G$5=G$35,M311!$B$1 &amp; " ", "") &amp; IF(M411!$G$5=G$35,M411!$B$1 &amp; " ", ""))), " ", ",")</f>
        <v/>
      </c>
      <c r="H36" s="13">
        <f>SUBSTITUTE(TRIM((IF(D111!$G$5=H$35,D111!$B$1 &amp; " ", "") &amp; IF(D211!$G$5=H$35,D211!$B$1 &amp; " ", "") &amp; IF(D311!$G$5=H$35,D311!$B$1 &amp; " ", "") &amp; IF(D411!$G$5=H$35,D411!$B$1 &amp; " ", "") &amp; IF(C111!$G$5=H$35,C111!$B$1 &amp; " ", "") &amp; IF(C121!$G$5=H$35,C121!$B$1 &amp; " ", "") &amp; IF(C122!$G$5=H$35,C122!$B$1 &amp; " ", "") &amp; IF(C211!$G$5=H$35,C211!$B$1 &amp; " ", "") &amp; IF(C212!$G$5=H$35,C212!$B$1 &amp; " ", "") &amp; IF(C311!$G$5=H$35,C311!$B$1 &amp; " ", "") &amp; IF(C312!$G$5=H$35,C312!$B$1 &amp; " ", "") &amp; IF(C411!$G$5=H$35,C411!$B$1 &amp; " ", "") &amp; IF(C412!$G$5=H$35,C412!$B$1 &amp; " ", "") &amp; IF(M111!$G$5=H$35,M111!$B$1 &amp; " ", "") &amp; IF(M211!$G$5=H$35,M211!$B$1 &amp; " ", "") &amp; IF(M311!$G$5=H$35,M311!$B$1 &amp; " ", "") &amp; IF(M411!$G$5=H$35,M411!$B$1 &amp; " ", ""))), " ", ",")</f>
        <v/>
      </c>
      <c r="I36" s="13">
        <f>SUBSTITUTE(TRIM((IF(D111!$G$5=I$35,D111!$B$1 &amp; " ", "") &amp; IF(D211!$G$5=I$35,D211!$B$1 &amp; " ", "") &amp; IF(D311!$G$5=I$35,D311!$B$1 &amp; " ", "") &amp; IF(D411!$G$5=I$35,D411!$B$1 &amp; " ", "") &amp; IF(C111!$G$5=I$35,C111!$B$1 &amp; " ", "") &amp; IF(C121!$G$5=I$35,C121!$B$1 &amp; " ", "") &amp; IF(C122!$G$5=I$35,C122!$B$1 &amp; " ", "") &amp; IF(C211!$G$5=I$35,C211!$B$1 &amp; " ", "") &amp; IF(C212!$G$5=I$35,C212!$B$1 &amp; " ", "") &amp; IF(C311!$G$5=I$35,C311!$B$1 &amp; " ", "") &amp; IF(C312!$G$5=I$35,C312!$B$1 &amp; " ", "") &amp; IF(C411!$G$5=I$35,C411!$B$1 &amp; " ", "") &amp; IF(C412!$G$5=I$35,C412!$B$1 &amp; " ", "") &amp; IF(M111!$G$5=I$35,M111!$B$1 &amp; " ", "") &amp; IF(M211!$G$5=I$35,M211!$B$1 &amp; " ", "") &amp; IF(M311!$G$5=I$35,M311!$B$1 &amp; " ", "") &amp; IF(M411!$G$5=I$35,M411!$B$1 &amp; " ", ""))), " ", ",")</f>
        <v/>
      </c>
      <c r="J36" s="13">
        <f>SUBSTITUTE(TRIM((IF(D111!$G$5=J$35,D111!$B$1 &amp; " ", "") &amp; IF(D211!$G$5=J$35,D211!$B$1 &amp; " ", "") &amp; IF(D311!$G$5=J$35,D311!$B$1 &amp; " ", "") &amp; IF(D411!$G$5=J$35,D411!$B$1 &amp; " ", "") &amp; IF(C111!$G$5=J$35,C111!$B$1 &amp; " ", "") &amp; IF(C121!$G$5=J$35,C121!$B$1 &amp; " ", "") &amp; IF(C122!$G$5=J$35,C122!$B$1 &amp; " ", "") &amp; IF(C211!$G$5=J$35,C211!$B$1 &amp; " ", "") &amp; IF(C212!$G$5=J$35,C212!$B$1 &amp; " ", "") &amp; IF(C311!$G$5=J$35,C311!$B$1 &amp; " ", "") &amp; IF(C312!$G$5=J$35,C312!$B$1 &amp; " ", "") &amp; IF(C411!$G$5=J$35,C411!$B$1 &amp; " ", "") &amp; IF(C412!$G$5=J$35,C412!$B$1 &amp; " ", "") &amp; IF(M111!$G$5=J$35,M111!$B$1 &amp; " ", "") &amp; IF(M211!$G$5=J$35,M211!$B$1 &amp; " ", "") &amp; IF(M311!$G$5=J$35,M311!$B$1 &amp; " ", "") &amp; IF(M411!$G$5=J$35,M411!$B$1 &amp; " ", ""))), " ", ",")</f>
        <v/>
      </c>
      <c r="K36" s="13">
        <f>SUBSTITUTE(TRIM((IF(D111!$G$5=K$35,D111!$B$1 &amp; " ", "") &amp; IF(D211!$G$5=K$35,D211!$B$1 &amp; " ", "") &amp; IF(D311!$G$5=K$35,D311!$B$1 &amp; " ", "") &amp; IF(D411!$G$5=K$35,D411!$B$1 &amp; " ", "") &amp; IF(C111!$G$5=K$35,C111!$B$1 &amp; " ", "") &amp; IF(C121!$G$5=K$35,C121!$B$1 &amp; " ", "") &amp; IF(C122!$G$5=K$35,C122!$B$1 &amp; " ", "") &amp; IF(C211!$G$5=K$35,C211!$B$1 &amp; " ", "") &amp; IF(C212!$G$5=K$35,C212!$B$1 &amp; " ", "") &amp; IF(C311!$G$5=K$35,C311!$B$1 &amp; " ", "") &amp; IF(C312!$G$5=K$35,C312!$B$1 &amp; " ", "") &amp; IF(C411!$G$5=K$35,C411!$B$1 &amp; " ", "") &amp; IF(C412!$G$5=K$35,C412!$B$1 &amp; " ", "") &amp; IF(M111!$G$5=K$35,M111!$B$1 &amp; " ", "") &amp; IF(M211!$G$5=K$35,M211!$B$1 &amp; " ", "") &amp; IF(M311!$G$5=K$35,M311!$B$1 &amp; " ", "") &amp; IF(M411!$G$5=K$35,M411!$B$1 &amp; " ", ""))), " ", ",")</f>
        <v/>
      </c>
      <c r="L36" s="13">
        <f>SUBSTITUTE(TRIM((IF(D111!$G$5=L$35,D111!$B$1 &amp; " ", "") &amp; IF(D211!$G$5=L$35,D211!$B$1 &amp; " ", "") &amp; IF(D311!$G$5=L$35,D311!$B$1 &amp; " ", "") &amp; IF(D411!$G$5=L$35,D411!$B$1 &amp; " ", "") &amp; IF(C111!$G$5=L$35,C111!$B$1 &amp; " ", "") &amp; IF(C121!$G$5=L$35,C121!$B$1 &amp; " ", "") &amp; IF(C122!$G$5=L$35,C122!$B$1 &amp; " ", "") &amp; IF(C211!$G$5=L$35,C211!$B$1 &amp; " ", "") &amp; IF(C212!$G$5=L$35,C212!$B$1 &amp; " ", "") &amp; IF(C311!$G$5=L$35,C311!$B$1 &amp; " ", "") &amp; IF(C312!$G$5=L$35,C312!$B$1 &amp; " ", "") &amp; IF(C411!$G$5=L$35,C411!$B$1 &amp; " ", "") &amp; IF(C412!$G$5=L$35,C412!$B$1 &amp; " ", "") &amp; IF(M111!$G$5=L$35,M111!$B$1 &amp; " ", "") &amp; IF(M211!$G$5=L$35,M211!$B$1 &amp; " ", "") &amp; IF(M311!$G$5=L$35,M311!$B$1 &amp; " ", "") &amp; IF(M411!$G$5=L$35,M411!$B$1 &amp; " ", ""))), " ", ",")</f>
        <v/>
      </c>
    </row>
    <row r="37">
      <c r="A37" t="inlineStr"/>
      <c r="B37" s="13" t="inlineStr">
        <is>
          <t>2do</t>
        </is>
      </c>
      <c r="C37" s="13">
        <f>SUBSTITUTE(TRIM((IF(D111!$G$8=C$35,D111!$B$1 &amp; " ", "") &amp; IF(D211!$G$8=C$35,D211!$B$1 &amp; " ", "") &amp; IF(D311!$G$8=C$35,D311!$B$1 &amp; " ", "") &amp; IF(D411!$G$8=C$35,D411!$B$1 &amp; " ", "") &amp; IF(C111!$G$8=C$35,C111!$B$1 &amp; " ", "") &amp; IF(C121!$G$8=C$35,C121!$B$1 &amp; " ", "") &amp; IF(C122!$G$8=C$35,C122!$B$1 &amp; " ", "") &amp; IF(C211!$G$8=C$35,C211!$B$1 &amp; " ", "") &amp; IF(C212!$G$8=C$35,C212!$B$1 &amp; " ", "") &amp; IF(C311!$G$8=C$35,C311!$B$1 &amp; " ", "") &amp; IF(C312!$G$8=C$35,C312!$B$1 &amp; " ", "") &amp; IF(C411!$G$8=C$35,C411!$B$1 &amp; " ", "") &amp; IF(C412!$G$8=C$35,C412!$B$1 &amp; " ", "") &amp; IF(M111!$G$8=C$35,M111!$B$1 &amp; " ", "") &amp; IF(M211!$G$8=C$35,M211!$B$1 &amp; " ", "") &amp; IF(M311!$G$8=C$35,M311!$B$1 &amp; " ", "") &amp; IF(M411!$G$8=C$35,M411!$B$1 &amp; " ", ""))), " ", ",")</f>
        <v/>
      </c>
      <c r="D37" s="13">
        <f>SUBSTITUTE(TRIM((IF(D111!$G$8=D$35,D111!$B$1 &amp; " ", "") &amp; IF(D211!$G$8=D$35,D211!$B$1 &amp; " ", "") &amp; IF(D311!$G$8=D$35,D311!$B$1 &amp; " ", "") &amp; IF(D411!$G$8=D$35,D411!$B$1 &amp; " ", "") &amp; IF(C111!$G$8=D$35,C111!$B$1 &amp; " ", "") &amp; IF(C121!$G$8=D$35,C121!$B$1 &amp; " ", "") &amp; IF(C122!$G$8=D$35,C122!$B$1 &amp; " ", "") &amp; IF(C211!$G$8=D$35,C211!$B$1 &amp; " ", "") &amp; IF(C212!$G$8=D$35,C212!$B$1 &amp; " ", "") &amp; IF(C311!$G$8=D$35,C311!$B$1 &amp; " ", "") &amp; IF(C312!$G$8=D$35,C312!$B$1 &amp; " ", "") &amp; IF(C411!$G$8=D$35,C411!$B$1 &amp; " ", "") &amp; IF(C412!$G$8=D$35,C412!$B$1 &amp; " ", "") &amp; IF(M111!$G$8=D$35,M111!$B$1 &amp; " ", "") &amp; IF(M211!$G$8=D$35,M211!$B$1 &amp; " ", "") &amp; IF(M311!$G$8=D$35,M311!$B$1 &amp; " ", "") &amp; IF(M411!$G$8=D$35,M411!$B$1 &amp; " ", ""))), " ", ",")</f>
        <v/>
      </c>
      <c r="E37" s="13">
        <f>SUBSTITUTE(TRIM((IF(D111!$G$8=E$35,D111!$B$1 &amp; " ", "") &amp; IF(D211!$G$8=E$35,D211!$B$1 &amp; " ", "") &amp; IF(D311!$G$8=E$35,D311!$B$1 &amp; " ", "") &amp; IF(D411!$G$8=E$35,D411!$B$1 &amp; " ", "") &amp; IF(C111!$G$8=E$35,C111!$B$1 &amp; " ", "") &amp; IF(C121!$G$8=E$35,C121!$B$1 &amp; " ", "") &amp; IF(C122!$G$8=E$35,C122!$B$1 &amp; " ", "") &amp; IF(C211!$G$8=E$35,C211!$B$1 &amp; " ", "") &amp; IF(C212!$G$8=E$35,C212!$B$1 &amp; " ", "") &amp; IF(C311!$G$8=E$35,C311!$B$1 &amp; " ", "") &amp; IF(C312!$G$8=E$35,C312!$B$1 &amp; " ", "") &amp; IF(C411!$G$8=E$35,C411!$B$1 &amp; " ", "") &amp; IF(C412!$G$8=E$35,C412!$B$1 &amp; " ", "") &amp; IF(M111!$G$8=E$35,M111!$B$1 &amp; " ", "") &amp; IF(M211!$G$8=E$35,M211!$B$1 &amp; " ", "") &amp; IF(M311!$G$8=E$35,M311!$B$1 &amp; " ", "") &amp; IF(M411!$G$8=E$35,M411!$B$1 &amp; " ", ""))), " ", ",")</f>
        <v/>
      </c>
      <c r="F37" s="13">
        <f>SUBSTITUTE(TRIM((IF(D111!$G$8=F$35,D111!$B$1 &amp; " ", "") &amp; IF(D211!$G$8=F$35,D211!$B$1 &amp; " ", "") &amp; IF(D311!$G$8=F$35,D311!$B$1 &amp; " ", "") &amp; IF(D411!$G$8=F$35,D411!$B$1 &amp; " ", "") &amp; IF(C111!$G$8=F$35,C111!$B$1 &amp; " ", "") &amp; IF(C121!$G$8=F$35,C121!$B$1 &amp; " ", "") &amp; IF(C122!$G$8=F$35,C122!$B$1 &amp; " ", "") &amp; IF(C211!$G$8=F$35,C211!$B$1 &amp; " ", "") &amp; IF(C212!$G$8=F$35,C212!$B$1 &amp; " ", "") &amp; IF(C311!$G$8=F$35,C311!$B$1 &amp; " ", "") &amp; IF(C312!$G$8=F$35,C312!$B$1 &amp; " ", "") &amp; IF(C411!$G$8=F$35,C411!$B$1 &amp; " ", "") &amp; IF(C412!$G$8=F$35,C412!$B$1 &amp; " ", "") &amp; IF(M111!$G$8=F$35,M111!$B$1 &amp; " ", "") &amp; IF(M211!$G$8=F$35,M211!$B$1 &amp; " ", "") &amp; IF(M311!$G$8=F$35,M311!$B$1 &amp; " ", "") &amp; IF(M411!$G$8=F$35,M411!$B$1 &amp; " ", ""))), " ", ",")</f>
        <v/>
      </c>
      <c r="G37" s="13">
        <f>SUBSTITUTE(TRIM((IF(D111!$G$8=G$35,D111!$B$1 &amp; " ", "") &amp; IF(D211!$G$8=G$35,D211!$B$1 &amp; " ", "") &amp; IF(D311!$G$8=G$35,D311!$B$1 &amp; " ", "") &amp; IF(D411!$G$8=G$35,D411!$B$1 &amp; " ", "") &amp; IF(C111!$G$8=G$35,C111!$B$1 &amp; " ", "") &amp; IF(C121!$G$8=G$35,C121!$B$1 &amp; " ", "") &amp; IF(C122!$G$8=G$35,C122!$B$1 &amp; " ", "") &amp; IF(C211!$G$8=G$35,C211!$B$1 &amp; " ", "") &amp; IF(C212!$G$8=G$35,C212!$B$1 &amp; " ", "") &amp; IF(C311!$G$8=G$35,C311!$B$1 &amp; " ", "") &amp; IF(C312!$G$8=G$35,C312!$B$1 &amp; " ", "") &amp; IF(C411!$G$8=G$35,C411!$B$1 &amp; " ", "") &amp; IF(C412!$G$8=G$35,C412!$B$1 &amp; " ", "") &amp; IF(M111!$G$8=G$35,M111!$B$1 &amp; " ", "") &amp; IF(M211!$G$8=G$35,M211!$B$1 &amp; " ", "") &amp; IF(M311!$G$8=G$35,M311!$B$1 &amp; " ", "") &amp; IF(M411!$G$8=G$35,M411!$B$1 &amp; " ", ""))), " ", ",")</f>
        <v/>
      </c>
      <c r="H37" s="13">
        <f>SUBSTITUTE(TRIM((IF(D111!$G$8=H$35,D111!$B$1 &amp; " ", "") &amp; IF(D211!$G$8=H$35,D211!$B$1 &amp; " ", "") &amp; IF(D311!$G$8=H$35,D311!$B$1 &amp; " ", "") &amp; IF(D411!$G$8=H$35,D411!$B$1 &amp; " ", "") &amp; IF(C111!$G$8=H$35,C111!$B$1 &amp; " ", "") &amp; IF(C121!$G$8=H$35,C121!$B$1 &amp; " ", "") &amp; IF(C122!$G$8=H$35,C122!$B$1 &amp; " ", "") &amp; IF(C211!$G$8=H$35,C211!$B$1 &amp; " ", "") &amp; IF(C212!$G$8=H$35,C212!$B$1 &amp; " ", "") &amp; IF(C311!$G$8=H$35,C311!$B$1 &amp; " ", "") &amp; IF(C312!$G$8=H$35,C312!$B$1 &amp; " ", "") &amp; IF(C411!$G$8=H$35,C411!$B$1 &amp; " ", "") &amp; IF(C412!$G$8=H$35,C412!$B$1 &amp; " ", "") &amp; IF(M111!$G$8=H$35,M111!$B$1 &amp; " ", "") &amp; IF(M211!$G$8=H$35,M211!$B$1 &amp; " ", "") &amp; IF(M311!$G$8=H$35,M311!$B$1 &amp; " ", "") &amp; IF(M411!$G$8=H$35,M411!$B$1 &amp; " ", ""))), " ", ",")</f>
        <v/>
      </c>
      <c r="I37" s="13">
        <f>SUBSTITUTE(TRIM((IF(D111!$G$8=I$35,D111!$B$1 &amp; " ", "") &amp; IF(D211!$G$8=I$35,D211!$B$1 &amp; " ", "") &amp; IF(D311!$G$8=I$35,D311!$B$1 &amp; " ", "") &amp; IF(D411!$G$8=I$35,D411!$B$1 &amp; " ", "") &amp; IF(C111!$G$8=I$35,C111!$B$1 &amp; " ", "") &amp; IF(C121!$G$8=I$35,C121!$B$1 &amp; " ", "") &amp; IF(C122!$G$8=I$35,C122!$B$1 &amp; " ", "") &amp; IF(C211!$G$8=I$35,C211!$B$1 &amp; " ", "") &amp; IF(C212!$G$8=I$35,C212!$B$1 &amp; " ", "") &amp; IF(C311!$G$8=I$35,C311!$B$1 &amp; " ", "") &amp; IF(C312!$G$8=I$35,C312!$B$1 &amp; " ", "") &amp; IF(C411!$G$8=I$35,C411!$B$1 &amp; " ", "") &amp; IF(C412!$G$8=I$35,C412!$B$1 &amp; " ", "") &amp; IF(M111!$G$8=I$35,M111!$B$1 &amp; " ", "") &amp; IF(M211!$G$8=I$35,M211!$B$1 &amp; " ", "") &amp; IF(M311!$G$8=I$35,M311!$B$1 &amp; " ", "") &amp; IF(M411!$G$8=I$35,M411!$B$1 &amp; " ", ""))), " ", ",")</f>
        <v/>
      </c>
      <c r="J37" s="13">
        <f>SUBSTITUTE(TRIM((IF(D111!$G$8=J$35,D111!$B$1 &amp; " ", "") &amp; IF(D211!$G$8=J$35,D211!$B$1 &amp; " ", "") &amp; IF(D311!$G$8=J$35,D311!$B$1 &amp; " ", "") &amp; IF(D411!$G$8=J$35,D411!$B$1 &amp; " ", "") &amp; IF(C111!$G$8=J$35,C111!$B$1 &amp; " ", "") &amp; IF(C121!$G$8=J$35,C121!$B$1 &amp; " ", "") &amp; IF(C122!$G$8=J$35,C122!$B$1 &amp; " ", "") &amp; IF(C211!$G$8=J$35,C211!$B$1 &amp; " ", "") &amp; IF(C212!$G$8=J$35,C212!$B$1 &amp; " ", "") &amp; IF(C311!$G$8=J$35,C311!$B$1 &amp; " ", "") &amp; IF(C312!$G$8=J$35,C312!$B$1 &amp; " ", "") &amp; IF(C411!$G$8=J$35,C411!$B$1 &amp; " ", "") &amp; IF(C412!$G$8=J$35,C412!$B$1 &amp; " ", "") &amp; IF(M111!$G$8=J$35,M111!$B$1 &amp; " ", "") &amp; IF(M211!$G$8=J$35,M211!$B$1 &amp; " ", "") &amp; IF(M311!$G$8=J$35,M311!$B$1 &amp; " ", "") &amp; IF(M411!$G$8=J$35,M411!$B$1 &amp; " ", ""))), " ", ",")</f>
        <v/>
      </c>
      <c r="K37" s="13">
        <f>SUBSTITUTE(TRIM((IF(D111!$G$8=K$35,D111!$B$1 &amp; " ", "") &amp; IF(D211!$G$8=K$35,D211!$B$1 &amp; " ", "") &amp; IF(D311!$G$8=K$35,D311!$B$1 &amp; " ", "") &amp; IF(D411!$G$8=K$35,D411!$B$1 &amp; " ", "") &amp; IF(C111!$G$8=K$35,C111!$B$1 &amp; " ", "") &amp; IF(C121!$G$8=K$35,C121!$B$1 &amp; " ", "") &amp; IF(C122!$G$8=K$35,C122!$B$1 &amp; " ", "") &amp; IF(C211!$G$8=K$35,C211!$B$1 &amp; " ", "") &amp; IF(C212!$G$8=K$35,C212!$B$1 &amp; " ", "") &amp; IF(C311!$G$8=K$35,C311!$B$1 &amp; " ", "") &amp; IF(C312!$G$8=K$35,C312!$B$1 &amp; " ", "") &amp; IF(C411!$G$8=K$35,C411!$B$1 &amp; " ", "") &amp; IF(C412!$G$8=K$35,C412!$B$1 &amp; " ", "") &amp; IF(M111!$G$8=K$35,M111!$B$1 &amp; " ", "") &amp; IF(M211!$G$8=K$35,M211!$B$1 &amp; " ", "") &amp; IF(M311!$G$8=K$35,M311!$B$1 &amp; " ", "") &amp; IF(M411!$G$8=K$35,M411!$B$1 &amp; " ", ""))), " ", ",")</f>
        <v/>
      </c>
      <c r="L37" s="13">
        <f>SUBSTITUTE(TRIM((IF(D111!$G$8=L$35,D111!$B$1 &amp; " ", "") &amp; IF(D211!$G$8=L$35,D211!$B$1 &amp; " ", "") &amp; IF(D311!$G$8=L$35,D311!$B$1 &amp; " ", "") &amp; IF(D411!$G$8=L$35,D411!$B$1 &amp; " ", "") &amp; IF(C111!$G$8=L$35,C111!$B$1 &amp; " ", "") &amp; IF(C121!$G$8=L$35,C121!$B$1 &amp; " ", "") &amp; IF(C122!$G$8=L$35,C122!$B$1 &amp; " ", "") &amp; IF(C211!$G$8=L$35,C211!$B$1 &amp; " ", "") &amp; IF(C212!$G$8=L$35,C212!$B$1 &amp; " ", "") &amp; IF(C311!$G$8=L$35,C311!$B$1 &amp; " ", "") &amp; IF(C312!$G$8=L$35,C312!$B$1 &amp; " ", "") &amp; IF(C411!$G$8=L$35,C411!$B$1 &amp; " ", "") &amp; IF(C412!$G$8=L$35,C412!$B$1 &amp; " ", "") &amp; IF(M111!$G$8=L$35,M111!$B$1 &amp; " ", "") &amp; IF(M211!$G$8=L$35,M211!$B$1 &amp; " ", "") &amp; IF(M311!$G$8=L$35,M311!$B$1 &amp; " ", "") &amp; IF(M411!$G$8=L$35,M411!$B$1 &amp; " ", ""))), " ", ",")</f>
        <v/>
      </c>
    </row>
    <row r="38">
      <c r="A38" t="inlineStr"/>
      <c r="B38" s="13" t="inlineStr">
        <is>
          <t>3ro</t>
        </is>
      </c>
      <c r="C38" s="13">
        <f>SUBSTITUTE(TRIM((IF(D111!$G$11=C$35,D111!$B$1 &amp; " ", "") &amp; IF(D211!$G$11=C$35,D211!$B$1 &amp; " ", "") &amp; IF(D311!$G$11=C$35,D311!$B$1 &amp; " ", "") &amp; IF(D411!$G$11=C$35,D411!$B$1 &amp; " ", "") &amp; IF(C111!$G$11=C$35,C111!$B$1 &amp; " ", "") &amp; IF(C121!$G$11=C$35,C121!$B$1 &amp; " ", "") &amp; IF(C122!$G$11=C$35,C122!$B$1 &amp; " ", "") &amp; IF(C211!$G$11=C$35,C211!$B$1 &amp; " ", "") &amp; IF(C212!$G$11=C$35,C212!$B$1 &amp; " ", "") &amp; IF(C311!$G$11=C$35,C311!$B$1 &amp; " ", "") &amp; IF(C312!$G$11=C$35,C312!$B$1 &amp; " ", "") &amp; IF(C411!$G$11=C$35,C411!$B$1 &amp; " ", "") &amp; IF(C412!$G$11=C$35,C412!$B$1 &amp; " ", "") &amp; IF(M111!$G$11=C$35,M111!$B$1 &amp; " ", "") &amp; IF(M211!$G$11=C$35,M211!$B$1 &amp; " ", "") &amp; IF(M311!$G$11=C$35,M311!$B$1 &amp; " ", "") &amp; IF(M411!$G$11=C$35,M411!$B$1 &amp; " ", ""))), " ", ",")</f>
        <v/>
      </c>
      <c r="D38" s="13">
        <f>SUBSTITUTE(TRIM((IF(D111!$G$11=D$35,D111!$B$1 &amp; " ", "") &amp; IF(D211!$G$11=D$35,D211!$B$1 &amp; " ", "") &amp; IF(D311!$G$11=D$35,D311!$B$1 &amp; " ", "") &amp; IF(D411!$G$11=D$35,D411!$B$1 &amp; " ", "") &amp; IF(C111!$G$11=D$35,C111!$B$1 &amp; " ", "") &amp; IF(C121!$G$11=D$35,C121!$B$1 &amp; " ", "") &amp; IF(C122!$G$11=D$35,C122!$B$1 &amp; " ", "") &amp; IF(C211!$G$11=D$35,C211!$B$1 &amp; " ", "") &amp; IF(C212!$G$11=D$35,C212!$B$1 &amp; " ", "") &amp; IF(C311!$G$11=D$35,C311!$B$1 &amp; " ", "") &amp; IF(C312!$G$11=D$35,C312!$B$1 &amp; " ", "") &amp; IF(C411!$G$11=D$35,C411!$B$1 &amp; " ", "") &amp; IF(C412!$G$11=D$35,C412!$B$1 &amp; " ", "") &amp; IF(M111!$G$11=D$35,M111!$B$1 &amp; " ", "") &amp; IF(M211!$G$11=D$35,M211!$B$1 &amp; " ", "") &amp; IF(M311!$G$11=D$35,M311!$B$1 &amp; " ", "") &amp; IF(M411!$G$11=D$35,M411!$B$1 &amp; " ", ""))), " ", ",")</f>
        <v/>
      </c>
      <c r="E38" s="13">
        <f>SUBSTITUTE(TRIM((IF(D111!$G$11=E$35,D111!$B$1 &amp; " ", "") &amp; IF(D211!$G$11=E$35,D211!$B$1 &amp; " ", "") &amp; IF(D311!$G$11=E$35,D311!$B$1 &amp; " ", "") &amp; IF(D411!$G$11=E$35,D411!$B$1 &amp; " ", "") &amp; IF(C111!$G$11=E$35,C111!$B$1 &amp; " ", "") &amp; IF(C121!$G$11=E$35,C121!$B$1 &amp; " ", "") &amp; IF(C122!$G$11=E$35,C122!$B$1 &amp; " ", "") &amp; IF(C211!$G$11=E$35,C211!$B$1 &amp; " ", "") &amp; IF(C212!$G$11=E$35,C212!$B$1 &amp; " ", "") &amp; IF(C311!$G$11=E$35,C311!$B$1 &amp; " ", "") &amp; IF(C312!$G$11=E$35,C312!$B$1 &amp; " ", "") &amp; IF(C411!$G$11=E$35,C411!$B$1 &amp; " ", "") &amp; IF(C412!$G$11=E$35,C412!$B$1 &amp; " ", "") &amp; IF(M111!$G$11=E$35,M111!$B$1 &amp; " ", "") &amp; IF(M211!$G$11=E$35,M211!$B$1 &amp; " ", "") &amp; IF(M311!$G$11=E$35,M311!$B$1 &amp; " ", "") &amp; IF(M411!$G$11=E$35,M411!$B$1 &amp; " ", ""))), " ", ",")</f>
        <v/>
      </c>
      <c r="F38" s="13">
        <f>SUBSTITUTE(TRIM((IF(D111!$G$11=F$35,D111!$B$1 &amp; " ", "") &amp; IF(D211!$G$11=F$35,D211!$B$1 &amp; " ", "") &amp; IF(D311!$G$11=F$35,D311!$B$1 &amp; " ", "") &amp; IF(D411!$G$11=F$35,D411!$B$1 &amp; " ", "") &amp; IF(C111!$G$11=F$35,C111!$B$1 &amp; " ", "") &amp; IF(C121!$G$11=F$35,C121!$B$1 &amp; " ", "") &amp; IF(C122!$G$11=F$35,C122!$B$1 &amp; " ", "") &amp; IF(C211!$G$11=F$35,C211!$B$1 &amp; " ", "") &amp; IF(C212!$G$11=F$35,C212!$B$1 &amp; " ", "") &amp; IF(C311!$G$11=F$35,C311!$B$1 &amp; " ", "") &amp; IF(C312!$G$11=F$35,C312!$B$1 &amp; " ", "") &amp; IF(C411!$G$11=F$35,C411!$B$1 &amp; " ", "") &amp; IF(C412!$G$11=F$35,C412!$B$1 &amp; " ", "") &amp; IF(M111!$G$11=F$35,M111!$B$1 &amp; " ", "") &amp; IF(M211!$G$11=F$35,M211!$B$1 &amp; " ", "") &amp; IF(M311!$G$11=F$35,M311!$B$1 &amp; " ", "") &amp; IF(M411!$G$11=F$35,M411!$B$1 &amp; " ", ""))), " ", ",")</f>
        <v/>
      </c>
      <c r="G38" s="13">
        <f>SUBSTITUTE(TRIM((IF(D111!$G$11=G$35,D111!$B$1 &amp; " ", "") &amp; IF(D211!$G$11=G$35,D211!$B$1 &amp; " ", "") &amp; IF(D311!$G$11=G$35,D311!$B$1 &amp; " ", "") &amp; IF(D411!$G$11=G$35,D411!$B$1 &amp; " ", "") &amp; IF(C111!$G$11=G$35,C111!$B$1 &amp; " ", "") &amp; IF(C121!$G$11=G$35,C121!$B$1 &amp; " ", "") &amp; IF(C122!$G$11=G$35,C122!$B$1 &amp; " ", "") &amp; IF(C211!$G$11=G$35,C211!$B$1 &amp; " ", "") &amp; IF(C212!$G$11=G$35,C212!$B$1 &amp; " ", "") &amp; IF(C311!$G$11=G$35,C311!$B$1 &amp; " ", "") &amp; IF(C312!$G$11=G$35,C312!$B$1 &amp; " ", "") &amp; IF(C411!$G$11=G$35,C411!$B$1 &amp; " ", "") &amp; IF(C412!$G$11=G$35,C412!$B$1 &amp; " ", "") &amp; IF(M111!$G$11=G$35,M111!$B$1 &amp; " ", "") &amp; IF(M211!$G$11=G$35,M211!$B$1 &amp; " ", "") &amp; IF(M311!$G$11=G$35,M311!$B$1 &amp; " ", "") &amp; IF(M411!$G$11=G$35,M411!$B$1 &amp; " ", ""))), " ", ",")</f>
        <v/>
      </c>
      <c r="H38" s="13">
        <f>SUBSTITUTE(TRIM((IF(D111!$G$11=H$35,D111!$B$1 &amp; " ", "") &amp; IF(D211!$G$11=H$35,D211!$B$1 &amp; " ", "") &amp; IF(D311!$G$11=H$35,D311!$B$1 &amp; " ", "") &amp; IF(D411!$G$11=H$35,D411!$B$1 &amp; " ", "") &amp; IF(C111!$G$11=H$35,C111!$B$1 &amp; " ", "") &amp; IF(C121!$G$11=H$35,C121!$B$1 &amp; " ", "") &amp; IF(C122!$G$11=H$35,C122!$B$1 &amp; " ", "") &amp; IF(C211!$G$11=H$35,C211!$B$1 &amp; " ", "") &amp; IF(C212!$G$11=H$35,C212!$B$1 &amp; " ", "") &amp; IF(C311!$G$11=H$35,C311!$B$1 &amp; " ", "") &amp; IF(C312!$G$11=H$35,C312!$B$1 &amp; " ", "") &amp; IF(C411!$G$11=H$35,C411!$B$1 &amp; " ", "") &amp; IF(C412!$G$11=H$35,C412!$B$1 &amp; " ", "") &amp; IF(M111!$G$11=H$35,M111!$B$1 &amp; " ", "") &amp; IF(M211!$G$11=H$35,M211!$B$1 &amp; " ", "") &amp; IF(M311!$G$11=H$35,M311!$B$1 &amp; " ", "") &amp; IF(M411!$G$11=H$35,M411!$B$1 &amp; " ", ""))), " ", ",")</f>
        <v/>
      </c>
      <c r="I38" s="13">
        <f>SUBSTITUTE(TRIM((IF(D111!$G$11=I$35,D111!$B$1 &amp; " ", "") &amp; IF(D211!$G$11=I$35,D211!$B$1 &amp; " ", "") &amp; IF(D311!$G$11=I$35,D311!$B$1 &amp; " ", "") &amp; IF(D411!$G$11=I$35,D411!$B$1 &amp; " ", "") &amp; IF(C111!$G$11=I$35,C111!$B$1 &amp; " ", "") &amp; IF(C121!$G$11=I$35,C121!$B$1 &amp; " ", "") &amp; IF(C122!$G$11=I$35,C122!$B$1 &amp; " ", "") &amp; IF(C211!$G$11=I$35,C211!$B$1 &amp; " ", "") &amp; IF(C212!$G$11=I$35,C212!$B$1 &amp; " ", "") &amp; IF(C311!$G$11=I$35,C311!$B$1 &amp; " ", "") &amp; IF(C312!$G$11=I$35,C312!$B$1 &amp; " ", "") &amp; IF(C411!$G$11=I$35,C411!$B$1 &amp; " ", "") &amp; IF(C412!$G$11=I$35,C412!$B$1 &amp; " ", "") &amp; IF(M111!$G$11=I$35,M111!$B$1 &amp; " ", "") &amp; IF(M211!$G$11=I$35,M211!$B$1 &amp; " ", "") &amp; IF(M311!$G$11=I$35,M311!$B$1 &amp; " ", "") &amp; IF(M411!$G$11=I$35,M411!$B$1 &amp; " ", ""))), " ", ",")</f>
        <v/>
      </c>
      <c r="J38" s="13">
        <f>SUBSTITUTE(TRIM((IF(D111!$G$11=J$35,D111!$B$1 &amp; " ", "") &amp; IF(D211!$G$11=J$35,D211!$B$1 &amp; " ", "") &amp; IF(D311!$G$11=J$35,D311!$B$1 &amp; " ", "") &amp; IF(D411!$G$11=J$35,D411!$B$1 &amp; " ", "") &amp; IF(C111!$G$11=J$35,C111!$B$1 &amp; " ", "") &amp; IF(C121!$G$11=J$35,C121!$B$1 &amp; " ", "") &amp; IF(C122!$G$11=J$35,C122!$B$1 &amp; " ", "") &amp; IF(C211!$G$11=J$35,C211!$B$1 &amp; " ", "") &amp; IF(C212!$G$11=J$35,C212!$B$1 &amp; " ", "") &amp; IF(C311!$G$11=J$35,C311!$B$1 &amp; " ", "") &amp; IF(C312!$G$11=J$35,C312!$B$1 &amp; " ", "") &amp; IF(C411!$G$11=J$35,C411!$B$1 &amp; " ", "") &amp; IF(C412!$G$11=J$35,C412!$B$1 &amp; " ", "") &amp; IF(M111!$G$11=J$35,M111!$B$1 &amp; " ", "") &amp; IF(M211!$G$11=J$35,M211!$B$1 &amp; " ", "") &amp; IF(M311!$G$11=J$35,M311!$B$1 &amp; " ", "") &amp; IF(M411!$G$11=J$35,M411!$B$1 &amp; " ", ""))), " ", ",")</f>
        <v/>
      </c>
      <c r="K38" s="13">
        <f>SUBSTITUTE(TRIM((IF(D111!$G$11=K$35,D111!$B$1 &amp; " ", "") &amp; IF(D211!$G$11=K$35,D211!$B$1 &amp; " ", "") &amp; IF(D311!$G$11=K$35,D311!$B$1 &amp; " ", "") &amp; IF(D411!$G$11=K$35,D411!$B$1 &amp; " ", "") &amp; IF(C111!$G$11=K$35,C111!$B$1 &amp; " ", "") &amp; IF(C121!$G$11=K$35,C121!$B$1 &amp; " ", "") &amp; IF(C122!$G$11=K$35,C122!$B$1 &amp; " ", "") &amp; IF(C211!$G$11=K$35,C211!$B$1 &amp; " ", "") &amp; IF(C212!$G$11=K$35,C212!$B$1 &amp; " ", "") &amp; IF(C311!$G$11=K$35,C311!$B$1 &amp; " ", "") &amp; IF(C312!$G$11=K$35,C312!$B$1 &amp; " ", "") &amp; IF(C411!$G$11=K$35,C411!$B$1 &amp; " ", "") &amp; IF(C412!$G$11=K$35,C412!$B$1 &amp; " ", "") &amp; IF(M111!$G$11=K$35,M111!$B$1 &amp; " ", "") &amp; IF(M211!$G$11=K$35,M211!$B$1 &amp; " ", "") &amp; IF(M311!$G$11=K$35,M311!$B$1 &amp; " ", "") &amp; IF(M411!$G$11=K$35,M411!$B$1 &amp; " ", ""))), " ", ",")</f>
        <v/>
      </c>
      <c r="L38" s="13">
        <f>SUBSTITUTE(TRIM((IF(D111!$G$11=L$35,D111!$B$1 &amp; " ", "") &amp; IF(D211!$G$11=L$35,D211!$B$1 &amp; " ", "") &amp; IF(D311!$G$11=L$35,D311!$B$1 &amp; " ", "") &amp; IF(D411!$G$11=L$35,D411!$B$1 &amp; " ", "") &amp; IF(C111!$G$11=L$35,C111!$B$1 &amp; " ", "") &amp; IF(C121!$G$11=L$35,C121!$B$1 &amp; " ", "") &amp; IF(C122!$G$11=L$35,C122!$B$1 &amp; " ", "") &amp; IF(C211!$G$11=L$35,C211!$B$1 &amp; " ", "") &amp; IF(C212!$G$11=L$35,C212!$B$1 &amp; " ", "") &amp; IF(C311!$G$11=L$35,C311!$B$1 &amp; " ", "") &amp; IF(C312!$G$11=L$35,C312!$B$1 &amp; " ", "") &amp; IF(C411!$G$11=L$35,C411!$B$1 &amp; " ", "") &amp; IF(C412!$G$11=L$35,C412!$B$1 &amp; " ", "") &amp; IF(M111!$G$11=L$35,M111!$B$1 &amp; " ", "") &amp; IF(M211!$G$11=L$35,M211!$B$1 &amp; " ", "") &amp; IF(M311!$G$11=L$35,M311!$B$1 &amp; " ", "") &amp; IF(M411!$G$11=L$35,M411!$B$1 &amp; " ", ""))), " ", ",")</f>
        <v/>
      </c>
    </row>
    <row r="39">
      <c r="A39" t="inlineStr"/>
      <c r="B39" s="13" t="inlineStr">
        <is>
          <t>4to</t>
        </is>
      </c>
      <c r="C39" s="13">
        <f>SUBSTITUTE(TRIM((IF(D111!$G$14=C$35,D111!$B$1 &amp; " ", "") &amp; IF(D211!$G$14=C$35,D211!$B$1 &amp; " ", "") &amp; IF(D311!$G$14=C$35,D311!$B$1 &amp; " ", "") &amp; IF(D411!$G$14=C$35,D411!$B$1 &amp; " ", "") &amp; IF(C111!$G$14=C$35,C111!$B$1 &amp; " ", "") &amp; IF(C121!$G$14=C$35,C121!$B$1 &amp; " ", "") &amp; IF(C122!$G$14=C$35,C122!$B$1 &amp; " ", "") &amp; IF(C211!$G$14=C$35,C211!$B$1 &amp; " ", "") &amp; IF(C212!$G$14=C$35,C212!$B$1 &amp; " ", "") &amp; IF(C311!$G$14=C$35,C311!$B$1 &amp; " ", "") &amp; IF(C312!$G$14=C$35,C312!$B$1 &amp; " ", "") &amp; IF(C411!$G$14=C$35,C411!$B$1 &amp; " ", "") &amp; IF(C412!$G$14=C$35,C412!$B$1 &amp; " ", "") &amp; IF(M111!$G$14=C$35,M111!$B$1 &amp; " ", "") &amp; IF(M211!$G$14=C$35,M211!$B$1 &amp; " ", "") &amp; IF(M311!$G$14=C$35,M311!$B$1 &amp; " ", "") &amp; IF(M411!$G$14=C$35,M411!$B$1 &amp; " ", ""))), " ", ",")</f>
        <v/>
      </c>
      <c r="D39" s="13">
        <f>SUBSTITUTE(TRIM((IF(D111!$G$14=D$35,D111!$B$1 &amp; " ", "") &amp; IF(D211!$G$14=D$35,D211!$B$1 &amp; " ", "") &amp; IF(D311!$G$14=D$35,D311!$B$1 &amp; " ", "") &amp; IF(D411!$G$14=D$35,D411!$B$1 &amp; " ", "") &amp; IF(C111!$G$14=D$35,C111!$B$1 &amp; " ", "") &amp; IF(C121!$G$14=D$35,C121!$B$1 &amp; " ", "") &amp; IF(C122!$G$14=D$35,C122!$B$1 &amp; " ", "") &amp; IF(C211!$G$14=D$35,C211!$B$1 &amp; " ", "") &amp; IF(C212!$G$14=D$35,C212!$B$1 &amp; " ", "") &amp; IF(C311!$G$14=D$35,C311!$B$1 &amp; " ", "") &amp; IF(C312!$G$14=D$35,C312!$B$1 &amp; " ", "") &amp; IF(C411!$G$14=D$35,C411!$B$1 &amp; " ", "") &amp; IF(C412!$G$14=D$35,C412!$B$1 &amp; " ", "") &amp; IF(M111!$G$14=D$35,M111!$B$1 &amp; " ", "") &amp; IF(M211!$G$14=D$35,M211!$B$1 &amp; " ", "") &amp; IF(M311!$G$14=D$35,M311!$B$1 &amp; " ", "") &amp; IF(M411!$G$14=D$35,M411!$B$1 &amp; " ", ""))), " ", ",")</f>
        <v/>
      </c>
      <c r="E39" s="13">
        <f>SUBSTITUTE(TRIM((IF(D111!$G$14=E$35,D111!$B$1 &amp; " ", "") &amp; IF(D211!$G$14=E$35,D211!$B$1 &amp; " ", "") &amp; IF(D311!$G$14=E$35,D311!$B$1 &amp; " ", "") &amp; IF(D411!$G$14=E$35,D411!$B$1 &amp; " ", "") &amp; IF(C111!$G$14=E$35,C111!$B$1 &amp; " ", "") &amp; IF(C121!$G$14=E$35,C121!$B$1 &amp; " ", "") &amp; IF(C122!$G$14=E$35,C122!$B$1 &amp; " ", "") &amp; IF(C211!$G$14=E$35,C211!$B$1 &amp; " ", "") &amp; IF(C212!$G$14=E$35,C212!$B$1 &amp; " ", "") &amp; IF(C311!$G$14=E$35,C311!$B$1 &amp; " ", "") &amp; IF(C312!$G$14=E$35,C312!$B$1 &amp; " ", "") &amp; IF(C411!$G$14=E$35,C411!$B$1 &amp; " ", "") &amp; IF(C412!$G$14=E$35,C412!$B$1 &amp; " ", "") &amp; IF(M111!$G$14=E$35,M111!$B$1 &amp; " ", "") &amp; IF(M211!$G$14=E$35,M211!$B$1 &amp; " ", "") &amp; IF(M311!$G$14=E$35,M311!$B$1 &amp; " ", "") &amp; IF(M411!$G$14=E$35,M411!$B$1 &amp; " ", ""))), " ", ",")</f>
        <v/>
      </c>
      <c r="F39" s="13">
        <f>SUBSTITUTE(TRIM((IF(D111!$G$14=F$35,D111!$B$1 &amp; " ", "") &amp; IF(D211!$G$14=F$35,D211!$B$1 &amp; " ", "") &amp; IF(D311!$G$14=F$35,D311!$B$1 &amp; " ", "") &amp; IF(D411!$G$14=F$35,D411!$B$1 &amp; " ", "") &amp; IF(C111!$G$14=F$35,C111!$B$1 &amp; " ", "") &amp; IF(C121!$G$14=F$35,C121!$B$1 &amp; " ", "") &amp; IF(C122!$G$14=F$35,C122!$B$1 &amp; " ", "") &amp; IF(C211!$G$14=F$35,C211!$B$1 &amp; " ", "") &amp; IF(C212!$G$14=F$35,C212!$B$1 &amp; " ", "") &amp; IF(C311!$G$14=F$35,C311!$B$1 &amp; " ", "") &amp; IF(C312!$G$14=F$35,C312!$B$1 &amp; " ", "") &amp; IF(C411!$G$14=F$35,C411!$B$1 &amp; " ", "") &amp; IF(C412!$G$14=F$35,C412!$B$1 &amp; " ", "") &amp; IF(M111!$G$14=F$35,M111!$B$1 &amp; " ", "") &amp; IF(M211!$G$14=F$35,M211!$B$1 &amp; " ", "") &amp; IF(M311!$G$14=F$35,M311!$B$1 &amp; " ", "") &amp; IF(M411!$G$14=F$35,M411!$B$1 &amp; " ", ""))), " ", ",")</f>
        <v/>
      </c>
      <c r="G39" s="13">
        <f>SUBSTITUTE(TRIM((IF(D111!$G$14=G$35,D111!$B$1 &amp; " ", "") &amp; IF(D211!$G$14=G$35,D211!$B$1 &amp; " ", "") &amp; IF(D311!$G$14=G$35,D311!$B$1 &amp; " ", "") &amp; IF(D411!$G$14=G$35,D411!$B$1 &amp; " ", "") &amp; IF(C111!$G$14=G$35,C111!$B$1 &amp; " ", "") &amp; IF(C121!$G$14=G$35,C121!$B$1 &amp; " ", "") &amp; IF(C122!$G$14=G$35,C122!$B$1 &amp; " ", "") &amp; IF(C211!$G$14=G$35,C211!$B$1 &amp; " ", "") &amp; IF(C212!$G$14=G$35,C212!$B$1 &amp; " ", "") &amp; IF(C311!$G$14=G$35,C311!$B$1 &amp; " ", "") &amp; IF(C312!$G$14=G$35,C312!$B$1 &amp; " ", "") &amp; IF(C411!$G$14=G$35,C411!$B$1 &amp; " ", "") &amp; IF(C412!$G$14=G$35,C412!$B$1 &amp; " ", "") &amp; IF(M111!$G$14=G$35,M111!$B$1 &amp; " ", "") &amp; IF(M211!$G$14=G$35,M211!$B$1 &amp; " ", "") &amp; IF(M311!$G$14=G$35,M311!$B$1 &amp; " ", "") &amp; IF(M411!$G$14=G$35,M411!$B$1 &amp; " ", ""))), " ", ",")</f>
        <v/>
      </c>
      <c r="H39" s="13">
        <f>SUBSTITUTE(TRIM((IF(D111!$G$14=H$35,D111!$B$1 &amp; " ", "") &amp; IF(D211!$G$14=H$35,D211!$B$1 &amp; " ", "") &amp; IF(D311!$G$14=H$35,D311!$B$1 &amp; " ", "") &amp; IF(D411!$G$14=H$35,D411!$B$1 &amp; " ", "") &amp; IF(C111!$G$14=H$35,C111!$B$1 &amp; " ", "") &amp; IF(C121!$G$14=H$35,C121!$B$1 &amp; " ", "") &amp; IF(C122!$G$14=H$35,C122!$B$1 &amp; " ", "") &amp; IF(C211!$G$14=H$35,C211!$B$1 &amp; " ", "") &amp; IF(C212!$G$14=H$35,C212!$B$1 &amp; " ", "") &amp; IF(C311!$G$14=H$35,C311!$B$1 &amp; " ", "") &amp; IF(C312!$G$14=H$35,C312!$B$1 &amp; " ", "") &amp; IF(C411!$G$14=H$35,C411!$B$1 &amp; " ", "") &amp; IF(C412!$G$14=H$35,C412!$B$1 &amp; " ", "") &amp; IF(M111!$G$14=H$35,M111!$B$1 &amp; " ", "") &amp; IF(M211!$G$14=H$35,M211!$B$1 &amp; " ", "") &amp; IF(M311!$G$14=H$35,M311!$B$1 &amp; " ", "") &amp; IF(M411!$G$14=H$35,M411!$B$1 &amp; " ", ""))), " ", ",")</f>
        <v/>
      </c>
      <c r="I39" s="13">
        <f>SUBSTITUTE(TRIM((IF(D111!$G$14=I$35,D111!$B$1 &amp; " ", "") &amp; IF(D211!$G$14=I$35,D211!$B$1 &amp; " ", "") &amp; IF(D311!$G$14=I$35,D311!$B$1 &amp; " ", "") &amp; IF(D411!$G$14=I$35,D411!$B$1 &amp; " ", "") &amp; IF(C111!$G$14=I$35,C111!$B$1 &amp; " ", "") &amp; IF(C121!$G$14=I$35,C121!$B$1 &amp; " ", "") &amp; IF(C122!$G$14=I$35,C122!$B$1 &amp; " ", "") &amp; IF(C211!$G$14=I$35,C211!$B$1 &amp; " ", "") &amp; IF(C212!$G$14=I$35,C212!$B$1 &amp; " ", "") &amp; IF(C311!$G$14=I$35,C311!$B$1 &amp; " ", "") &amp; IF(C312!$G$14=I$35,C312!$B$1 &amp; " ", "") &amp; IF(C411!$G$14=I$35,C411!$B$1 &amp; " ", "") &amp; IF(C412!$G$14=I$35,C412!$B$1 &amp; " ", "") &amp; IF(M111!$G$14=I$35,M111!$B$1 &amp; " ", "") &amp; IF(M211!$G$14=I$35,M211!$B$1 &amp; " ", "") &amp; IF(M311!$G$14=I$35,M311!$B$1 &amp; " ", "") &amp; IF(M411!$G$14=I$35,M411!$B$1 &amp; " ", ""))), " ", ",")</f>
        <v/>
      </c>
      <c r="J39" s="13">
        <f>SUBSTITUTE(TRIM((IF(D111!$G$14=J$35,D111!$B$1 &amp; " ", "") &amp; IF(D211!$G$14=J$35,D211!$B$1 &amp; " ", "") &amp; IF(D311!$G$14=J$35,D311!$B$1 &amp; " ", "") &amp; IF(D411!$G$14=J$35,D411!$B$1 &amp; " ", "") &amp; IF(C111!$G$14=J$35,C111!$B$1 &amp; " ", "") &amp; IF(C121!$G$14=J$35,C121!$B$1 &amp; " ", "") &amp; IF(C122!$G$14=J$35,C122!$B$1 &amp; " ", "") &amp; IF(C211!$G$14=J$35,C211!$B$1 &amp; " ", "") &amp; IF(C212!$G$14=J$35,C212!$B$1 &amp; " ", "") &amp; IF(C311!$G$14=J$35,C311!$B$1 &amp; " ", "") &amp; IF(C312!$G$14=J$35,C312!$B$1 &amp; " ", "") &amp; IF(C411!$G$14=J$35,C411!$B$1 &amp; " ", "") &amp; IF(C412!$G$14=J$35,C412!$B$1 &amp; " ", "") &amp; IF(M111!$G$14=J$35,M111!$B$1 &amp; " ", "") &amp; IF(M211!$G$14=J$35,M211!$B$1 &amp; " ", "") &amp; IF(M311!$G$14=J$35,M311!$B$1 &amp; " ", "") &amp; IF(M411!$G$14=J$35,M411!$B$1 &amp; " ", ""))), " ", ",")</f>
        <v/>
      </c>
      <c r="K39" s="13">
        <f>SUBSTITUTE(TRIM((IF(D111!$G$14=K$35,D111!$B$1 &amp; " ", "") &amp; IF(D211!$G$14=K$35,D211!$B$1 &amp; " ", "") &amp; IF(D311!$G$14=K$35,D311!$B$1 &amp; " ", "") &amp; IF(D411!$G$14=K$35,D411!$B$1 &amp; " ", "") &amp; IF(C111!$G$14=K$35,C111!$B$1 &amp; " ", "") &amp; IF(C121!$G$14=K$35,C121!$B$1 &amp; " ", "") &amp; IF(C122!$G$14=K$35,C122!$B$1 &amp; " ", "") &amp; IF(C211!$G$14=K$35,C211!$B$1 &amp; " ", "") &amp; IF(C212!$G$14=K$35,C212!$B$1 &amp; " ", "") &amp; IF(C311!$G$14=K$35,C311!$B$1 &amp; " ", "") &amp; IF(C312!$G$14=K$35,C312!$B$1 &amp; " ", "") &amp; IF(C411!$G$14=K$35,C411!$B$1 &amp; " ", "") &amp; IF(C412!$G$14=K$35,C412!$B$1 &amp; " ", "") &amp; IF(M111!$G$14=K$35,M111!$B$1 &amp; " ", "") &amp; IF(M211!$G$14=K$35,M211!$B$1 &amp; " ", "") &amp; IF(M311!$G$14=K$35,M311!$B$1 &amp; " ", "") &amp; IF(M411!$G$14=K$35,M411!$B$1 &amp; " ", ""))), " ", ",")</f>
        <v/>
      </c>
      <c r="L39" s="13">
        <f>SUBSTITUTE(TRIM((IF(D111!$G$14=L$35,D111!$B$1 &amp; " ", "") &amp; IF(D211!$G$14=L$35,D211!$B$1 &amp; " ", "") &amp; IF(D311!$G$14=L$35,D311!$B$1 &amp; " ", "") &amp; IF(D411!$G$14=L$35,D411!$B$1 &amp; " ", "") &amp; IF(C111!$G$14=L$35,C111!$B$1 &amp; " ", "") &amp; IF(C121!$G$14=L$35,C121!$B$1 &amp; " ", "") &amp; IF(C122!$G$14=L$35,C122!$B$1 &amp; " ", "") &amp; IF(C211!$G$14=L$35,C211!$B$1 &amp; " ", "") &amp; IF(C212!$G$14=L$35,C212!$B$1 &amp; " ", "") &amp; IF(C311!$G$14=L$35,C311!$B$1 &amp; " ", "") &amp; IF(C312!$G$14=L$35,C312!$B$1 &amp; " ", "") &amp; IF(C411!$G$14=L$35,C411!$B$1 &amp; " ", "") &amp; IF(C412!$G$14=L$35,C412!$B$1 &amp; " ", "") &amp; IF(M111!$G$14=L$35,M111!$B$1 &amp; " ", "") &amp; IF(M211!$G$14=L$35,M211!$B$1 &amp; " ", "") &amp; IF(M311!$G$14=L$35,M311!$B$1 &amp; " ", "") &amp; IF(M411!$G$14=L$35,M411!$B$1 &amp; " ", ""))), " ", ",")</f>
        <v/>
      </c>
    </row>
    <row r="40">
      <c r="A40" t="inlineStr"/>
      <c r="B40" s="13" t="inlineStr">
        <is>
          <t>5to</t>
        </is>
      </c>
      <c r="C40" s="13">
        <f>SUBSTITUTE(TRIM((IF(D111!$G$17=C$35,D111!$B$1 &amp; " ", "") &amp; IF(D211!$G$17=C$35,D211!$B$1 &amp; " ", "") &amp; IF(D311!$G$17=C$35,D311!$B$1 &amp; " ", "") &amp; IF(D411!$G$17=C$35,D411!$B$1 &amp; " ", "") &amp; IF(C111!$G$17=C$35,C111!$B$1 &amp; " ", "") &amp; IF(C121!$G$17=C$35,C121!$B$1 &amp; " ", "") &amp; IF(C122!$G$17=C$35,C122!$B$1 &amp; " ", "") &amp; IF(C211!$G$17=C$35,C211!$B$1 &amp; " ", "") &amp; IF(C212!$G$17=C$35,C212!$B$1 &amp; " ", "") &amp; IF(C311!$G$17=C$35,C311!$B$1 &amp; " ", "") &amp; IF(C312!$G$17=C$35,C312!$B$1 &amp; " ", "") &amp; IF(C411!$G$17=C$35,C411!$B$1 &amp; " ", "") &amp; IF(C412!$G$17=C$35,C412!$B$1 &amp; " ", "") &amp; IF(M111!$G$17=C$35,M111!$B$1 &amp; " ", "") &amp; IF(M211!$G$17=C$35,M211!$B$1 &amp; " ", "") &amp; IF(M311!$G$17=C$35,M311!$B$1 &amp; " ", "") &amp; IF(M411!$G$17=C$35,M411!$B$1 &amp; " ", ""))), " ", ",")</f>
        <v/>
      </c>
      <c r="D40" s="13">
        <f>SUBSTITUTE(TRIM((IF(D111!$G$17=D$35,D111!$B$1 &amp; " ", "") &amp; IF(D211!$G$17=D$35,D211!$B$1 &amp; " ", "") &amp; IF(D311!$G$17=D$35,D311!$B$1 &amp; " ", "") &amp; IF(D411!$G$17=D$35,D411!$B$1 &amp; " ", "") &amp; IF(C111!$G$17=D$35,C111!$B$1 &amp; " ", "") &amp; IF(C121!$G$17=D$35,C121!$B$1 &amp; " ", "") &amp; IF(C122!$G$17=D$35,C122!$B$1 &amp; " ", "") &amp; IF(C211!$G$17=D$35,C211!$B$1 &amp; " ", "") &amp; IF(C212!$G$17=D$35,C212!$B$1 &amp; " ", "") &amp; IF(C311!$G$17=D$35,C311!$B$1 &amp; " ", "") &amp; IF(C312!$G$17=D$35,C312!$B$1 &amp; " ", "") &amp; IF(C411!$G$17=D$35,C411!$B$1 &amp; " ", "") &amp; IF(C412!$G$17=D$35,C412!$B$1 &amp; " ", "") &amp; IF(M111!$G$17=D$35,M111!$B$1 &amp; " ", "") &amp; IF(M211!$G$17=D$35,M211!$B$1 &amp; " ", "") &amp; IF(M311!$G$17=D$35,M311!$B$1 &amp; " ", "") &amp; IF(M411!$G$17=D$35,M411!$B$1 &amp; " ", ""))), " ", ",")</f>
        <v/>
      </c>
      <c r="E40" s="13">
        <f>SUBSTITUTE(TRIM((IF(D111!$G$17=E$35,D111!$B$1 &amp; " ", "") &amp; IF(D211!$G$17=E$35,D211!$B$1 &amp; " ", "") &amp; IF(D311!$G$17=E$35,D311!$B$1 &amp; " ", "") &amp; IF(D411!$G$17=E$35,D411!$B$1 &amp; " ", "") &amp; IF(C111!$G$17=E$35,C111!$B$1 &amp; " ", "") &amp; IF(C121!$G$17=E$35,C121!$B$1 &amp; " ", "") &amp; IF(C122!$G$17=E$35,C122!$B$1 &amp; " ", "") &amp; IF(C211!$G$17=E$35,C211!$B$1 &amp; " ", "") &amp; IF(C212!$G$17=E$35,C212!$B$1 &amp; " ", "") &amp; IF(C311!$G$17=E$35,C311!$B$1 &amp; " ", "") &amp; IF(C312!$G$17=E$35,C312!$B$1 &amp; " ", "") &amp; IF(C411!$G$17=E$35,C411!$B$1 &amp; " ", "") &amp; IF(C412!$G$17=E$35,C412!$B$1 &amp; " ", "") &amp; IF(M111!$G$17=E$35,M111!$B$1 &amp; " ", "") &amp; IF(M211!$G$17=E$35,M211!$B$1 &amp; " ", "") &amp; IF(M311!$G$17=E$35,M311!$B$1 &amp; " ", "") &amp; IF(M411!$G$17=E$35,M411!$B$1 &amp; " ", ""))), " ", ",")</f>
        <v/>
      </c>
      <c r="F40" s="13">
        <f>SUBSTITUTE(TRIM((IF(D111!$G$17=F$35,D111!$B$1 &amp; " ", "") &amp; IF(D211!$G$17=F$35,D211!$B$1 &amp; " ", "") &amp; IF(D311!$G$17=F$35,D311!$B$1 &amp; " ", "") &amp; IF(D411!$G$17=F$35,D411!$B$1 &amp; " ", "") &amp; IF(C111!$G$17=F$35,C111!$B$1 &amp; " ", "") &amp; IF(C121!$G$17=F$35,C121!$B$1 &amp; " ", "") &amp; IF(C122!$G$17=F$35,C122!$B$1 &amp; " ", "") &amp; IF(C211!$G$17=F$35,C211!$B$1 &amp; " ", "") &amp; IF(C212!$G$17=F$35,C212!$B$1 &amp; " ", "") &amp; IF(C311!$G$17=F$35,C311!$B$1 &amp; " ", "") &amp; IF(C312!$G$17=F$35,C312!$B$1 &amp; " ", "") &amp; IF(C411!$G$17=F$35,C411!$B$1 &amp; " ", "") &amp; IF(C412!$G$17=F$35,C412!$B$1 &amp; " ", "") &amp; IF(M111!$G$17=F$35,M111!$B$1 &amp; " ", "") &amp; IF(M211!$G$17=F$35,M211!$B$1 &amp; " ", "") &amp; IF(M311!$G$17=F$35,M311!$B$1 &amp; " ", "") &amp; IF(M411!$G$17=F$35,M411!$B$1 &amp; " ", ""))), " ", ",")</f>
        <v/>
      </c>
      <c r="G40" s="13">
        <f>SUBSTITUTE(TRIM((IF(D111!$G$17=G$35,D111!$B$1 &amp; " ", "") &amp; IF(D211!$G$17=G$35,D211!$B$1 &amp; " ", "") &amp; IF(D311!$G$17=G$35,D311!$B$1 &amp; " ", "") &amp; IF(D411!$G$17=G$35,D411!$B$1 &amp; " ", "") &amp; IF(C111!$G$17=G$35,C111!$B$1 &amp; " ", "") &amp; IF(C121!$G$17=G$35,C121!$B$1 &amp; " ", "") &amp; IF(C122!$G$17=G$35,C122!$B$1 &amp; " ", "") &amp; IF(C211!$G$17=G$35,C211!$B$1 &amp; " ", "") &amp; IF(C212!$G$17=G$35,C212!$B$1 &amp; " ", "") &amp; IF(C311!$G$17=G$35,C311!$B$1 &amp; " ", "") &amp; IF(C312!$G$17=G$35,C312!$B$1 &amp; " ", "") &amp; IF(C411!$G$17=G$35,C411!$B$1 &amp; " ", "") &amp; IF(C412!$G$17=G$35,C412!$B$1 &amp; " ", "") &amp; IF(M111!$G$17=G$35,M111!$B$1 &amp; " ", "") &amp; IF(M211!$G$17=G$35,M211!$B$1 &amp; " ", "") &amp; IF(M311!$G$17=G$35,M311!$B$1 &amp; " ", "") &amp; IF(M411!$G$17=G$35,M411!$B$1 &amp; " ", ""))), " ", ",")</f>
        <v/>
      </c>
      <c r="H40" s="13">
        <f>SUBSTITUTE(TRIM((IF(D111!$G$17=H$35,D111!$B$1 &amp; " ", "") &amp; IF(D211!$G$17=H$35,D211!$B$1 &amp; " ", "") &amp; IF(D311!$G$17=H$35,D311!$B$1 &amp; " ", "") &amp; IF(D411!$G$17=H$35,D411!$B$1 &amp; " ", "") &amp; IF(C111!$G$17=H$35,C111!$B$1 &amp; " ", "") &amp; IF(C121!$G$17=H$35,C121!$B$1 &amp; " ", "") &amp; IF(C122!$G$17=H$35,C122!$B$1 &amp; " ", "") &amp; IF(C211!$G$17=H$35,C211!$B$1 &amp; " ", "") &amp; IF(C212!$G$17=H$35,C212!$B$1 &amp; " ", "") &amp; IF(C311!$G$17=H$35,C311!$B$1 &amp; " ", "") &amp; IF(C312!$G$17=H$35,C312!$B$1 &amp; " ", "") &amp; IF(C411!$G$17=H$35,C411!$B$1 &amp; " ", "") &amp; IF(C412!$G$17=H$35,C412!$B$1 &amp; " ", "") &amp; IF(M111!$G$17=H$35,M111!$B$1 &amp; " ", "") &amp; IF(M211!$G$17=H$35,M211!$B$1 &amp; " ", "") &amp; IF(M311!$G$17=H$35,M311!$B$1 &amp; " ", "") &amp; IF(M411!$G$17=H$35,M411!$B$1 &amp; " ", ""))), " ", ",")</f>
        <v/>
      </c>
      <c r="I40" s="13">
        <f>SUBSTITUTE(TRIM((IF(D111!$G$17=I$35,D111!$B$1 &amp; " ", "") &amp; IF(D211!$G$17=I$35,D211!$B$1 &amp; " ", "") &amp; IF(D311!$G$17=I$35,D311!$B$1 &amp; " ", "") &amp; IF(D411!$G$17=I$35,D411!$B$1 &amp; " ", "") &amp; IF(C111!$G$17=I$35,C111!$B$1 &amp; " ", "") &amp; IF(C121!$G$17=I$35,C121!$B$1 &amp; " ", "") &amp; IF(C122!$G$17=I$35,C122!$B$1 &amp; " ", "") &amp; IF(C211!$G$17=I$35,C211!$B$1 &amp; " ", "") &amp; IF(C212!$G$17=I$35,C212!$B$1 &amp; " ", "") &amp; IF(C311!$G$17=I$35,C311!$B$1 &amp; " ", "") &amp; IF(C312!$G$17=I$35,C312!$B$1 &amp; " ", "") &amp; IF(C411!$G$17=I$35,C411!$B$1 &amp; " ", "") &amp; IF(C412!$G$17=I$35,C412!$B$1 &amp; " ", "") &amp; IF(M111!$G$17=I$35,M111!$B$1 &amp; " ", "") &amp; IF(M211!$G$17=I$35,M211!$B$1 &amp; " ", "") &amp; IF(M311!$G$17=I$35,M311!$B$1 &amp; " ", "") &amp; IF(M411!$G$17=I$35,M411!$B$1 &amp; " ", ""))), " ", ",")</f>
        <v/>
      </c>
      <c r="J40" s="13">
        <f>SUBSTITUTE(TRIM((IF(D111!$G$17=J$35,D111!$B$1 &amp; " ", "") &amp; IF(D211!$G$17=J$35,D211!$B$1 &amp; " ", "") &amp; IF(D311!$G$17=J$35,D311!$B$1 &amp; " ", "") &amp; IF(D411!$G$17=J$35,D411!$B$1 &amp; " ", "") &amp; IF(C111!$G$17=J$35,C111!$B$1 &amp; " ", "") &amp; IF(C121!$G$17=J$35,C121!$B$1 &amp; " ", "") &amp; IF(C122!$G$17=J$35,C122!$B$1 &amp; " ", "") &amp; IF(C211!$G$17=J$35,C211!$B$1 &amp; " ", "") &amp; IF(C212!$G$17=J$35,C212!$B$1 &amp; " ", "") &amp; IF(C311!$G$17=J$35,C311!$B$1 &amp; " ", "") &amp; IF(C312!$G$17=J$35,C312!$B$1 &amp; " ", "") &amp; IF(C411!$G$17=J$35,C411!$B$1 &amp; " ", "") &amp; IF(C412!$G$17=J$35,C412!$B$1 &amp; " ", "") &amp; IF(M111!$G$17=J$35,M111!$B$1 &amp; " ", "") &amp; IF(M211!$G$17=J$35,M211!$B$1 &amp; " ", "") &amp; IF(M311!$G$17=J$35,M311!$B$1 &amp; " ", "") &amp; IF(M411!$G$17=J$35,M411!$B$1 &amp; " ", ""))), " ", ",")</f>
        <v/>
      </c>
      <c r="K40" s="13">
        <f>SUBSTITUTE(TRIM((IF(D111!$G$17=K$35,D111!$B$1 &amp; " ", "") &amp; IF(D211!$G$17=K$35,D211!$B$1 &amp; " ", "") &amp; IF(D311!$G$17=K$35,D311!$B$1 &amp; " ", "") &amp; IF(D411!$G$17=K$35,D411!$B$1 &amp; " ", "") &amp; IF(C111!$G$17=K$35,C111!$B$1 &amp; " ", "") &amp; IF(C121!$G$17=K$35,C121!$B$1 &amp; " ", "") &amp; IF(C122!$G$17=K$35,C122!$B$1 &amp; " ", "") &amp; IF(C211!$G$17=K$35,C211!$B$1 &amp; " ", "") &amp; IF(C212!$G$17=K$35,C212!$B$1 &amp; " ", "") &amp; IF(C311!$G$17=K$35,C311!$B$1 &amp; " ", "") &amp; IF(C312!$G$17=K$35,C312!$B$1 &amp; " ", "") &amp; IF(C411!$G$17=K$35,C411!$B$1 &amp; " ", "") &amp; IF(C412!$G$17=K$35,C412!$B$1 &amp; " ", "") &amp; IF(M111!$G$17=K$35,M111!$B$1 &amp; " ", "") &amp; IF(M211!$G$17=K$35,M211!$B$1 &amp; " ", "") &amp; IF(M311!$G$17=K$35,M311!$B$1 &amp; " ", "") &amp; IF(M411!$G$17=K$35,M411!$B$1 &amp; " ", ""))), " ", ",")</f>
        <v/>
      </c>
      <c r="L40" s="13">
        <f>SUBSTITUTE(TRIM((IF(D111!$G$17=L$35,D111!$B$1 &amp; " ", "") &amp; IF(D211!$G$17=L$35,D211!$B$1 &amp; " ", "") &amp; IF(D311!$G$17=L$35,D311!$B$1 &amp; " ", "") &amp; IF(D411!$G$17=L$35,D411!$B$1 &amp; " ", "") &amp; IF(C111!$G$17=L$35,C111!$B$1 &amp; " ", "") &amp; IF(C121!$G$17=L$35,C121!$B$1 &amp; " ", "") &amp; IF(C122!$G$17=L$35,C122!$B$1 &amp; " ", "") &amp; IF(C211!$G$17=L$35,C211!$B$1 &amp; " ", "") &amp; IF(C212!$G$17=L$35,C212!$B$1 &amp; " ", "") &amp; IF(C311!$G$17=L$35,C311!$B$1 &amp; " ", "") &amp; IF(C312!$G$17=L$35,C312!$B$1 &amp; " ", "") &amp; IF(C411!$G$17=L$35,C411!$B$1 &amp; " ", "") &amp; IF(C412!$G$17=L$35,C412!$B$1 &amp; " ", "") &amp; IF(M111!$G$17=L$35,M111!$B$1 &amp; " ", "") &amp; IF(M211!$G$17=L$35,M211!$B$1 &amp; " ", "") &amp; IF(M311!$G$17=L$35,M311!$B$1 &amp; " ", "") &amp; IF(M411!$G$17=L$35,M411!$B$1 &amp; " ", ""))), " ", ",")</f>
        <v/>
      </c>
    </row>
    <row r="41">
      <c r="A41" t="inlineStr"/>
      <c r="B41" s="13" t="inlineStr">
        <is>
          <t>6to</t>
        </is>
      </c>
      <c r="C41" s="13">
        <f>SUBSTITUTE(TRIM((IF(D111!$G$20=C$35,D111!$B$1 &amp; " ", "") &amp; IF(D211!$G$20=C$35,D211!$B$1 &amp; " ", "") &amp; IF(D311!$G$20=C$35,D311!$B$1 &amp; " ", "") &amp; IF(D411!$G$20=C$35,D411!$B$1 &amp; " ", "") &amp; IF(C111!$G$20=C$35,C111!$B$1 &amp; " ", "") &amp; IF(C121!$G$20=C$35,C121!$B$1 &amp; " ", "") &amp; IF(C122!$G$20=C$35,C122!$B$1 &amp; " ", "") &amp; IF(C211!$G$20=C$35,C211!$B$1 &amp; " ", "") &amp; IF(C212!$G$20=C$35,C212!$B$1 &amp; " ", "") &amp; IF(C311!$G$20=C$35,C311!$B$1 &amp; " ", "") &amp; IF(C312!$G$20=C$35,C312!$B$1 &amp; " ", "") &amp; IF(C411!$G$20=C$35,C411!$B$1 &amp; " ", "") &amp; IF(C412!$G$20=C$35,C412!$B$1 &amp; " ", "") &amp; IF(M111!$G$20=C$35,M111!$B$1 &amp; " ", "") &amp; IF(M211!$G$20=C$35,M211!$B$1 &amp; " ", "") &amp; IF(M311!$G$20=C$35,M311!$B$1 &amp; " ", "") &amp; IF(M411!$G$20=C$35,M411!$B$1 &amp; " ", ""))), " ", ",")</f>
        <v/>
      </c>
      <c r="D41" s="13">
        <f>SUBSTITUTE(TRIM((IF(D111!$G$20=D$35,D111!$B$1 &amp; " ", "") &amp; IF(D211!$G$20=D$35,D211!$B$1 &amp; " ", "") &amp; IF(D311!$G$20=D$35,D311!$B$1 &amp; " ", "") &amp; IF(D411!$G$20=D$35,D411!$B$1 &amp; " ", "") &amp; IF(C111!$G$20=D$35,C111!$B$1 &amp; " ", "") &amp; IF(C121!$G$20=D$35,C121!$B$1 &amp; " ", "") &amp; IF(C122!$G$20=D$35,C122!$B$1 &amp; " ", "") &amp; IF(C211!$G$20=D$35,C211!$B$1 &amp; " ", "") &amp; IF(C212!$G$20=D$35,C212!$B$1 &amp; " ", "") &amp; IF(C311!$G$20=D$35,C311!$B$1 &amp; " ", "") &amp; IF(C312!$G$20=D$35,C312!$B$1 &amp; " ", "") &amp; IF(C411!$G$20=D$35,C411!$B$1 &amp; " ", "") &amp; IF(C412!$G$20=D$35,C412!$B$1 &amp; " ", "") &amp; IF(M111!$G$20=D$35,M111!$B$1 &amp; " ", "") &amp; IF(M211!$G$20=D$35,M211!$B$1 &amp; " ", "") &amp; IF(M311!$G$20=D$35,M311!$B$1 &amp; " ", "") &amp; IF(M411!$G$20=D$35,M411!$B$1 &amp; " ", ""))), " ", ",")</f>
        <v/>
      </c>
      <c r="E41" s="13">
        <f>SUBSTITUTE(TRIM((IF(D111!$G$20=E$35,D111!$B$1 &amp; " ", "") &amp; IF(D211!$G$20=E$35,D211!$B$1 &amp; " ", "") &amp; IF(D311!$G$20=E$35,D311!$B$1 &amp; " ", "") &amp; IF(D411!$G$20=E$35,D411!$B$1 &amp; " ", "") &amp; IF(C111!$G$20=E$35,C111!$B$1 &amp; " ", "") &amp; IF(C121!$G$20=E$35,C121!$B$1 &amp; " ", "") &amp; IF(C122!$G$20=E$35,C122!$B$1 &amp; " ", "") &amp; IF(C211!$G$20=E$35,C211!$B$1 &amp; " ", "") &amp; IF(C212!$G$20=E$35,C212!$B$1 &amp; " ", "") &amp; IF(C311!$G$20=E$35,C311!$B$1 &amp; " ", "") &amp; IF(C312!$G$20=E$35,C312!$B$1 &amp; " ", "") &amp; IF(C411!$G$20=E$35,C411!$B$1 &amp; " ", "") &amp; IF(C412!$G$20=E$35,C412!$B$1 &amp; " ", "") &amp; IF(M111!$G$20=E$35,M111!$B$1 &amp; " ", "") &amp; IF(M211!$G$20=E$35,M211!$B$1 &amp; " ", "") &amp; IF(M311!$G$20=E$35,M311!$B$1 &amp; " ", "") &amp; IF(M411!$G$20=E$35,M411!$B$1 &amp; " ", ""))), " ", ",")</f>
        <v/>
      </c>
      <c r="F41" s="13">
        <f>SUBSTITUTE(TRIM((IF(D111!$G$20=F$35,D111!$B$1 &amp; " ", "") &amp; IF(D211!$G$20=F$35,D211!$B$1 &amp; " ", "") &amp; IF(D311!$G$20=F$35,D311!$B$1 &amp; " ", "") &amp; IF(D411!$G$20=F$35,D411!$B$1 &amp; " ", "") &amp; IF(C111!$G$20=F$35,C111!$B$1 &amp; " ", "") &amp; IF(C121!$G$20=F$35,C121!$B$1 &amp; " ", "") &amp; IF(C122!$G$20=F$35,C122!$B$1 &amp; " ", "") &amp; IF(C211!$G$20=F$35,C211!$B$1 &amp; " ", "") &amp; IF(C212!$G$20=F$35,C212!$B$1 &amp; " ", "") &amp; IF(C311!$G$20=F$35,C311!$B$1 &amp; " ", "") &amp; IF(C312!$G$20=F$35,C312!$B$1 &amp; " ", "") &amp; IF(C411!$G$20=F$35,C411!$B$1 &amp; " ", "") &amp; IF(C412!$G$20=F$35,C412!$B$1 &amp; " ", "") &amp; IF(M111!$G$20=F$35,M111!$B$1 &amp; " ", "") &amp; IF(M211!$G$20=F$35,M211!$B$1 &amp; " ", "") &amp; IF(M311!$G$20=F$35,M311!$B$1 &amp; " ", "") &amp; IF(M411!$G$20=F$35,M411!$B$1 &amp; " ", ""))), " ", ",")</f>
        <v/>
      </c>
      <c r="G41" s="13">
        <f>SUBSTITUTE(TRIM((IF(D111!$G$20=G$35,D111!$B$1 &amp; " ", "") &amp; IF(D211!$G$20=G$35,D211!$B$1 &amp; " ", "") &amp; IF(D311!$G$20=G$35,D311!$B$1 &amp; " ", "") &amp; IF(D411!$G$20=G$35,D411!$B$1 &amp; " ", "") &amp; IF(C111!$G$20=G$35,C111!$B$1 &amp; " ", "") &amp; IF(C121!$G$20=G$35,C121!$B$1 &amp; " ", "") &amp; IF(C122!$G$20=G$35,C122!$B$1 &amp; " ", "") &amp; IF(C211!$G$20=G$35,C211!$B$1 &amp; " ", "") &amp; IF(C212!$G$20=G$35,C212!$B$1 &amp; " ", "") &amp; IF(C311!$G$20=G$35,C311!$B$1 &amp; " ", "") &amp; IF(C312!$G$20=G$35,C312!$B$1 &amp; " ", "") &amp; IF(C411!$G$20=G$35,C411!$B$1 &amp; " ", "") &amp; IF(C412!$G$20=G$35,C412!$B$1 &amp; " ", "") &amp; IF(M111!$G$20=G$35,M111!$B$1 &amp; " ", "") &amp; IF(M211!$G$20=G$35,M211!$B$1 &amp; " ", "") &amp; IF(M311!$G$20=G$35,M311!$B$1 &amp; " ", "") &amp; IF(M411!$G$20=G$35,M411!$B$1 &amp; " ", ""))), " ", ",")</f>
        <v/>
      </c>
      <c r="H41" s="13">
        <f>SUBSTITUTE(TRIM((IF(D111!$G$20=H$35,D111!$B$1 &amp; " ", "") &amp; IF(D211!$G$20=H$35,D211!$B$1 &amp; " ", "") &amp; IF(D311!$G$20=H$35,D311!$B$1 &amp; " ", "") &amp; IF(D411!$G$20=H$35,D411!$B$1 &amp; " ", "") &amp; IF(C111!$G$20=H$35,C111!$B$1 &amp; " ", "") &amp; IF(C121!$G$20=H$35,C121!$B$1 &amp; " ", "") &amp; IF(C122!$G$20=H$35,C122!$B$1 &amp; " ", "") &amp; IF(C211!$G$20=H$35,C211!$B$1 &amp; " ", "") &amp; IF(C212!$G$20=H$35,C212!$B$1 &amp; " ", "") &amp; IF(C311!$G$20=H$35,C311!$B$1 &amp; " ", "") &amp; IF(C312!$G$20=H$35,C312!$B$1 &amp; " ", "") &amp; IF(C411!$G$20=H$35,C411!$B$1 &amp; " ", "") &amp; IF(C412!$G$20=H$35,C412!$B$1 &amp; " ", "") &amp; IF(M111!$G$20=H$35,M111!$B$1 &amp; " ", "") &amp; IF(M211!$G$20=H$35,M211!$B$1 &amp; " ", "") &amp; IF(M311!$G$20=H$35,M311!$B$1 &amp; " ", "") &amp; IF(M411!$G$20=H$35,M411!$B$1 &amp; " ", ""))), " ", ",")</f>
        <v/>
      </c>
      <c r="I41" s="13">
        <f>SUBSTITUTE(TRIM((IF(D111!$G$20=I$35,D111!$B$1 &amp; " ", "") &amp; IF(D211!$G$20=I$35,D211!$B$1 &amp; " ", "") &amp; IF(D311!$G$20=I$35,D311!$B$1 &amp; " ", "") &amp; IF(D411!$G$20=I$35,D411!$B$1 &amp; " ", "") &amp; IF(C111!$G$20=I$35,C111!$B$1 &amp; " ", "") &amp; IF(C121!$G$20=I$35,C121!$B$1 &amp; " ", "") &amp; IF(C122!$G$20=I$35,C122!$B$1 &amp; " ", "") &amp; IF(C211!$G$20=I$35,C211!$B$1 &amp; " ", "") &amp; IF(C212!$G$20=I$35,C212!$B$1 &amp; " ", "") &amp; IF(C311!$G$20=I$35,C311!$B$1 &amp; " ", "") &amp; IF(C312!$G$20=I$35,C312!$B$1 &amp; " ", "") &amp; IF(C411!$G$20=I$35,C411!$B$1 &amp; " ", "") &amp; IF(C412!$G$20=I$35,C412!$B$1 &amp; " ", "") &amp; IF(M111!$G$20=I$35,M111!$B$1 &amp; " ", "") &amp; IF(M211!$G$20=I$35,M211!$B$1 &amp; " ", "") &amp; IF(M311!$G$20=I$35,M311!$B$1 &amp; " ", "") &amp; IF(M411!$G$20=I$35,M411!$B$1 &amp; " ", ""))), " ", ",")</f>
        <v/>
      </c>
      <c r="J41" s="13">
        <f>SUBSTITUTE(TRIM((IF(D111!$G$20=J$35,D111!$B$1 &amp; " ", "") &amp; IF(D211!$G$20=J$35,D211!$B$1 &amp; " ", "") &amp; IF(D311!$G$20=J$35,D311!$B$1 &amp; " ", "") &amp; IF(D411!$G$20=J$35,D411!$B$1 &amp; " ", "") &amp; IF(C111!$G$20=J$35,C111!$B$1 &amp; " ", "") &amp; IF(C121!$G$20=J$35,C121!$B$1 &amp; " ", "") &amp; IF(C122!$G$20=J$35,C122!$B$1 &amp; " ", "") &amp; IF(C211!$G$20=J$35,C211!$B$1 &amp; " ", "") &amp; IF(C212!$G$20=J$35,C212!$B$1 &amp; " ", "") &amp; IF(C311!$G$20=J$35,C311!$B$1 &amp; " ", "") &amp; IF(C312!$G$20=J$35,C312!$B$1 &amp; " ", "") &amp; IF(C411!$G$20=J$35,C411!$B$1 &amp; " ", "") &amp; IF(C412!$G$20=J$35,C412!$B$1 &amp; " ", "") &amp; IF(M111!$G$20=J$35,M111!$B$1 &amp; " ", "") &amp; IF(M211!$G$20=J$35,M211!$B$1 &amp; " ", "") &amp; IF(M311!$G$20=J$35,M311!$B$1 &amp; " ", "") &amp; IF(M411!$G$20=J$35,M411!$B$1 &amp; " ", ""))), " ", ",")</f>
        <v/>
      </c>
      <c r="K41" s="13">
        <f>SUBSTITUTE(TRIM((IF(D111!$G$20=K$35,D111!$B$1 &amp; " ", "") &amp; IF(D211!$G$20=K$35,D211!$B$1 &amp; " ", "") &amp; IF(D311!$G$20=K$35,D311!$B$1 &amp; " ", "") &amp; IF(D411!$G$20=K$35,D411!$B$1 &amp; " ", "") &amp; IF(C111!$G$20=K$35,C111!$B$1 &amp; " ", "") &amp; IF(C121!$G$20=K$35,C121!$B$1 &amp; " ", "") &amp; IF(C122!$G$20=K$35,C122!$B$1 &amp; " ", "") &amp; IF(C211!$G$20=K$35,C211!$B$1 &amp; " ", "") &amp; IF(C212!$G$20=K$35,C212!$B$1 &amp; " ", "") &amp; IF(C311!$G$20=K$35,C311!$B$1 &amp; " ", "") &amp; IF(C312!$G$20=K$35,C312!$B$1 &amp; " ", "") &amp; IF(C411!$G$20=K$35,C411!$B$1 &amp; " ", "") &amp; IF(C412!$G$20=K$35,C412!$B$1 &amp; " ", "") &amp; IF(M111!$G$20=K$35,M111!$B$1 &amp; " ", "") &amp; IF(M211!$G$20=K$35,M211!$B$1 &amp; " ", "") &amp; IF(M311!$G$20=K$35,M311!$B$1 &amp; " ", "") &amp; IF(M411!$G$20=K$35,M411!$B$1 &amp; " ", ""))), " ", ",")</f>
        <v/>
      </c>
      <c r="L41" s="13">
        <f>SUBSTITUTE(TRIM((IF(D111!$G$20=L$35,D111!$B$1 &amp; " ", "") &amp; IF(D211!$G$20=L$35,D211!$B$1 &amp; " ", "") &amp; IF(D311!$G$20=L$35,D311!$B$1 &amp; " ", "") &amp; IF(D411!$G$20=L$35,D411!$B$1 &amp; " ", "") &amp; IF(C111!$G$20=L$35,C111!$B$1 &amp; " ", "") &amp; IF(C121!$G$20=L$35,C121!$B$1 &amp; " ", "") &amp; IF(C122!$G$20=L$35,C122!$B$1 &amp; " ", "") &amp; IF(C211!$G$20=L$35,C211!$B$1 &amp; " ", "") &amp; IF(C212!$G$20=L$35,C212!$B$1 &amp; " ", "") &amp; IF(C311!$G$20=L$35,C311!$B$1 &amp; " ", "") &amp; IF(C312!$G$20=L$35,C312!$B$1 &amp; " ", "") &amp; IF(C411!$G$20=L$35,C411!$B$1 &amp; " ", "") &amp; IF(C412!$G$20=L$35,C412!$B$1 &amp; " ", "") &amp; IF(M111!$G$20=L$35,M111!$B$1 &amp; " ", "") &amp; IF(M211!$G$20=L$35,M211!$B$1 &amp; " ", "") &amp; IF(M311!$G$20=L$35,M311!$B$1 &amp; " ", "") &amp; IF(M411!$G$20=L$35,M411!$B$1 &amp; " ", ""))), " ", ",")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2026-04-09T20:23:50Z</dcterms:created>
  <dcterms:modified xmlns:dcterms="http://purl.org/dc/terms/" xmlns:xsi="http://www.w3.org/2001/XMLSchema-instance" xsi:type="dcterms:W3CDTF">2026-04-09T20:23:50Z</dcterms:modified>
</cp:coreProperties>
</file>