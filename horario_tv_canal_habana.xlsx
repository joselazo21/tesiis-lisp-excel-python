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Lunes" sheetId="1" state="visible" r:id="rId1"/>
    <sheet xmlns:r="http://schemas.openxmlformats.org/officeDocument/2006/relationships" name="02-Martes" sheetId="2" state="visible" r:id="rId2"/>
    <sheet xmlns:r="http://schemas.openxmlformats.org/officeDocument/2006/relationships" name="03-Miércoles" sheetId="3" state="visible" r:id="rId3"/>
    <sheet xmlns:r="http://schemas.openxmlformats.org/officeDocument/2006/relationships" name="04-Jueves" sheetId="4" state="visible" r:id="rId4"/>
    <sheet xmlns:r="http://schemas.openxmlformats.org/officeDocument/2006/relationships" name="05-Viernes" sheetId="5" state="visible" r:id="rId5"/>
    <sheet xmlns:r="http://schemas.openxmlformats.org/officeDocument/2006/relationships" name="06-Sábado" sheetId="6" state="visible" r:id="rId6"/>
    <sheet xmlns:r="http://schemas.openxmlformats.org/officeDocument/2006/relationships" name="07-Domingo" sheetId="7" state="visible" r:id="rId7"/>
    <sheet xmlns:r="http://schemas.openxmlformats.org/officeDocument/2006/relationships" name="Resumen TV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5" borderId="1" applyAlignment="1" pivotButton="0" quotePrefix="0" xfId="0">
      <alignment horizontal="center" vertical="center"/>
    </xf>
    <xf numFmtId="0" fontId="1" fillId="4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FFFF6B6B"/>
          <bgColor rgb="FFFF6B6B"/>
        </patternFill>
      </fill>
    </dxf>
    <dxf>
      <fill>
        <patternFill patternType="solid">
          <fgColor rgb="FFFFA500"/>
          <bgColor rgb="FF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6" customWidth="1" min="3" max="3"/>
    <col width="3" customWidth="1" min="4" max="4"/>
    <col width="16" customWidth="1" min="5" max="5"/>
    <col width="18" customWidth="1" min="6" max="6"/>
    <col width="42" customWidth="1" min="7" max="7"/>
    <col width="12" customWidth="1" min="8" max="8"/>
    <col width="18" customWidth="1" min="9" max="9"/>
  </cols>
  <sheetData>
    <row r="1">
      <c r="A1" t="inlineStr">
        <is>
          <t>Programacion Lunes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s="1" t="inlineStr">
        <is>
          <t>Hora inicio 1ra fila</t>
        </is>
      </c>
      <c r="I2" s="1" t="inlineStr">
        <is>
          <t>16:00</t>
        </is>
      </c>
    </row>
    <row r="3">
      <c r="A3" s="2" t="inlineStr">
        <is>
          <t>Programa</t>
        </is>
      </c>
      <c r="B3" s="2" t="inlineStr">
        <is>
          <t>Duracion (min)</t>
        </is>
      </c>
      <c r="C3" s="2" t="inlineStr">
        <is>
          <t>Tipo</t>
        </is>
      </c>
      <c r="D3" t="inlineStr"/>
      <c r="E3" s="3" t="inlineStr">
        <is>
          <t>Hora de inicio</t>
        </is>
      </c>
      <c r="F3" s="3" t="inlineStr">
        <is>
          <t>Hora de terminacion</t>
        </is>
      </c>
      <c r="G3" s="3" t="inlineStr">
        <is>
          <t>Programa</t>
        </is>
      </c>
      <c r="H3" t="inlineStr">
        <is>
          <t>Tipo calc</t>
        </is>
      </c>
      <c r="I3" t="inlineStr"/>
    </row>
    <row r="4">
      <c r="A4" s="4" t="inlineStr">
        <is>
          <t>EL TIEMPO Y LA MEMORIA</t>
        </is>
      </c>
      <c r="B4" s="4" t="n">
        <v>5</v>
      </c>
      <c r="C4" s="4" t="inlineStr">
        <is>
          <t>informativo</t>
        </is>
      </c>
      <c r="D4" t="inlineStr"/>
      <c r="E4" s="4">
        <f>IF(G4="","",$I2)</f>
        <v/>
      </c>
      <c r="F4" s="4">
        <f>IF(G4="","",TEXT(TIMEVALUE(E4) + IFERROR(VLOOKUP(G4,$A$4:$C$19,2,FALSE),0)/1440,"hh:mm"))</f>
        <v/>
      </c>
      <c r="G4" s="4" t="inlineStr">
        <is>
          <t>EL TIEMPO Y LA MEMORIA</t>
        </is>
      </c>
      <c r="H4">
        <f>IF(G4="","",IFERROR(VLOOKUP(G4,$A$4:$C$19,3,FALSE),""))</f>
        <v/>
      </c>
      <c r="I4" t="inlineStr"/>
    </row>
    <row r="5">
      <c r="A5" s="4" t="inlineStr">
        <is>
          <t>COORDENADAS</t>
        </is>
      </c>
      <c r="B5" s="4" t="n">
        <v>5</v>
      </c>
      <c r="C5" s="4" t="inlineStr">
        <is>
          <t>informativo</t>
        </is>
      </c>
      <c r="D5" t="inlineStr"/>
      <c r="E5" s="4">
        <f>IF(G5="","",F4)</f>
        <v/>
      </c>
      <c r="F5" s="4">
        <f>IF(G5="","",TEXT(TIMEVALUE(E5) + IFERROR(VLOOKUP(G5,$A$4:$C$19,2,FALSE),0)/1440,"hh:mm"))</f>
        <v/>
      </c>
      <c r="G5" s="4" t="inlineStr">
        <is>
          <t>COORDENADAS</t>
        </is>
      </c>
      <c r="H5">
        <f>IF(G5="","",IFERROR(VLOOKUP(G5,$A$4:$C$19,3,FALSE),""))</f>
        <v/>
      </c>
      <c r="I5" t="inlineStr"/>
    </row>
    <row r="6">
      <c r="A6" s="4" t="inlineStr">
        <is>
          <t>REVISTA HOLA HABANA</t>
        </is>
      </c>
      <c r="B6" s="4" t="n">
        <v>50</v>
      </c>
      <c r="C6" s="4" t="inlineStr">
        <is>
          <t>revista</t>
        </is>
      </c>
      <c r="D6" t="inlineStr"/>
      <c r="E6" s="4">
        <f>IF(G6="","",F5)</f>
        <v/>
      </c>
      <c r="F6" s="4">
        <f>IF(G6="","",TEXT(TIMEVALUE(E6) + IFERROR(VLOOKUP(G6,$A$4:$C$19,2,FALSE),0)/1440,"hh:mm"))</f>
        <v/>
      </c>
      <c r="G6" s="4" t="inlineStr">
        <is>
          <t>REVISTA HOLA HABANA</t>
        </is>
      </c>
      <c r="H6">
        <f>IF(G6="","",IFERROR(VLOOKUP(G6,$A$4:$C$19,3,FALSE),""))</f>
        <v/>
      </c>
      <c r="I6" t="inlineStr"/>
    </row>
    <row r="7">
      <c r="A7" s="4" t="inlineStr">
        <is>
          <t>DÉCADAS MILAGROSAS</t>
        </is>
      </c>
      <c r="B7" s="4" t="n">
        <v>30</v>
      </c>
      <c r="C7" s="4" t="inlineStr">
        <is>
          <t>musical</t>
        </is>
      </c>
      <c r="D7" t="inlineStr"/>
      <c r="E7" s="4">
        <f>IF(G7="","",F6)</f>
        <v/>
      </c>
      <c r="F7" s="4">
        <f>IF(G7="","",TEXT(TIMEVALUE(E7) + IFERROR(VLOOKUP(G7,$A$4:$C$19,2,FALSE),0)/1440,"hh:mm"))</f>
        <v/>
      </c>
      <c r="G7" s="4" t="inlineStr">
        <is>
          <t>DÉCADAS MILAGROSAS</t>
        </is>
      </c>
      <c r="H7">
        <f>IF(G7="","",IFERROR(VLOOKUP(G7,$A$4:$C$19,3,FALSE),""))</f>
        <v/>
      </c>
      <c r="I7" t="inlineStr"/>
    </row>
    <row r="8">
      <c r="A8" s="4" t="inlineStr">
        <is>
          <t>HABANA NOTICIARIO</t>
        </is>
      </c>
      <c r="B8" s="4" t="n">
        <v>30</v>
      </c>
      <c r="C8" s="4" t="inlineStr">
        <is>
          <t>informativo</t>
        </is>
      </c>
      <c r="D8" t="inlineStr"/>
      <c r="E8" s="4">
        <f>IF(G8="","",F7)</f>
        <v/>
      </c>
      <c r="F8" s="4">
        <f>IF(G8="","",TEXT(TIMEVALUE(E8) + IFERROR(VLOOKUP(G8,$A$4:$C$19,2,FALSE),0)/1440,"hh:mm"))</f>
        <v/>
      </c>
      <c r="G8" s="4" t="inlineStr">
        <is>
          <t>HABANA NOTICIARIO</t>
        </is>
      </c>
      <c r="H8">
        <f>IF(G8="","",IFERROR(VLOOKUP(G8,$A$4:$C$19,3,FALSE),""))</f>
        <v/>
      </c>
      <c r="I8" t="inlineStr"/>
    </row>
    <row r="9">
      <c r="A9" s="4" t="inlineStr">
        <is>
          <t>POWER RANGERS</t>
        </is>
      </c>
      <c r="B9" s="4" t="n">
        <v>30</v>
      </c>
      <c r="C9" s="4" t="inlineStr">
        <is>
          <t>infantil</t>
        </is>
      </c>
      <c r="D9" t="inlineStr"/>
      <c r="E9" s="4">
        <f>IF(G9="","",F8)</f>
        <v/>
      </c>
      <c r="F9" s="4">
        <f>IF(G9="","",TEXT(TIMEVALUE(E9) + IFERROR(VLOOKUP(G9,$A$4:$C$19,2,FALSE),0)/1440,"hh:mm"))</f>
        <v/>
      </c>
      <c r="G9" s="4" t="inlineStr">
        <is>
          <t>POWER RANGERS</t>
        </is>
      </c>
      <c r="H9">
        <f>IF(G9="","",IFERROR(VLOOKUP(G9,$A$4:$C$19,3,FALSE),""))</f>
        <v/>
      </c>
      <c r="I9" t="inlineStr"/>
    </row>
    <row r="10">
      <c r="A10" s="4" t="inlineStr">
        <is>
          <t>CINECITO EN TV</t>
        </is>
      </c>
      <c r="B10" s="4" t="n">
        <v>25</v>
      </c>
      <c r="C10" s="4" t="inlineStr">
        <is>
          <t>cine</t>
        </is>
      </c>
      <c r="D10" t="inlineStr"/>
      <c r="E10" s="4">
        <f>IF(G10="","",F9)</f>
        <v/>
      </c>
      <c r="F10" s="4">
        <f>IF(G10="","",TEXT(TIMEVALUE(E10) + IFERROR(VLOOKUP(G10,$A$4:$C$19,2,FALSE),0)/1440,"hh:mm"))</f>
        <v/>
      </c>
      <c r="G10" s="4" t="inlineStr">
        <is>
          <t>CINECITO EN TV</t>
        </is>
      </c>
      <c r="H10">
        <f>IF(G10="","",IFERROR(VLOOKUP(G10,$A$4:$C$19,3,FALSE),""))</f>
        <v/>
      </c>
      <c r="I10" t="inlineStr"/>
    </row>
    <row r="11">
      <c r="A11" s="4" t="inlineStr">
        <is>
          <t>COORDENADAS INFANTILES</t>
        </is>
      </c>
      <c r="B11" s="4" t="n">
        <v>5</v>
      </c>
      <c r="C11" s="4" t="inlineStr">
        <is>
          <t>informativo</t>
        </is>
      </c>
      <c r="D11" t="inlineStr"/>
      <c r="E11" s="4">
        <f>IF(G11="","",F10)</f>
        <v/>
      </c>
      <c r="F11" s="4">
        <f>IF(G11="","",TEXT(TIMEVALUE(E11) + IFERROR(VLOOKUP(G11,$A$4:$C$19,2,FALSE),0)/1440,"hh:mm"))</f>
        <v/>
      </c>
      <c r="G11" s="4" t="inlineStr">
        <is>
          <t>COORDENADAS INFANTILES</t>
        </is>
      </c>
      <c r="H11">
        <f>IF(G11="","",IFERROR(VLOOKUP(G11,$A$4:$C$19,3,FALSE),""))</f>
        <v/>
      </c>
      <c r="I11" t="inlineStr"/>
    </row>
    <row r="12">
      <c r="A12" s="4" t="inlineStr">
        <is>
          <t>VE Y MIRA</t>
        </is>
      </c>
      <c r="B12" s="4" t="n">
        <v>30</v>
      </c>
      <c r="C12" s="4" t="inlineStr">
        <is>
          <t>cine</t>
        </is>
      </c>
      <c r="D12" t="inlineStr"/>
      <c r="E12" s="4">
        <f>IF(G12="","",F11)</f>
        <v/>
      </c>
      <c r="F12" s="4">
        <f>IF(G12="","",TEXT(TIMEVALUE(E12) + IFERROR(VLOOKUP(G12,$A$4:$C$19,2,FALSE),0)/1440,"hh:mm"))</f>
        <v/>
      </c>
      <c r="G12" s="4" t="inlineStr">
        <is>
          <t>VE Y MIRA</t>
        </is>
      </c>
      <c r="H12">
        <f>IF(G12="","",IFERROR(VLOOKUP(G12,$A$4:$C$19,3,FALSE),""))</f>
        <v/>
      </c>
      <c r="I12" t="inlineStr"/>
    </row>
    <row r="13">
      <c r="A13" s="4" t="inlineStr">
        <is>
          <t>MÚSICA HABANA</t>
        </is>
      </c>
      <c r="B13" s="4" t="n">
        <v>30</v>
      </c>
      <c r="C13" s="4" t="inlineStr">
        <is>
          <t>musical</t>
        </is>
      </c>
      <c r="D13" t="inlineStr"/>
      <c r="E13" s="4">
        <f>IF(G13="","",F12)</f>
        <v/>
      </c>
      <c r="F13" s="4">
        <f>IF(G13="","",TEXT(TIMEVALUE(E13) + IFERROR(VLOOKUP(G13,$A$4:$C$19,2,FALSE),0)/1440,"hh:mm"))</f>
        <v/>
      </c>
      <c r="G13" s="4" t="inlineStr">
        <is>
          <t>MÚSICA HABANA</t>
        </is>
      </c>
      <c r="H13">
        <f>IF(G13="","",IFERROR(VLOOKUP(G13,$A$4:$C$19,3,FALSE),""))</f>
        <v/>
      </c>
      <c r="I13" t="inlineStr"/>
    </row>
    <row r="14">
      <c r="A14" s="4" t="inlineStr">
        <is>
          <t>HABANA COLECCIÓN</t>
        </is>
      </c>
      <c r="B14" s="4" t="n">
        <v>30</v>
      </c>
      <c r="C14" s="4" t="inlineStr">
        <is>
          <t>cultural</t>
        </is>
      </c>
      <c r="D14" t="inlineStr"/>
      <c r="E14" s="4">
        <f>IF(G14="","",F13)</f>
        <v/>
      </c>
      <c r="F14" s="4">
        <f>IF(G14="","",TEXT(TIMEVALUE(E14) + IFERROR(VLOOKUP(G14,$A$4:$C$19,2,FALSE),0)/1440,"hh:mm"))</f>
        <v/>
      </c>
      <c r="G14" s="4" t="inlineStr">
        <is>
          <t>HABANA COLECCIÓN</t>
        </is>
      </c>
      <c r="H14">
        <f>IF(G14="","",IFERROR(VLOOKUP(G14,$A$4:$C$19,3,FALSE),""))</f>
        <v/>
      </c>
      <c r="I14" t="inlineStr"/>
    </row>
    <row r="15">
      <c r="A15" s="4" t="inlineStr">
        <is>
          <t>MÚSICA SÍ</t>
        </is>
      </c>
      <c r="B15" s="4" t="n">
        <v>60</v>
      </c>
      <c r="C15" s="4" t="inlineStr">
        <is>
          <t>musical</t>
        </is>
      </c>
      <c r="D15" t="inlineStr"/>
      <c r="E15" s="4">
        <f>IF(G15="","",F14)</f>
        <v/>
      </c>
      <c r="F15" s="4">
        <f>IF(G15="","",TEXT(TIMEVALUE(E15) + IFERROR(VLOOKUP(G15,$A$4:$C$19,2,FALSE),0)/1440,"hh:mm"))</f>
        <v/>
      </c>
      <c r="G15" s="4" t="inlineStr">
        <is>
          <t>MÚSICA SÍ</t>
        </is>
      </c>
      <c r="H15">
        <f>IF(G15="","",IFERROR(VLOOKUP(G15,$A$4:$C$19,3,FALSE),""))</f>
        <v/>
      </c>
      <c r="I15" t="inlineStr"/>
    </row>
    <row r="16">
      <c r="A16" s="4" t="inlineStr">
        <is>
          <t>D DISEÑO</t>
        </is>
      </c>
      <c r="B16" s="4" t="n">
        <v>15</v>
      </c>
      <c r="C16" s="4" t="inlineStr">
        <is>
          <t>cultural</t>
        </is>
      </c>
      <c r="D16" t="inlineStr"/>
      <c r="E16" s="4">
        <f>IF(G16="","",F15)</f>
        <v/>
      </c>
      <c r="F16" s="4">
        <f>IF(G16="","",TEXT(TIMEVALUE(E16) + IFERROR(VLOOKUP(G16,$A$4:$C$19,2,FALSE),0)/1440,"hh:mm"))</f>
        <v/>
      </c>
      <c r="G16" s="4" t="inlineStr">
        <is>
          <t>D DISEÑO</t>
        </is>
      </c>
      <c r="H16">
        <f>IF(G16="","",IFERROR(VLOOKUP(G16,$A$4:$C$19,3,FALSE),""))</f>
        <v/>
      </c>
      <c r="I16" t="inlineStr"/>
    </row>
    <row r="17">
      <c r="A17" s="4" t="inlineStr">
        <is>
          <t>SIN PUNTOS SUSPENSIVOS</t>
        </is>
      </c>
      <c r="B17" s="4" t="n">
        <v>15</v>
      </c>
      <c r="C17" s="4" t="inlineStr">
        <is>
          <t>entrevista</t>
        </is>
      </c>
      <c r="D17" t="inlineStr"/>
      <c r="E17" s="4">
        <f>IF(G17="","",F16)</f>
        <v/>
      </c>
      <c r="F17" s="4">
        <f>IF(G17="","",TEXT(TIMEVALUE(E17) + IFERROR(VLOOKUP(G17,$A$4:$C$19,2,FALSE),0)/1440,"hh:mm"))</f>
        <v/>
      </c>
      <c r="G17" s="4" t="inlineStr">
        <is>
          <t>SIN PUNTOS SUSPENSIVOS</t>
        </is>
      </c>
      <c r="H17">
        <f>IF(G17="","",IFERROR(VLOOKUP(G17,$A$4:$C$19,3,FALSE),""))</f>
        <v/>
      </c>
      <c r="I17" t="inlineStr"/>
    </row>
    <row r="18">
      <c r="A18" s="4" t="inlineStr">
        <is>
          <t>NOVELA “LA NIETA ELEGIDA”</t>
        </is>
      </c>
      <c r="B18" s="4" t="n">
        <v>45</v>
      </c>
      <c r="C18" s="4" t="inlineStr">
        <is>
          <t>ficción</t>
        </is>
      </c>
      <c r="D18" t="inlineStr"/>
      <c r="E18" s="4">
        <f>IF(G18="","",F17)</f>
        <v/>
      </c>
      <c r="F18" s="4">
        <f>IF(G18="","",TEXT(TIMEVALUE(E18) + IFERROR(VLOOKUP(G18,$A$4:$C$19,2,FALSE),0)/1440,"hh:mm"))</f>
        <v/>
      </c>
      <c r="G18" s="4" t="inlineStr">
        <is>
          <t>NOVELA “LA NIETA ELEGIDA”</t>
        </is>
      </c>
      <c r="H18">
        <f>IF(G18="","",IFERROR(VLOOKUP(G18,$A$4:$C$19,3,FALSE),""))</f>
        <v/>
      </c>
      <c r="I18" t="inlineStr"/>
    </row>
    <row r="19">
      <c r="A19" s="4" t="inlineStr">
        <is>
          <t>SERIE “CRÍMENES MAYORES”</t>
        </is>
      </c>
      <c r="B19" s="4" t="n">
        <v>45</v>
      </c>
      <c r="C19" s="4" t="inlineStr">
        <is>
          <t>ficción</t>
        </is>
      </c>
      <c r="D19" t="inlineStr"/>
      <c r="E19" s="4">
        <f>IF(G19="","",F18)</f>
        <v/>
      </c>
      <c r="F19" s="4">
        <f>IF(G19="","",TEXT(TIMEVALUE(E19) + IFERROR(VLOOKUP(G19,$A$4:$C$19,2,FALSE),0)/1440,"hh:mm"))</f>
        <v/>
      </c>
      <c r="G19" s="4" t="inlineStr">
        <is>
          <t>HABANA NOTICIARIO</t>
        </is>
      </c>
      <c r="H19">
        <f>IF(G19="","",IFERROR(VLOOKUP(G19,$A$4:$C$19,3,FALSE),""))</f>
        <v/>
      </c>
      <c r="I19" t="inlineStr"/>
    </row>
    <row r="20">
      <c r="A20" t="inlineStr"/>
      <c r="B20" t="inlineStr"/>
      <c r="C20" t="inlineStr"/>
      <c r="D20" t="inlineStr"/>
      <c r="E20" s="4">
        <f>IF(G20="","",F19)</f>
        <v/>
      </c>
      <c r="F20" s="4">
        <f>IF(G20="","",TEXT(TIMEVALUE(E20) + IFERROR(VLOOKUP(G20,$A$4:$C$19,2,FALSE),0)/1440,"hh:mm"))</f>
        <v/>
      </c>
      <c r="G20" s="4" t="inlineStr">
        <is>
          <t>SERIE “CRÍMENES MAYORES”</t>
        </is>
      </c>
      <c r="H20">
        <f>IF(G20="","",IFERROR(VLOOKUP(G20,$A$4:$C$19,3,FALSE),""))</f>
        <v/>
      </c>
      <c r="I20" t="inlineStr"/>
    </row>
  </sheetData>
  <conditionalFormatting sqref="E4">
    <cfRule type="expression" priority="1" dxfId="0" stopIfTrue="1">
      <formula>AND($H4&lt;&gt;"", $H4=IFERROR(INDEX($H:$H,4-1),""), $H4=IFERROR(INDEX($H:$H,4+1),""))</formula>
    </cfRule>
    <cfRule type="expression" priority="52" dxfId="1" stopIfTrue="1">
      <formula>AND($H4&lt;&gt;"", $H4=IFERROR(INDEX($H:$H,4-1),""), NOT($H4=IFERROR(INDEX($H:$H,4+1),"")))</formula>
    </cfRule>
    <cfRule type="expression" priority="103" dxfId="1" stopIfTrue="1">
      <formula>AND($H4&lt;&gt;"", $H4=IFERROR(INDEX($H:$H,4+1),""), NOT($H4=IFERROR(INDEX($H:$H,4-1),"")))</formula>
    </cfRule>
  </conditionalFormatting>
  <conditionalFormatting sqref="F4">
    <cfRule type="expression" priority="2" dxfId="0" stopIfTrue="1">
      <formula>AND($H4&lt;&gt;"", $H4=IFERROR(INDEX($H:$H,4-1),""), $H4=IFERROR(INDEX($H:$H,4+1),""))</formula>
    </cfRule>
    <cfRule type="expression" priority="53" dxfId="1" stopIfTrue="1">
      <formula>AND($H4&lt;&gt;"", $H4=IFERROR(INDEX($H:$H,4-1),""), NOT($H4=IFERROR(INDEX($H:$H,4+1),"")))</formula>
    </cfRule>
    <cfRule type="expression" priority="104" dxfId="1" stopIfTrue="1">
      <formula>AND($H4&lt;&gt;"", $H4=IFERROR(INDEX($H:$H,4+1),""), NOT($H4=IFERROR(INDEX($H:$H,4-1),"")))</formula>
    </cfRule>
  </conditionalFormatting>
  <conditionalFormatting sqref="G4">
    <cfRule type="expression" priority="3" dxfId="0" stopIfTrue="1">
      <formula>AND($H4&lt;&gt;"", $H4=IFERROR(INDEX($H:$H,4-1),""), $H4=IFERROR(INDEX($H:$H,4+1),""))</formula>
    </cfRule>
    <cfRule type="expression" priority="54" dxfId="1" stopIfTrue="1">
      <formula>AND($H4&lt;&gt;"", $H4=IFERROR(INDEX($H:$H,4-1),""), NOT($H4=IFERROR(INDEX($H:$H,4+1),"")))</formula>
    </cfRule>
    <cfRule type="expression" priority="105" dxfId="1" stopIfTrue="1">
      <formula>AND($H4&lt;&gt;"", $H4=IFERROR(INDEX($H:$H,4+1),""), NOT($H4=IFERROR(INDEX($H:$H,4-1),"")))</formula>
    </cfRule>
  </conditionalFormatting>
  <conditionalFormatting sqref="E5">
    <cfRule type="expression" priority="4" dxfId="0" stopIfTrue="1">
      <formula>AND($H5&lt;&gt;"", $H5=IFERROR(INDEX($H:$H,5-1),""), $H5=IFERROR(INDEX($H:$H,5+1),""))</formula>
    </cfRule>
    <cfRule type="expression" priority="55" dxfId="1" stopIfTrue="1">
      <formula>AND($H5&lt;&gt;"", $H5=IFERROR(INDEX($H:$H,5-1),""), NOT($H5=IFERROR(INDEX($H:$H,5+1),"")))</formula>
    </cfRule>
    <cfRule type="expression" priority="106" dxfId="1" stopIfTrue="1">
      <formula>AND($H5&lt;&gt;"", $H5=IFERROR(INDEX($H:$H,5+1),""), NOT($H5=IFERROR(INDEX($H:$H,5-1),"")))</formula>
    </cfRule>
  </conditionalFormatting>
  <conditionalFormatting sqref="F5">
    <cfRule type="expression" priority="5" dxfId="0" stopIfTrue="1">
      <formula>AND($H5&lt;&gt;"", $H5=IFERROR(INDEX($H:$H,5-1),""), $H5=IFERROR(INDEX($H:$H,5+1),""))</formula>
    </cfRule>
    <cfRule type="expression" priority="56" dxfId="1" stopIfTrue="1">
      <formula>AND($H5&lt;&gt;"", $H5=IFERROR(INDEX($H:$H,5-1),""), NOT($H5=IFERROR(INDEX($H:$H,5+1),"")))</formula>
    </cfRule>
    <cfRule type="expression" priority="107" dxfId="1" stopIfTrue="1">
      <formula>AND($H5&lt;&gt;"", $H5=IFERROR(INDEX($H:$H,5+1),""), NOT($H5=IFERROR(INDEX($H:$H,5-1),"")))</formula>
    </cfRule>
  </conditionalFormatting>
  <conditionalFormatting sqref="G5">
    <cfRule type="expression" priority="6" dxfId="0" stopIfTrue="1">
      <formula>AND($H5&lt;&gt;"", $H5=IFERROR(INDEX($H:$H,5-1),""), $H5=IFERROR(INDEX($H:$H,5+1),""))</formula>
    </cfRule>
    <cfRule type="expression" priority="57" dxfId="1" stopIfTrue="1">
      <formula>AND($H5&lt;&gt;"", $H5=IFERROR(INDEX($H:$H,5-1),""), NOT($H5=IFERROR(INDEX($H:$H,5+1),"")))</formula>
    </cfRule>
    <cfRule type="expression" priority="108" dxfId="1" stopIfTrue="1">
      <formula>AND($H5&lt;&gt;"", $H5=IFERROR(INDEX($H:$H,5+1),""), NOT($H5=IFERROR(INDEX($H:$H,5-1),"")))</formula>
    </cfRule>
  </conditionalFormatting>
  <conditionalFormatting sqref="E6">
    <cfRule type="expression" priority="7" dxfId="0" stopIfTrue="1">
      <formula>AND($H6&lt;&gt;"", $H6=IFERROR(INDEX($H:$H,6-1),""), $H6=IFERROR(INDEX($H:$H,6+1),""))</formula>
    </cfRule>
    <cfRule type="expression" priority="58" dxfId="1" stopIfTrue="1">
      <formula>AND($H6&lt;&gt;"", $H6=IFERROR(INDEX($H:$H,6-1),""), NOT($H6=IFERROR(INDEX($H:$H,6+1),"")))</formula>
    </cfRule>
    <cfRule type="expression" priority="109" dxfId="1" stopIfTrue="1">
      <formula>AND($H6&lt;&gt;"", $H6=IFERROR(INDEX($H:$H,6+1),""), NOT($H6=IFERROR(INDEX($H:$H,6-1),"")))</formula>
    </cfRule>
  </conditionalFormatting>
  <conditionalFormatting sqref="F6">
    <cfRule type="expression" priority="8" dxfId="0" stopIfTrue="1">
      <formula>AND($H6&lt;&gt;"", $H6=IFERROR(INDEX($H:$H,6-1),""), $H6=IFERROR(INDEX($H:$H,6+1),""))</formula>
    </cfRule>
    <cfRule type="expression" priority="59" dxfId="1" stopIfTrue="1">
      <formula>AND($H6&lt;&gt;"", $H6=IFERROR(INDEX($H:$H,6-1),""), NOT($H6=IFERROR(INDEX($H:$H,6+1),"")))</formula>
    </cfRule>
    <cfRule type="expression" priority="110" dxfId="1" stopIfTrue="1">
      <formula>AND($H6&lt;&gt;"", $H6=IFERROR(INDEX($H:$H,6+1),""), NOT($H6=IFERROR(INDEX($H:$H,6-1),"")))</formula>
    </cfRule>
  </conditionalFormatting>
  <conditionalFormatting sqref="G6">
    <cfRule type="expression" priority="9" dxfId="0" stopIfTrue="1">
      <formula>AND($H6&lt;&gt;"", $H6=IFERROR(INDEX($H:$H,6-1),""), $H6=IFERROR(INDEX($H:$H,6+1),""))</formula>
    </cfRule>
    <cfRule type="expression" priority="60" dxfId="1" stopIfTrue="1">
      <formula>AND($H6&lt;&gt;"", $H6=IFERROR(INDEX($H:$H,6-1),""), NOT($H6=IFERROR(INDEX($H:$H,6+1),"")))</formula>
    </cfRule>
    <cfRule type="expression" priority="111" dxfId="1" stopIfTrue="1">
      <formula>AND($H6&lt;&gt;"", $H6=IFERROR(INDEX($H:$H,6+1),""), NOT($H6=IFERROR(INDEX($H:$H,6-1),"")))</formula>
    </cfRule>
  </conditionalFormatting>
  <conditionalFormatting sqref="E7">
    <cfRule type="expression" priority="10" dxfId="0" stopIfTrue="1">
      <formula>AND($H7&lt;&gt;"", $H7=IFERROR(INDEX($H:$H,7-1),""), $H7=IFERROR(INDEX($H:$H,7+1),""))</formula>
    </cfRule>
    <cfRule type="expression" priority="61" dxfId="1" stopIfTrue="1">
      <formula>AND($H7&lt;&gt;"", $H7=IFERROR(INDEX($H:$H,7-1),""), NOT($H7=IFERROR(INDEX($H:$H,7+1),"")))</formula>
    </cfRule>
    <cfRule type="expression" priority="112" dxfId="1" stopIfTrue="1">
      <formula>AND($H7&lt;&gt;"", $H7=IFERROR(INDEX($H:$H,7+1),""), NOT($H7=IFERROR(INDEX($H:$H,7-1),"")))</formula>
    </cfRule>
  </conditionalFormatting>
  <conditionalFormatting sqref="F7">
    <cfRule type="expression" priority="11" dxfId="0" stopIfTrue="1">
      <formula>AND($H7&lt;&gt;"", $H7=IFERROR(INDEX($H:$H,7-1),""), $H7=IFERROR(INDEX($H:$H,7+1),""))</formula>
    </cfRule>
    <cfRule type="expression" priority="62" dxfId="1" stopIfTrue="1">
      <formula>AND($H7&lt;&gt;"", $H7=IFERROR(INDEX($H:$H,7-1),""), NOT($H7=IFERROR(INDEX($H:$H,7+1),"")))</formula>
    </cfRule>
    <cfRule type="expression" priority="113" dxfId="1" stopIfTrue="1">
      <formula>AND($H7&lt;&gt;"", $H7=IFERROR(INDEX($H:$H,7+1),""), NOT($H7=IFERROR(INDEX($H:$H,7-1),"")))</formula>
    </cfRule>
  </conditionalFormatting>
  <conditionalFormatting sqref="G7">
    <cfRule type="expression" priority="12" dxfId="0" stopIfTrue="1">
      <formula>AND($H7&lt;&gt;"", $H7=IFERROR(INDEX($H:$H,7-1),""), $H7=IFERROR(INDEX($H:$H,7+1),""))</formula>
    </cfRule>
    <cfRule type="expression" priority="63" dxfId="1" stopIfTrue="1">
      <formula>AND($H7&lt;&gt;"", $H7=IFERROR(INDEX($H:$H,7-1),""), NOT($H7=IFERROR(INDEX($H:$H,7+1),"")))</formula>
    </cfRule>
    <cfRule type="expression" priority="114" dxfId="1" stopIfTrue="1">
      <formula>AND($H7&lt;&gt;"", $H7=IFERROR(INDEX($H:$H,7+1),""), NOT($H7=IFERROR(INDEX($H:$H,7-1),"")))</formula>
    </cfRule>
  </conditionalFormatting>
  <conditionalFormatting sqref="E8">
    <cfRule type="expression" priority="13" dxfId="0" stopIfTrue="1">
      <formula>AND($H8&lt;&gt;"", $H8=IFERROR(INDEX($H:$H,8-1),""), $H8=IFERROR(INDEX($H:$H,8+1),""))</formula>
    </cfRule>
    <cfRule type="expression" priority="64" dxfId="1" stopIfTrue="1">
      <formula>AND($H8&lt;&gt;"", $H8=IFERROR(INDEX($H:$H,8-1),""), NOT($H8=IFERROR(INDEX($H:$H,8+1),"")))</formula>
    </cfRule>
    <cfRule type="expression" priority="115" dxfId="1" stopIfTrue="1">
      <formula>AND($H8&lt;&gt;"", $H8=IFERROR(INDEX($H:$H,8+1),""), NOT($H8=IFERROR(INDEX($H:$H,8-1),"")))</formula>
    </cfRule>
  </conditionalFormatting>
  <conditionalFormatting sqref="F8">
    <cfRule type="expression" priority="14" dxfId="0" stopIfTrue="1">
      <formula>AND($H8&lt;&gt;"", $H8=IFERROR(INDEX($H:$H,8-1),""), $H8=IFERROR(INDEX($H:$H,8+1),""))</formula>
    </cfRule>
    <cfRule type="expression" priority="65" dxfId="1" stopIfTrue="1">
      <formula>AND($H8&lt;&gt;"", $H8=IFERROR(INDEX($H:$H,8-1),""), NOT($H8=IFERROR(INDEX($H:$H,8+1),"")))</formula>
    </cfRule>
    <cfRule type="expression" priority="116" dxfId="1" stopIfTrue="1">
      <formula>AND($H8&lt;&gt;"", $H8=IFERROR(INDEX($H:$H,8+1),""), NOT($H8=IFERROR(INDEX($H:$H,8-1),"")))</formula>
    </cfRule>
  </conditionalFormatting>
  <conditionalFormatting sqref="G8">
    <cfRule type="expression" priority="15" dxfId="0" stopIfTrue="1">
      <formula>AND($H8&lt;&gt;"", $H8=IFERROR(INDEX($H:$H,8-1),""), $H8=IFERROR(INDEX($H:$H,8+1),""))</formula>
    </cfRule>
    <cfRule type="expression" priority="66" dxfId="1" stopIfTrue="1">
      <formula>AND($H8&lt;&gt;"", $H8=IFERROR(INDEX($H:$H,8-1),""), NOT($H8=IFERROR(INDEX($H:$H,8+1),"")))</formula>
    </cfRule>
    <cfRule type="expression" priority="117" dxfId="1" stopIfTrue="1">
      <formula>AND($H8&lt;&gt;"", $H8=IFERROR(INDEX($H:$H,8+1),""), NOT($H8=IFERROR(INDEX($H:$H,8-1),"")))</formula>
    </cfRule>
  </conditionalFormatting>
  <conditionalFormatting sqref="E9">
    <cfRule type="expression" priority="16" dxfId="0" stopIfTrue="1">
      <formula>AND($H9&lt;&gt;"", $H9=IFERROR(INDEX($H:$H,9-1),""), $H9=IFERROR(INDEX($H:$H,9+1),""))</formula>
    </cfRule>
    <cfRule type="expression" priority="67" dxfId="1" stopIfTrue="1">
      <formula>AND($H9&lt;&gt;"", $H9=IFERROR(INDEX($H:$H,9-1),""), NOT($H9=IFERROR(INDEX($H:$H,9+1),"")))</formula>
    </cfRule>
    <cfRule type="expression" priority="118" dxfId="1" stopIfTrue="1">
      <formula>AND($H9&lt;&gt;"", $H9=IFERROR(INDEX($H:$H,9+1),""), NOT($H9=IFERROR(INDEX($H:$H,9-1),"")))</formula>
    </cfRule>
  </conditionalFormatting>
  <conditionalFormatting sqref="F9">
    <cfRule type="expression" priority="17" dxfId="0" stopIfTrue="1">
      <formula>AND($H9&lt;&gt;"", $H9=IFERROR(INDEX($H:$H,9-1),""), $H9=IFERROR(INDEX($H:$H,9+1),""))</formula>
    </cfRule>
    <cfRule type="expression" priority="68" dxfId="1" stopIfTrue="1">
      <formula>AND($H9&lt;&gt;"", $H9=IFERROR(INDEX($H:$H,9-1),""), NOT($H9=IFERROR(INDEX($H:$H,9+1),"")))</formula>
    </cfRule>
    <cfRule type="expression" priority="119" dxfId="1" stopIfTrue="1">
      <formula>AND($H9&lt;&gt;"", $H9=IFERROR(INDEX($H:$H,9+1),""), NOT($H9=IFERROR(INDEX($H:$H,9-1),"")))</formula>
    </cfRule>
  </conditionalFormatting>
  <conditionalFormatting sqref="G9">
    <cfRule type="expression" priority="18" dxfId="0" stopIfTrue="1">
      <formula>AND($H9&lt;&gt;"", $H9=IFERROR(INDEX($H:$H,9-1),""), $H9=IFERROR(INDEX($H:$H,9+1),""))</formula>
    </cfRule>
    <cfRule type="expression" priority="69" dxfId="1" stopIfTrue="1">
      <formula>AND($H9&lt;&gt;"", $H9=IFERROR(INDEX($H:$H,9-1),""), NOT($H9=IFERROR(INDEX($H:$H,9+1),"")))</formula>
    </cfRule>
    <cfRule type="expression" priority="120" dxfId="1" stopIfTrue="1">
      <formula>AND($H9&lt;&gt;"", $H9=IFERROR(INDEX($H:$H,9+1),""), NOT($H9=IFERROR(INDEX($H:$H,9-1),"")))</formula>
    </cfRule>
  </conditionalFormatting>
  <conditionalFormatting sqref="E10">
    <cfRule type="expression" priority="19" dxfId="0" stopIfTrue="1">
      <formula>AND($H10&lt;&gt;"", $H10=IFERROR(INDEX($H:$H,10-1),""), $H10=IFERROR(INDEX($H:$H,10+1),""))</formula>
    </cfRule>
    <cfRule type="expression" priority="70" dxfId="1" stopIfTrue="1">
      <formula>AND($H10&lt;&gt;"", $H10=IFERROR(INDEX($H:$H,10-1),""), NOT($H10=IFERROR(INDEX($H:$H,10+1),"")))</formula>
    </cfRule>
    <cfRule type="expression" priority="121" dxfId="1" stopIfTrue="1">
      <formula>AND($H10&lt;&gt;"", $H10=IFERROR(INDEX($H:$H,10+1),""), NOT($H10=IFERROR(INDEX($H:$H,10-1),"")))</formula>
    </cfRule>
  </conditionalFormatting>
  <conditionalFormatting sqref="F10">
    <cfRule type="expression" priority="20" dxfId="0" stopIfTrue="1">
      <formula>AND($H10&lt;&gt;"", $H10=IFERROR(INDEX($H:$H,10-1),""), $H10=IFERROR(INDEX($H:$H,10+1),""))</formula>
    </cfRule>
    <cfRule type="expression" priority="71" dxfId="1" stopIfTrue="1">
      <formula>AND($H10&lt;&gt;"", $H10=IFERROR(INDEX($H:$H,10-1),""), NOT($H10=IFERROR(INDEX($H:$H,10+1),"")))</formula>
    </cfRule>
    <cfRule type="expression" priority="122" dxfId="1" stopIfTrue="1">
      <formula>AND($H10&lt;&gt;"", $H10=IFERROR(INDEX($H:$H,10+1),""), NOT($H10=IFERROR(INDEX($H:$H,10-1),"")))</formula>
    </cfRule>
  </conditionalFormatting>
  <conditionalFormatting sqref="G10">
    <cfRule type="expression" priority="21" dxfId="0" stopIfTrue="1">
      <formula>AND($H10&lt;&gt;"", $H10=IFERROR(INDEX($H:$H,10-1),""), $H10=IFERROR(INDEX($H:$H,10+1),""))</formula>
    </cfRule>
    <cfRule type="expression" priority="72" dxfId="1" stopIfTrue="1">
      <formula>AND($H10&lt;&gt;"", $H10=IFERROR(INDEX($H:$H,10-1),""), NOT($H10=IFERROR(INDEX($H:$H,10+1),"")))</formula>
    </cfRule>
    <cfRule type="expression" priority="123" dxfId="1" stopIfTrue="1">
      <formula>AND($H10&lt;&gt;"", $H10=IFERROR(INDEX($H:$H,10+1),""), NOT($H10=IFERROR(INDEX($H:$H,10-1),"")))</formula>
    </cfRule>
  </conditionalFormatting>
  <conditionalFormatting sqref="E11">
    <cfRule type="expression" priority="22" dxfId="0" stopIfTrue="1">
      <formula>AND($H11&lt;&gt;"", $H11=IFERROR(INDEX($H:$H,11-1),""), $H11=IFERROR(INDEX($H:$H,11+1),""))</formula>
    </cfRule>
    <cfRule type="expression" priority="73" dxfId="1" stopIfTrue="1">
      <formula>AND($H11&lt;&gt;"", $H11=IFERROR(INDEX($H:$H,11-1),""), NOT($H11=IFERROR(INDEX($H:$H,11+1),"")))</formula>
    </cfRule>
    <cfRule type="expression" priority="124" dxfId="1" stopIfTrue="1">
      <formula>AND($H11&lt;&gt;"", $H11=IFERROR(INDEX($H:$H,11+1),""), NOT($H11=IFERROR(INDEX($H:$H,11-1),"")))</formula>
    </cfRule>
  </conditionalFormatting>
  <conditionalFormatting sqref="F11">
    <cfRule type="expression" priority="23" dxfId="0" stopIfTrue="1">
      <formula>AND($H11&lt;&gt;"", $H11=IFERROR(INDEX($H:$H,11-1),""), $H11=IFERROR(INDEX($H:$H,11+1),""))</formula>
    </cfRule>
    <cfRule type="expression" priority="74" dxfId="1" stopIfTrue="1">
      <formula>AND($H11&lt;&gt;"", $H11=IFERROR(INDEX($H:$H,11-1),""), NOT($H11=IFERROR(INDEX($H:$H,11+1),"")))</formula>
    </cfRule>
    <cfRule type="expression" priority="125" dxfId="1" stopIfTrue="1">
      <formula>AND($H11&lt;&gt;"", $H11=IFERROR(INDEX($H:$H,11+1),""), NOT($H11=IFERROR(INDEX($H:$H,11-1),"")))</formula>
    </cfRule>
  </conditionalFormatting>
  <conditionalFormatting sqref="G11">
    <cfRule type="expression" priority="24" dxfId="0" stopIfTrue="1">
      <formula>AND($H11&lt;&gt;"", $H11=IFERROR(INDEX($H:$H,11-1),""), $H11=IFERROR(INDEX($H:$H,11+1),""))</formula>
    </cfRule>
    <cfRule type="expression" priority="75" dxfId="1" stopIfTrue="1">
      <formula>AND($H11&lt;&gt;"", $H11=IFERROR(INDEX($H:$H,11-1),""), NOT($H11=IFERROR(INDEX($H:$H,11+1),"")))</formula>
    </cfRule>
    <cfRule type="expression" priority="126" dxfId="1" stopIfTrue="1">
      <formula>AND($H11&lt;&gt;"", $H11=IFERROR(INDEX($H:$H,11+1),""), NOT($H11=IFERROR(INDEX($H:$H,11-1),"")))</formula>
    </cfRule>
  </conditionalFormatting>
  <conditionalFormatting sqref="E12">
    <cfRule type="expression" priority="25" dxfId="0" stopIfTrue="1">
      <formula>AND($H12&lt;&gt;"", $H12=IFERROR(INDEX($H:$H,12-1),""), $H12=IFERROR(INDEX($H:$H,12+1),""))</formula>
    </cfRule>
    <cfRule type="expression" priority="76" dxfId="1" stopIfTrue="1">
      <formula>AND($H12&lt;&gt;"", $H12=IFERROR(INDEX($H:$H,12-1),""), NOT($H12=IFERROR(INDEX($H:$H,12+1),"")))</formula>
    </cfRule>
    <cfRule type="expression" priority="127" dxfId="1" stopIfTrue="1">
      <formula>AND($H12&lt;&gt;"", $H12=IFERROR(INDEX($H:$H,12+1),""), NOT($H12=IFERROR(INDEX($H:$H,12-1),"")))</formula>
    </cfRule>
  </conditionalFormatting>
  <conditionalFormatting sqref="F12">
    <cfRule type="expression" priority="26" dxfId="0" stopIfTrue="1">
      <formula>AND($H12&lt;&gt;"", $H12=IFERROR(INDEX($H:$H,12-1),""), $H12=IFERROR(INDEX($H:$H,12+1),""))</formula>
    </cfRule>
    <cfRule type="expression" priority="77" dxfId="1" stopIfTrue="1">
      <formula>AND($H12&lt;&gt;"", $H12=IFERROR(INDEX($H:$H,12-1),""), NOT($H12=IFERROR(INDEX($H:$H,12+1),"")))</formula>
    </cfRule>
    <cfRule type="expression" priority="128" dxfId="1" stopIfTrue="1">
      <formula>AND($H12&lt;&gt;"", $H12=IFERROR(INDEX($H:$H,12+1),""), NOT($H12=IFERROR(INDEX($H:$H,12-1),"")))</formula>
    </cfRule>
  </conditionalFormatting>
  <conditionalFormatting sqref="G12">
    <cfRule type="expression" priority="27" dxfId="0" stopIfTrue="1">
      <formula>AND($H12&lt;&gt;"", $H12=IFERROR(INDEX($H:$H,12-1),""), $H12=IFERROR(INDEX($H:$H,12+1),""))</formula>
    </cfRule>
    <cfRule type="expression" priority="78" dxfId="1" stopIfTrue="1">
      <formula>AND($H12&lt;&gt;"", $H12=IFERROR(INDEX($H:$H,12-1),""), NOT($H12=IFERROR(INDEX($H:$H,12+1),"")))</formula>
    </cfRule>
    <cfRule type="expression" priority="129" dxfId="1" stopIfTrue="1">
      <formula>AND($H12&lt;&gt;"", $H12=IFERROR(INDEX($H:$H,12+1),""), NOT($H12=IFERROR(INDEX($H:$H,12-1),"")))</formula>
    </cfRule>
  </conditionalFormatting>
  <conditionalFormatting sqref="E13">
    <cfRule type="expression" priority="28" dxfId="0" stopIfTrue="1">
      <formula>AND($H13&lt;&gt;"", $H13=IFERROR(INDEX($H:$H,13-1),""), $H13=IFERROR(INDEX($H:$H,13+1),""))</formula>
    </cfRule>
    <cfRule type="expression" priority="79" dxfId="1" stopIfTrue="1">
      <formula>AND($H13&lt;&gt;"", $H13=IFERROR(INDEX($H:$H,13-1),""), NOT($H13=IFERROR(INDEX($H:$H,13+1),"")))</formula>
    </cfRule>
    <cfRule type="expression" priority="130" dxfId="1" stopIfTrue="1">
      <formula>AND($H13&lt;&gt;"", $H13=IFERROR(INDEX($H:$H,13+1),""), NOT($H13=IFERROR(INDEX($H:$H,13-1),"")))</formula>
    </cfRule>
  </conditionalFormatting>
  <conditionalFormatting sqref="F13">
    <cfRule type="expression" priority="29" dxfId="0" stopIfTrue="1">
      <formula>AND($H13&lt;&gt;"", $H13=IFERROR(INDEX($H:$H,13-1),""), $H13=IFERROR(INDEX($H:$H,13+1),""))</formula>
    </cfRule>
    <cfRule type="expression" priority="80" dxfId="1" stopIfTrue="1">
      <formula>AND($H13&lt;&gt;"", $H13=IFERROR(INDEX($H:$H,13-1),""), NOT($H13=IFERROR(INDEX($H:$H,13+1),"")))</formula>
    </cfRule>
    <cfRule type="expression" priority="131" dxfId="1" stopIfTrue="1">
      <formula>AND($H13&lt;&gt;"", $H13=IFERROR(INDEX($H:$H,13+1),""), NOT($H13=IFERROR(INDEX($H:$H,13-1),"")))</formula>
    </cfRule>
  </conditionalFormatting>
  <conditionalFormatting sqref="G13">
    <cfRule type="expression" priority="30" dxfId="0" stopIfTrue="1">
      <formula>AND($H13&lt;&gt;"", $H13=IFERROR(INDEX($H:$H,13-1),""), $H13=IFERROR(INDEX($H:$H,13+1),""))</formula>
    </cfRule>
    <cfRule type="expression" priority="81" dxfId="1" stopIfTrue="1">
      <formula>AND($H13&lt;&gt;"", $H13=IFERROR(INDEX($H:$H,13-1),""), NOT($H13=IFERROR(INDEX($H:$H,13+1),"")))</formula>
    </cfRule>
    <cfRule type="expression" priority="132" dxfId="1" stopIfTrue="1">
      <formula>AND($H13&lt;&gt;"", $H13=IFERROR(INDEX($H:$H,13+1),""), NOT($H13=IFERROR(INDEX($H:$H,13-1),"")))</formula>
    </cfRule>
  </conditionalFormatting>
  <conditionalFormatting sqref="E14">
    <cfRule type="expression" priority="31" dxfId="0" stopIfTrue="1">
      <formula>AND($H14&lt;&gt;"", $H14=IFERROR(INDEX($H:$H,14-1),""), $H14=IFERROR(INDEX($H:$H,14+1),""))</formula>
    </cfRule>
    <cfRule type="expression" priority="82" dxfId="1" stopIfTrue="1">
      <formula>AND($H14&lt;&gt;"", $H14=IFERROR(INDEX($H:$H,14-1),""), NOT($H14=IFERROR(INDEX($H:$H,14+1),"")))</formula>
    </cfRule>
    <cfRule type="expression" priority="133" dxfId="1" stopIfTrue="1">
      <formula>AND($H14&lt;&gt;"", $H14=IFERROR(INDEX($H:$H,14+1),""), NOT($H14=IFERROR(INDEX($H:$H,14-1),"")))</formula>
    </cfRule>
  </conditionalFormatting>
  <conditionalFormatting sqref="F14">
    <cfRule type="expression" priority="32" dxfId="0" stopIfTrue="1">
      <formula>AND($H14&lt;&gt;"", $H14=IFERROR(INDEX($H:$H,14-1),""), $H14=IFERROR(INDEX($H:$H,14+1),""))</formula>
    </cfRule>
    <cfRule type="expression" priority="83" dxfId="1" stopIfTrue="1">
      <formula>AND($H14&lt;&gt;"", $H14=IFERROR(INDEX($H:$H,14-1),""), NOT($H14=IFERROR(INDEX($H:$H,14+1),"")))</formula>
    </cfRule>
    <cfRule type="expression" priority="134" dxfId="1" stopIfTrue="1">
      <formula>AND($H14&lt;&gt;"", $H14=IFERROR(INDEX($H:$H,14+1),""), NOT($H14=IFERROR(INDEX($H:$H,14-1),"")))</formula>
    </cfRule>
  </conditionalFormatting>
  <conditionalFormatting sqref="G14">
    <cfRule type="expression" priority="33" dxfId="0" stopIfTrue="1">
      <formula>AND($H14&lt;&gt;"", $H14=IFERROR(INDEX($H:$H,14-1),""), $H14=IFERROR(INDEX($H:$H,14+1),""))</formula>
    </cfRule>
    <cfRule type="expression" priority="84" dxfId="1" stopIfTrue="1">
      <formula>AND($H14&lt;&gt;"", $H14=IFERROR(INDEX($H:$H,14-1),""), NOT($H14=IFERROR(INDEX($H:$H,14+1),"")))</formula>
    </cfRule>
    <cfRule type="expression" priority="135" dxfId="1" stopIfTrue="1">
      <formula>AND($H14&lt;&gt;"", $H14=IFERROR(INDEX($H:$H,14+1),""), NOT($H14=IFERROR(INDEX($H:$H,14-1),"")))</formula>
    </cfRule>
  </conditionalFormatting>
  <conditionalFormatting sqref="E15">
    <cfRule type="expression" priority="34" dxfId="0" stopIfTrue="1">
      <formula>AND($H15&lt;&gt;"", $H15=IFERROR(INDEX($H:$H,15-1),""), $H15=IFERROR(INDEX($H:$H,15+1),""))</formula>
    </cfRule>
    <cfRule type="expression" priority="85" dxfId="1" stopIfTrue="1">
      <formula>AND($H15&lt;&gt;"", $H15=IFERROR(INDEX($H:$H,15-1),""), NOT($H15=IFERROR(INDEX($H:$H,15+1),"")))</formula>
    </cfRule>
    <cfRule type="expression" priority="136" dxfId="1" stopIfTrue="1">
      <formula>AND($H15&lt;&gt;"", $H15=IFERROR(INDEX($H:$H,15+1),""), NOT($H15=IFERROR(INDEX($H:$H,15-1),"")))</formula>
    </cfRule>
  </conditionalFormatting>
  <conditionalFormatting sqref="F15">
    <cfRule type="expression" priority="35" dxfId="0" stopIfTrue="1">
      <formula>AND($H15&lt;&gt;"", $H15=IFERROR(INDEX($H:$H,15-1),""), $H15=IFERROR(INDEX($H:$H,15+1),""))</formula>
    </cfRule>
    <cfRule type="expression" priority="86" dxfId="1" stopIfTrue="1">
      <formula>AND($H15&lt;&gt;"", $H15=IFERROR(INDEX($H:$H,15-1),""), NOT($H15=IFERROR(INDEX($H:$H,15+1),"")))</formula>
    </cfRule>
    <cfRule type="expression" priority="137" dxfId="1" stopIfTrue="1">
      <formula>AND($H15&lt;&gt;"", $H15=IFERROR(INDEX($H:$H,15+1),""), NOT($H15=IFERROR(INDEX($H:$H,15-1),"")))</formula>
    </cfRule>
  </conditionalFormatting>
  <conditionalFormatting sqref="G15">
    <cfRule type="expression" priority="36" dxfId="0" stopIfTrue="1">
      <formula>AND($H15&lt;&gt;"", $H15=IFERROR(INDEX($H:$H,15-1),""), $H15=IFERROR(INDEX($H:$H,15+1),""))</formula>
    </cfRule>
    <cfRule type="expression" priority="87" dxfId="1" stopIfTrue="1">
      <formula>AND($H15&lt;&gt;"", $H15=IFERROR(INDEX($H:$H,15-1),""), NOT($H15=IFERROR(INDEX($H:$H,15+1),"")))</formula>
    </cfRule>
    <cfRule type="expression" priority="138" dxfId="1" stopIfTrue="1">
      <formula>AND($H15&lt;&gt;"", $H15=IFERROR(INDEX($H:$H,15+1),""), NOT($H15=IFERROR(INDEX($H:$H,15-1),"")))</formula>
    </cfRule>
  </conditionalFormatting>
  <conditionalFormatting sqref="E16">
    <cfRule type="expression" priority="37" dxfId="0" stopIfTrue="1">
      <formula>AND($H16&lt;&gt;"", $H16=IFERROR(INDEX($H:$H,16-1),""), $H16=IFERROR(INDEX($H:$H,16+1),""))</formula>
    </cfRule>
    <cfRule type="expression" priority="88" dxfId="1" stopIfTrue="1">
      <formula>AND($H16&lt;&gt;"", $H16=IFERROR(INDEX($H:$H,16-1),""), NOT($H16=IFERROR(INDEX($H:$H,16+1),"")))</formula>
    </cfRule>
    <cfRule type="expression" priority="139" dxfId="1" stopIfTrue="1">
      <formula>AND($H16&lt;&gt;"", $H16=IFERROR(INDEX($H:$H,16+1),""), NOT($H16=IFERROR(INDEX($H:$H,16-1),"")))</formula>
    </cfRule>
  </conditionalFormatting>
  <conditionalFormatting sqref="F16">
    <cfRule type="expression" priority="38" dxfId="0" stopIfTrue="1">
      <formula>AND($H16&lt;&gt;"", $H16=IFERROR(INDEX($H:$H,16-1),""), $H16=IFERROR(INDEX($H:$H,16+1),""))</formula>
    </cfRule>
    <cfRule type="expression" priority="89" dxfId="1" stopIfTrue="1">
      <formula>AND($H16&lt;&gt;"", $H16=IFERROR(INDEX($H:$H,16-1),""), NOT($H16=IFERROR(INDEX($H:$H,16+1),"")))</formula>
    </cfRule>
    <cfRule type="expression" priority="140" dxfId="1" stopIfTrue="1">
      <formula>AND($H16&lt;&gt;"", $H16=IFERROR(INDEX($H:$H,16+1),""), NOT($H16=IFERROR(INDEX($H:$H,16-1),"")))</formula>
    </cfRule>
  </conditionalFormatting>
  <conditionalFormatting sqref="G16">
    <cfRule type="expression" priority="39" dxfId="0" stopIfTrue="1">
      <formula>AND($H16&lt;&gt;"", $H16=IFERROR(INDEX($H:$H,16-1),""), $H16=IFERROR(INDEX($H:$H,16+1),""))</formula>
    </cfRule>
    <cfRule type="expression" priority="90" dxfId="1" stopIfTrue="1">
      <formula>AND($H16&lt;&gt;"", $H16=IFERROR(INDEX($H:$H,16-1),""), NOT($H16=IFERROR(INDEX($H:$H,16+1),"")))</formula>
    </cfRule>
    <cfRule type="expression" priority="141" dxfId="1" stopIfTrue="1">
      <formula>AND($H16&lt;&gt;"", $H16=IFERROR(INDEX($H:$H,16+1),""), NOT($H16=IFERROR(INDEX($H:$H,16-1),"")))</formula>
    </cfRule>
  </conditionalFormatting>
  <conditionalFormatting sqref="E17">
    <cfRule type="expression" priority="40" dxfId="0" stopIfTrue="1">
      <formula>AND($H17&lt;&gt;"", $H17=IFERROR(INDEX($H:$H,17-1),""), $H17=IFERROR(INDEX($H:$H,17+1),""))</formula>
    </cfRule>
    <cfRule type="expression" priority="91" dxfId="1" stopIfTrue="1">
      <formula>AND($H17&lt;&gt;"", $H17=IFERROR(INDEX($H:$H,17-1),""), NOT($H17=IFERROR(INDEX($H:$H,17+1),"")))</formula>
    </cfRule>
    <cfRule type="expression" priority="142" dxfId="1" stopIfTrue="1">
      <formula>AND($H17&lt;&gt;"", $H17=IFERROR(INDEX($H:$H,17+1),""), NOT($H17=IFERROR(INDEX($H:$H,17-1),"")))</formula>
    </cfRule>
  </conditionalFormatting>
  <conditionalFormatting sqref="F17">
    <cfRule type="expression" priority="41" dxfId="0" stopIfTrue="1">
      <formula>AND($H17&lt;&gt;"", $H17=IFERROR(INDEX($H:$H,17-1),""), $H17=IFERROR(INDEX($H:$H,17+1),""))</formula>
    </cfRule>
    <cfRule type="expression" priority="92" dxfId="1" stopIfTrue="1">
      <formula>AND($H17&lt;&gt;"", $H17=IFERROR(INDEX($H:$H,17-1),""), NOT($H17=IFERROR(INDEX($H:$H,17+1),"")))</formula>
    </cfRule>
    <cfRule type="expression" priority="143" dxfId="1" stopIfTrue="1">
      <formula>AND($H17&lt;&gt;"", $H17=IFERROR(INDEX($H:$H,17+1),""), NOT($H17=IFERROR(INDEX($H:$H,17-1),"")))</formula>
    </cfRule>
  </conditionalFormatting>
  <conditionalFormatting sqref="G17">
    <cfRule type="expression" priority="42" dxfId="0" stopIfTrue="1">
      <formula>AND($H17&lt;&gt;"", $H17=IFERROR(INDEX($H:$H,17-1),""), $H17=IFERROR(INDEX($H:$H,17+1),""))</formula>
    </cfRule>
    <cfRule type="expression" priority="93" dxfId="1" stopIfTrue="1">
      <formula>AND($H17&lt;&gt;"", $H17=IFERROR(INDEX($H:$H,17-1),""), NOT($H17=IFERROR(INDEX($H:$H,17+1),"")))</formula>
    </cfRule>
    <cfRule type="expression" priority="144" dxfId="1" stopIfTrue="1">
      <formula>AND($H17&lt;&gt;"", $H17=IFERROR(INDEX($H:$H,17+1),""), NOT($H17=IFERROR(INDEX($H:$H,17-1),"")))</formula>
    </cfRule>
  </conditionalFormatting>
  <conditionalFormatting sqref="E18">
    <cfRule type="expression" priority="43" dxfId="0" stopIfTrue="1">
      <formula>AND($H18&lt;&gt;"", $H18=IFERROR(INDEX($H:$H,18-1),""), $H18=IFERROR(INDEX($H:$H,18+1),""))</formula>
    </cfRule>
    <cfRule type="expression" priority="94" dxfId="1" stopIfTrue="1">
      <formula>AND($H18&lt;&gt;"", $H18=IFERROR(INDEX($H:$H,18-1),""), NOT($H18=IFERROR(INDEX($H:$H,18+1),"")))</formula>
    </cfRule>
    <cfRule type="expression" priority="145" dxfId="1" stopIfTrue="1">
      <formula>AND($H18&lt;&gt;"", $H18=IFERROR(INDEX($H:$H,18+1),""), NOT($H18=IFERROR(INDEX($H:$H,18-1),"")))</formula>
    </cfRule>
  </conditionalFormatting>
  <conditionalFormatting sqref="F18">
    <cfRule type="expression" priority="44" dxfId="0" stopIfTrue="1">
      <formula>AND($H18&lt;&gt;"", $H18=IFERROR(INDEX($H:$H,18-1),""), $H18=IFERROR(INDEX($H:$H,18+1),""))</formula>
    </cfRule>
    <cfRule type="expression" priority="95" dxfId="1" stopIfTrue="1">
      <formula>AND($H18&lt;&gt;"", $H18=IFERROR(INDEX($H:$H,18-1),""), NOT($H18=IFERROR(INDEX($H:$H,18+1),"")))</formula>
    </cfRule>
    <cfRule type="expression" priority="146" dxfId="1" stopIfTrue="1">
      <formula>AND($H18&lt;&gt;"", $H18=IFERROR(INDEX($H:$H,18+1),""), NOT($H18=IFERROR(INDEX($H:$H,18-1),"")))</formula>
    </cfRule>
  </conditionalFormatting>
  <conditionalFormatting sqref="G18">
    <cfRule type="expression" priority="45" dxfId="0" stopIfTrue="1">
      <formula>AND($H18&lt;&gt;"", $H18=IFERROR(INDEX($H:$H,18-1),""), $H18=IFERROR(INDEX($H:$H,18+1),""))</formula>
    </cfRule>
    <cfRule type="expression" priority="96" dxfId="1" stopIfTrue="1">
      <formula>AND($H18&lt;&gt;"", $H18=IFERROR(INDEX($H:$H,18-1),""), NOT($H18=IFERROR(INDEX($H:$H,18+1),"")))</formula>
    </cfRule>
    <cfRule type="expression" priority="147" dxfId="1" stopIfTrue="1">
      <formula>AND($H18&lt;&gt;"", $H18=IFERROR(INDEX($H:$H,18+1),""), NOT($H18=IFERROR(INDEX($H:$H,18-1),"")))</formula>
    </cfRule>
  </conditionalFormatting>
  <conditionalFormatting sqref="E19">
    <cfRule type="expression" priority="46" dxfId="0" stopIfTrue="1">
      <formula>AND($H19&lt;&gt;"", $H19=IFERROR(INDEX($H:$H,19-1),""), $H19=IFERROR(INDEX($H:$H,19+1),""))</formula>
    </cfRule>
    <cfRule type="expression" priority="97" dxfId="1" stopIfTrue="1">
      <formula>AND($H19&lt;&gt;"", $H19=IFERROR(INDEX($H:$H,19-1),""), NOT($H19=IFERROR(INDEX($H:$H,19+1),"")))</formula>
    </cfRule>
    <cfRule type="expression" priority="148" dxfId="1" stopIfTrue="1">
      <formula>AND($H19&lt;&gt;"", $H19=IFERROR(INDEX($H:$H,19+1),""), NOT($H19=IFERROR(INDEX($H:$H,19-1),"")))</formula>
    </cfRule>
  </conditionalFormatting>
  <conditionalFormatting sqref="F19">
    <cfRule type="expression" priority="47" dxfId="0" stopIfTrue="1">
      <formula>AND($H19&lt;&gt;"", $H19=IFERROR(INDEX($H:$H,19-1),""), $H19=IFERROR(INDEX($H:$H,19+1),""))</formula>
    </cfRule>
    <cfRule type="expression" priority="98" dxfId="1" stopIfTrue="1">
      <formula>AND($H19&lt;&gt;"", $H19=IFERROR(INDEX($H:$H,19-1),""), NOT($H19=IFERROR(INDEX($H:$H,19+1),"")))</formula>
    </cfRule>
    <cfRule type="expression" priority="149" dxfId="1" stopIfTrue="1">
      <formula>AND($H19&lt;&gt;"", $H19=IFERROR(INDEX($H:$H,19+1),""), NOT($H19=IFERROR(INDEX($H:$H,19-1),"")))</formula>
    </cfRule>
  </conditionalFormatting>
  <conditionalFormatting sqref="G19">
    <cfRule type="expression" priority="48" dxfId="0" stopIfTrue="1">
      <formula>AND($H19&lt;&gt;"", $H19=IFERROR(INDEX($H:$H,19-1),""), $H19=IFERROR(INDEX($H:$H,19+1),""))</formula>
    </cfRule>
    <cfRule type="expression" priority="99" dxfId="1" stopIfTrue="1">
      <formula>AND($H19&lt;&gt;"", $H19=IFERROR(INDEX($H:$H,19-1),""), NOT($H19=IFERROR(INDEX($H:$H,19+1),"")))</formula>
    </cfRule>
    <cfRule type="expression" priority="150" dxfId="1" stopIfTrue="1">
      <formula>AND($H19&lt;&gt;"", $H19=IFERROR(INDEX($H:$H,19+1),""), NOT($H19=IFERROR(INDEX($H:$H,19-1),"")))</formula>
    </cfRule>
  </conditionalFormatting>
  <conditionalFormatting sqref="E20">
    <cfRule type="expression" priority="49" dxfId="0" stopIfTrue="1">
      <formula>AND($H20&lt;&gt;"", $H20=IFERROR(INDEX($H:$H,20-1),""), $H20=IFERROR(INDEX($H:$H,20+1),""))</formula>
    </cfRule>
    <cfRule type="expression" priority="100" dxfId="1" stopIfTrue="1">
      <formula>AND($H20&lt;&gt;"", $H20=IFERROR(INDEX($H:$H,20-1),""), NOT($H20=IFERROR(INDEX($H:$H,20+1),"")))</formula>
    </cfRule>
    <cfRule type="expression" priority="151" dxfId="1" stopIfTrue="1">
      <formula>AND($H20&lt;&gt;"", $H20=IFERROR(INDEX($H:$H,20+1),""), NOT($H20=IFERROR(INDEX($H:$H,20-1),"")))</formula>
    </cfRule>
  </conditionalFormatting>
  <conditionalFormatting sqref="F20">
    <cfRule type="expression" priority="50" dxfId="0" stopIfTrue="1">
      <formula>AND($H20&lt;&gt;"", $H20=IFERROR(INDEX($H:$H,20-1),""), $H20=IFERROR(INDEX($H:$H,20+1),""))</formula>
    </cfRule>
    <cfRule type="expression" priority="101" dxfId="1" stopIfTrue="1">
      <formula>AND($H20&lt;&gt;"", $H20=IFERROR(INDEX($H:$H,20-1),""), NOT($H20=IFERROR(INDEX($H:$H,20+1),"")))</formula>
    </cfRule>
    <cfRule type="expression" priority="152" dxfId="1" stopIfTrue="1">
      <formula>AND($H20&lt;&gt;"", $H20=IFERROR(INDEX($H:$H,20+1),""), NOT($H20=IFERROR(INDEX($H:$H,20-1),"")))</formula>
    </cfRule>
  </conditionalFormatting>
  <conditionalFormatting sqref="G20">
    <cfRule type="expression" priority="51" dxfId="0" stopIfTrue="1">
      <formula>AND($H20&lt;&gt;"", $H20=IFERROR(INDEX($H:$H,20-1),""), $H20=IFERROR(INDEX($H:$H,20+1),""))</formula>
    </cfRule>
    <cfRule type="expression" priority="102" dxfId="1" stopIfTrue="1">
      <formula>AND($H20&lt;&gt;"", $H20=IFERROR(INDEX($H:$H,20-1),""), NOT($H20=IFERROR(INDEX($H:$H,20+1),"")))</formula>
    </cfRule>
    <cfRule type="expression" priority="153" dxfId="1" stopIfTrue="1">
      <formula>AND($H20&lt;&gt;"", $H20=IFERROR(INDEX($H:$H,20+1),""), NOT($H20=IFERROR(INDEX($H:$H,20-1),"")))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6" customWidth="1" min="3" max="3"/>
    <col width="3" customWidth="1" min="4" max="4"/>
    <col width="16" customWidth="1" min="5" max="5"/>
    <col width="18" customWidth="1" min="6" max="6"/>
    <col width="42" customWidth="1" min="7" max="7"/>
    <col width="12" customWidth="1" min="8" max="8"/>
    <col width="18" customWidth="1" min="9" max="9"/>
  </cols>
  <sheetData>
    <row r="1">
      <c r="A1" t="inlineStr">
        <is>
          <t>Programacion Martes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s="1" t="inlineStr">
        <is>
          <t>Hora inicio 1ra fila</t>
        </is>
      </c>
      <c r="I2" s="1" t="inlineStr">
        <is>
          <t>19:30</t>
        </is>
      </c>
    </row>
    <row r="3">
      <c r="A3" s="2" t="inlineStr">
        <is>
          <t>Programa</t>
        </is>
      </c>
      <c r="B3" s="2" t="inlineStr">
        <is>
          <t>Duracion (min)</t>
        </is>
      </c>
      <c r="C3" s="2" t="inlineStr">
        <is>
          <t>Tipo</t>
        </is>
      </c>
      <c r="D3" t="inlineStr"/>
      <c r="E3" s="3" t="inlineStr">
        <is>
          <t>Hora de inicio</t>
        </is>
      </c>
      <c r="F3" s="3" t="inlineStr">
        <is>
          <t>Hora de terminacion</t>
        </is>
      </c>
      <c r="G3" s="3" t="inlineStr">
        <is>
          <t>Programa</t>
        </is>
      </c>
      <c r="H3" t="inlineStr">
        <is>
          <t>Tipo calc</t>
        </is>
      </c>
      <c r="I3" t="inlineStr"/>
    </row>
    <row r="4">
      <c r="A4" s="4" t="inlineStr">
        <is>
          <t>TODO POP</t>
        </is>
      </c>
      <c r="B4" s="4" t="n">
        <v>30</v>
      </c>
      <c r="C4" s="4" t="inlineStr">
        <is>
          <t>musical</t>
        </is>
      </c>
      <c r="D4" t="inlineStr"/>
      <c r="E4" s="4">
        <f>IF(G4="","",$I2)</f>
        <v/>
      </c>
      <c r="F4" s="4">
        <f>IF(G4="","",TEXT(TIMEVALUE(E4) + IFERROR(VLOOKUP(G4,$A$4:$C$12,2,FALSE),0)/1440,"hh:mm"))</f>
        <v/>
      </c>
      <c r="G4" s="4" t="inlineStr">
        <is>
          <t>TODO POP</t>
        </is>
      </c>
      <c r="H4">
        <f>IF(G4="","",IFERROR(VLOOKUP(G4,$A$4:$C$12,3,FALSE),""))</f>
        <v/>
      </c>
      <c r="I4" t="inlineStr"/>
    </row>
    <row r="5">
      <c r="A5" s="4" t="inlineStr">
        <is>
          <t>BREVES ESTACIONES</t>
        </is>
      </c>
      <c r="B5" s="4" t="n">
        <v>30</v>
      </c>
      <c r="C5" s="4" t="inlineStr">
        <is>
          <t>cultural</t>
        </is>
      </c>
      <c r="D5" t="inlineStr"/>
      <c r="E5" s="4">
        <f>IF(G5="","",F4)</f>
        <v/>
      </c>
      <c r="F5" s="4">
        <f>IF(G5="","",TEXT(TIMEVALUE(E5) + IFERROR(VLOOKUP(G5,$A$4:$C$12,2,FALSE),0)/1440,"hh:mm"))</f>
        <v/>
      </c>
      <c r="G5" s="4" t="inlineStr">
        <is>
          <t>BREVES ESTACIONES</t>
        </is>
      </c>
      <c r="H5">
        <f>IF(G5="","",IFERROR(VLOOKUP(G5,$A$4:$C$12,3,FALSE),""))</f>
        <v/>
      </c>
      <c r="I5" t="inlineStr"/>
    </row>
    <row r="6">
      <c r="A6" s="4" t="inlineStr">
        <is>
          <t>SALUDARTE</t>
        </is>
      </c>
      <c r="B6" s="4" t="n">
        <v>15</v>
      </c>
      <c r="C6" s="4" t="inlineStr">
        <is>
          <t>salud</t>
        </is>
      </c>
      <c r="D6" t="inlineStr"/>
      <c r="E6" s="4">
        <f>IF(G6="","",F5)</f>
        <v/>
      </c>
      <c r="F6" s="4">
        <f>IF(G6="","",TEXT(TIMEVALUE(E6) + IFERROR(VLOOKUP(G6,$A$4:$C$12,2,FALSE),0)/1440,"hh:mm"))</f>
        <v/>
      </c>
      <c r="G6" s="4" t="inlineStr">
        <is>
          <t>SALUDARTE</t>
        </is>
      </c>
      <c r="H6">
        <f>IF(G6="","",IFERROR(VLOOKUP(G6,$A$4:$C$12,3,FALSE),""))</f>
        <v/>
      </c>
      <c r="I6" t="inlineStr"/>
    </row>
    <row r="7">
      <c r="A7" s="4" t="inlineStr">
        <is>
          <t>SECUENCIA</t>
        </is>
      </c>
      <c r="B7" s="4" t="n">
        <v>15</v>
      </c>
      <c r="C7" s="4" t="inlineStr">
        <is>
          <t>cultural</t>
        </is>
      </c>
      <c r="D7" t="inlineStr"/>
      <c r="E7" s="4">
        <f>IF(G7="","",F6)</f>
        <v/>
      </c>
      <c r="F7" s="4">
        <f>IF(G7="","",TEXT(TIMEVALUE(E7) + IFERROR(VLOOKUP(G7,$A$4:$C$12,2,FALSE),0)/1440,"hh:mm"))</f>
        <v/>
      </c>
      <c r="G7" s="4" t="inlineStr">
        <is>
          <t>SECUENCIA</t>
        </is>
      </c>
      <c r="H7">
        <f>IF(G7="","",IFERROR(VLOOKUP(G7,$A$4:$C$12,3,FALSE),""))</f>
        <v/>
      </c>
      <c r="I7" t="inlineStr"/>
    </row>
    <row r="8">
      <c r="A8" s="4" t="inlineStr">
        <is>
          <t>RITMO CLIP</t>
        </is>
      </c>
      <c r="B8" s="4" t="n">
        <v>30</v>
      </c>
      <c r="C8" s="4" t="inlineStr">
        <is>
          <t>musical</t>
        </is>
      </c>
      <c r="D8" t="inlineStr"/>
      <c r="E8" s="4">
        <f>IF(G8="","",F7)</f>
        <v/>
      </c>
      <c r="F8" s="4">
        <f>IF(G8="","",TEXT(TIMEVALUE(E8) + IFERROR(VLOOKUP(G8,$A$4:$C$12,2,FALSE),0)/1440,"hh:mm"))</f>
        <v/>
      </c>
      <c r="G8" s="4" t="inlineStr">
        <is>
          <t>RITMO CLIP</t>
        </is>
      </c>
      <c r="H8">
        <f>IF(G8="","",IFERROR(VLOOKUP(G8,$A$4:$C$12,3,FALSE),""))</f>
        <v/>
      </c>
      <c r="I8" t="inlineStr"/>
    </row>
    <row r="9">
      <c r="A9" s="4" t="inlineStr">
        <is>
          <t>TRIANGULO DE LA CONFIANZA</t>
        </is>
      </c>
      <c r="B9" s="4" t="n">
        <v>30</v>
      </c>
      <c r="C9" s="4" t="inlineStr">
        <is>
          <t>entrevista</t>
        </is>
      </c>
      <c r="D9" t="inlineStr"/>
      <c r="E9" s="4">
        <f>IF(G9="","",F8)</f>
        <v/>
      </c>
      <c r="F9" s="4">
        <f>IF(G9="","",TEXT(TIMEVALUE(E9) + IFERROR(VLOOKUP(G9,$A$4:$C$12,2,FALSE),0)/1440,"hh:mm"))</f>
        <v/>
      </c>
      <c r="G9" s="4" t="inlineStr">
        <is>
          <t>TRIANGULO DE LA CONFIANZA</t>
        </is>
      </c>
      <c r="H9">
        <f>IF(G9="","",IFERROR(VLOOKUP(G9,$A$4:$C$12,3,FALSE),""))</f>
        <v/>
      </c>
      <c r="I9" t="inlineStr"/>
    </row>
    <row r="10">
      <c r="A10" s="4" t="inlineStr">
        <is>
          <t>NOVELA “LA NIETA ELEGIDA”</t>
        </is>
      </c>
      <c r="B10" s="4" t="n">
        <v>45</v>
      </c>
      <c r="C10" s="4" t="inlineStr">
        <is>
          <t>ficción</t>
        </is>
      </c>
      <c r="D10" t="inlineStr"/>
      <c r="E10" s="4">
        <f>IF(G10="","",F9)</f>
        <v/>
      </c>
      <c r="F10" s="4">
        <f>IF(G10="","",TEXT(TIMEVALUE(E10) + IFERROR(VLOOKUP(G10,$A$4:$C$12,2,FALSE),0)/1440,"hh:mm"))</f>
        <v/>
      </c>
      <c r="G10" s="4" t="inlineStr">
        <is>
          <t>NOVELA “LA NIETA ELEGIDA”</t>
        </is>
      </c>
      <c r="H10">
        <f>IF(G10="","",IFERROR(VLOOKUP(G10,$A$4:$C$12,3,FALSE),""))</f>
        <v/>
      </c>
      <c r="I10" t="inlineStr"/>
    </row>
    <row r="11">
      <c r="A11" s="4" t="inlineStr">
        <is>
          <t>HABANA NOTICIARIO</t>
        </is>
      </c>
      <c r="B11" s="4" t="n">
        <v>30</v>
      </c>
      <c r="C11" s="4" t="inlineStr">
        <is>
          <t>informativo</t>
        </is>
      </c>
      <c r="D11" t="inlineStr"/>
      <c r="E11" s="4">
        <f>IF(G11="","",F10)</f>
        <v/>
      </c>
      <c r="F11" s="4">
        <f>IF(G11="","",TEXT(TIMEVALUE(E11) + IFERROR(VLOOKUP(G11,$A$4:$C$12,2,FALSE),0)/1440,"hh:mm"))</f>
        <v/>
      </c>
      <c r="G11" s="4" t="inlineStr">
        <is>
          <t>HABANA NOTICIARIO</t>
        </is>
      </c>
      <c r="H11">
        <f>IF(G11="","",IFERROR(VLOOKUP(G11,$A$4:$C$12,3,FALSE),""))</f>
        <v/>
      </c>
      <c r="I11" t="inlineStr"/>
    </row>
    <row r="12">
      <c r="A12" s="4" t="inlineStr">
        <is>
          <t>SERIE “CRÍMENES MAYORES”</t>
        </is>
      </c>
      <c r="B12" s="4" t="n">
        <v>45</v>
      </c>
      <c r="C12" s="4" t="inlineStr">
        <is>
          <t>ficción</t>
        </is>
      </c>
      <c r="D12" t="inlineStr"/>
      <c r="E12" s="4">
        <f>IF(G12="","",F11)</f>
        <v/>
      </c>
      <c r="F12" s="4">
        <f>IF(G12="","",TEXT(TIMEVALUE(E12) + IFERROR(VLOOKUP(G12,$A$4:$C$12,2,FALSE),0)/1440,"hh:mm"))</f>
        <v/>
      </c>
      <c r="G12" s="4" t="inlineStr">
        <is>
          <t>SERIE “CRÍMENES MAYORES”</t>
        </is>
      </c>
      <c r="H12">
        <f>IF(G12="","",IFERROR(VLOOKUP(G12,$A$4:$C$12,3,FALSE),""))</f>
        <v/>
      </c>
      <c r="I12" t="inlineStr"/>
    </row>
  </sheetData>
  <conditionalFormatting sqref="E4">
    <cfRule type="expression" priority="1" dxfId="0" stopIfTrue="1">
      <formula>AND($H4&lt;&gt;"", $H4=IFERROR(INDEX($H:$H,4-1),""), $H4=IFERROR(INDEX($H:$H,4+1),""))</formula>
    </cfRule>
    <cfRule type="expression" priority="28" dxfId="1" stopIfTrue="1">
      <formula>AND($H4&lt;&gt;"", $H4=IFERROR(INDEX($H:$H,4-1),""), NOT($H4=IFERROR(INDEX($H:$H,4+1),"")))</formula>
    </cfRule>
    <cfRule type="expression" priority="55" dxfId="1" stopIfTrue="1">
      <formula>AND($H4&lt;&gt;"", $H4=IFERROR(INDEX($H:$H,4+1),""), NOT($H4=IFERROR(INDEX($H:$H,4-1),"")))</formula>
    </cfRule>
  </conditionalFormatting>
  <conditionalFormatting sqref="F4">
    <cfRule type="expression" priority="2" dxfId="0" stopIfTrue="1">
      <formula>AND($H4&lt;&gt;"", $H4=IFERROR(INDEX($H:$H,4-1),""), $H4=IFERROR(INDEX($H:$H,4+1),""))</formula>
    </cfRule>
    <cfRule type="expression" priority="29" dxfId="1" stopIfTrue="1">
      <formula>AND($H4&lt;&gt;"", $H4=IFERROR(INDEX($H:$H,4-1),""), NOT($H4=IFERROR(INDEX($H:$H,4+1),"")))</formula>
    </cfRule>
    <cfRule type="expression" priority="56" dxfId="1" stopIfTrue="1">
      <formula>AND($H4&lt;&gt;"", $H4=IFERROR(INDEX($H:$H,4+1),""), NOT($H4=IFERROR(INDEX($H:$H,4-1),"")))</formula>
    </cfRule>
  </conditionalFormatting>
  <conditionalFormatting sqref="G4">
    <cfRule type="expression" priority="3" dxfId="0" stopIfTrue="1">
      <formula>AND($H4&lt;&gt;"", $H4=IFERROR(INDEX($H:$H,4-1),""), $H4=IFERROR(INDEX($H:$H,4+1),""))</formula>
    </cfRule>
    <cfRule type="expression" priority="30" dxfId="1" stopIfTrue="1">
      <formula>AND($H4&lt;&gt;"", $H4=IFERROR(INDEX($H:$H,4-1),""), NOT($H4=IFERROR(INDEX($H:$H,4+1),"")))</formula>
    </cfRule>
    <cfRule type="expression" priority="57" dxfId="1" stopIfTrue="1">
      <formula>AND($H4&lt;&gt;"", $H4=IFERROR(INDEX($H:$H,4+1),""), NOT($H4=IFERROR(INDEX($H:$H,4-1),"")))</formula>
    </cfRule>
  </conditionalFormatting>
  <conditionalFormatting sqref="E5">
    <cfRule type="expression" priority="4" dxfId="0" stopIfTrue="1">
      <formula>AND($H5&lt;&gt;"", $H5=IFERROR(INDEX($H:$H,5-1),""), $H5=IFERROR(INDEX($H:$H,5+1),""))</formula>
    </cfRule>
    <cfRule type="expression" priority="31" dxfId="1" stopIfTrue="1">
      <formula>AND($H5&lt;&gt;"", $H5=IFERROR(INDEX($H:$H,5-1),""), NOT($H5=IFERROR(INDEX($H:$H,5+1),"")))</formula>
    </cfRule>
    <cfRule type="expression" priority="58" dxfId="1" stopIfTrue="1">
      <formula>AND($H5&lt;&gt;"", $H5=IFERROR(INDEX($H:$H,5+1),""), NOT($H5=IFERROR(INDEX($H:$H,5-1),"")))</formula>
    </cfRule>
  </conditionalFormatting>
  <conditionalFormatting sqref="F5">
    <cfRule type="expression" priority="5" dxfId="0" stopIfTrue="1">
      <formula>AND($H5&lt;&gt;"", $H5=IFERROR(INDEX($H:$H,5-1),""), $H5=IFERROR(INDEX($H:$H,5+1),""))</formula>
    </cfRule>
    <cfRule type="expression" priority="32" dxfId="1" stopIfTrue="1">
      <formula>AND($H5&lt;&gt;"", $H5=IFERROR(INDEX($H:$H,5-1),""), NOT($H5=IFERROR(INDEX($H:$H,5+1),"")))</formula>
    </cfRule>
    <cfRule type="expression" priority="59" dxfId="1" stopIfTrue="1">
      <formula>AND($H5&lt;&gt;"", $H5=IFERROR(INDEX($H:$H,5+1),""), NOT($H5=IFERROR(INDEX($H:$H,5-1),"")))</formula>
    </cfRule>
  </conditionalFormatting>
  <conditionalFormatting sqref="G5">
    <cfRule type="expression" priority="6" dxfId="0" stopIfTrue="1">
      <formula>AND($H5&lt;&gt;"", $H5=IFERROR(INDEX($H:$H,5-1),""), $H5=IFERROR(INDEX($H:$H,5+1),""))</formula>
    </cfRule>
    <cfRule type="expression" priority="33" dxfId="1" stopIfTrue="1">
      <formula>AND($H5&lt;&gt;"", $H5=IFERROR(INDEX($H:$H,5-1),""), NOT($H5=IFERROR(INDEX($H:$H,5+1),"")))</formula>
    </cfRule>
    <cfRule type="expression" priority="60" dxfId="1" stopIfTrue="1">
      <formula>AND($H5&lt;&gt;"", $H5=IFERROR(INDEX($H:$H,5+1),""), NOT($H5=IFERROR(INDEX($H:$H,5-1),"")))</formula>
    </cfRule>
  </conditionalFormatting>
  <conditionalFormatting sqref="E6">
    <cfRule type="expression" priority="7" dxfId="0" stopIfTrue="1">
      <formula>AND($H6&lt;&gt;"", $H6=IFERROR(INDEX($H:$H,6-1),""), $H6=IFERROR(INDEX($H:$H,6+1),""))</formula>
    </cfRule>
    <cfRule type="expression" priority="34" dxfId="1" stopIfTrue="1">
      <formula>AND($H6&lt;&gt;"", $H6=IFERROR(INDEX($H:$H,6-1),""), NOT($H6=IFERROR(INDEX($H:$H,6+1),"")))</formula>
    </cfRule>
    <cfRule type="expression" priority="61" dxfId="1" stopIfTrue="1">
      <formula>AND($H6&lt;&gt;"", $H6=IFERROR(INDEX($H:$H,6+1),""), NOT($H6=IFERROR(INDEX($H:$H,6-1),"")))</formula>
    </cfRule>
  </conditionalFormatting>
  <conditionalFormatting sqref="F6">
    <cfRule type="expression" priority="8" dxfId="0" stopIfTrue="1">
      <formula>AND($H6&lt;&gt;"", $H6=IFERROR(INDEX($H:$H,6-1),""), $H6=IFERROR(INDEX($H:$H,6+1),""))</formula>
    </cfRule>
    <cfRule type="expression" priority="35" dxfId="1" stopIfTrue="1">
      <formula>AND($H6&lt;&gt;"", $H6=IFERROR(INDEX($H:$H,6-1),""), NOT($H6=IFERROR(INDEX($H:$H,6+1),"")))</formula>
    </cfRule>
    <cfRule type="expression" priority="62" dxfId="1" stopIfTrue="1">
      <formula>AND($H6&lt;&gt;"", $H6=IFERROR(INDEX($H:$H,6+1),""), NOT($H6=IFERROR(INDEX($H:$H,6-1),"")))</formula>
    </cfRule>
  </conditionalFormatting>
  <conditionalFormatting sqref="G6">
    <cfRule type="expression" priority="9" dxfId="0" stopIfTrue="1">
      <formula>AND($H6&lt;&gt;"", $H6=IFERROR(INDEX($H:$H,6-1),""), $H6=IFERROR(INDEX($H:$H,6+1),""))</formula>
    </cfRule>
    <cfRule type="expression" priority="36" dxfId="1" stopIfTrue="1">
      <formula>AND($H6&lt;&gt;"", $H6=IFERROR(INDEX($H:$H,6-1),""), NOT($H6=IFERROR(INDEX($H:$H,6+1),"")))</formula>
    </cfRule>
    <cfRule type="expression" priority="63" dxfId="1" stopIfTrue="1">
      <formula>AND($H6&lt;&gt;"", $H6=IFERROR(INDEX($H:$H,6+1),""), NOT($H6=IFERROR(INDEX($H:$H,6-1),"")))</formula>
    </cfRule>
  </conditionalFormatting>
  <conditionalFormatting sqref="E7">
    <cfRule type="expression" priority="10" dxfId="0" stopIfTrue="1">
      <formula>AND($H7&lt;&gt;"", $H7=IFERROR(INDEX($H:$H,7-1),""), $H7=IFERROR(INDEX($H:$H,7+1),""))</formula>
    </cfRule>
    <cfRule type="expression" priority="37" dxfId="1" stopIfTrue="1">
      <formula>AND($H7&lt;&gt;"", $H7=IFERROR(INDEX($H:$H,7-1),""), NOT($H7=IFERROR(INDEX($H:$H,7+1),"")))</formula>
    </cfRule>
    <cfRule type="expression" priority="64" dxfId="1" stopIfTrue="1">
      <formula>AND($H7&lt;&gt;"", $H7=IFERROR(INDEX($H:$H,7+1),""), NOT($H7=IFERROR(INDEX($H:$H,7-1),"")))</formula>
    </cfRule>
  </conditionalFormatting>
  <conditionalFormatting sqref="F7">
    <cfRule type="expression" priority="11" dxfId="0" stopIfTrue="1">
      <formula>AND($H7&lt;&gt;"", $H7=IFERROR(INDEX($H:$H,7-1),""), $H7=IFERROR(INDEX($H:$H,7+1),""))</formula>
    </cfRule>
    <cfRule type="expression" priority="38" dxfId="1" stopIfTrue="1">
      <formula>AND($H7&lt;&gt;"", $H7=IFERROR(INDEX($H:$H,7-1),""), NOT($H7=IFERROR(INDEX($H:$H,7+1),"")))</formula>
    </cfRule>
    <cfRule type="expression" priority="65" dxfId="1" stopIfTrue="1">
      <formula>AND($H7&lt;&gt;"", $H7=IFERROR(INDEX($H:$H,7+1),""), NOT($H7=IFERROR(INDEX($H:$H,7-1),"")))</formula>
    </cfRule>
  </conditionalFormatting>
  <conditionalFormatting sqref="G7">
    <cfRule type="expression" priority="12" dxfId="0" stopIfTrue="1">
      <formula>AND($H7&lt;&gt;"", $H7=IFERROR(INDEX($H:$H,7-1),""), $H7=IFERROR(INDEX($H:$H,7+1),""))</formula>
    </cfRule>
    <cfRule type="expression" priority="39" dxfId="1" stopIfTrue="1">
      <formula>AND($H7&lt;&gt;"", $H7=IFERROR(INDEX($H:$H,7-1),""), NOT($H7=IFERROR(INDEX($H:$H,7+1),"")))</formula>
    </cfRule>
    <cfRule type="expression" priority="66" dxfId="1" stopIfTrue="1">
      <formula>AND($H7&lt;&gt;"", $H7=IFERROR(INDEX($H:$H,7+1),""), NOT($H7=IFERROR(INDEX($H:$H,7-1),"")))</formula>
    </cfRule>
  </conditionalFormatting>
  <conditionalFormatting sqref="E8">
    <cfRule type="expression" priority="13" dxfId="0" stopIfTrue="1">
      <formula>AND($H8&lt;&gt;"", $H8=IFERROR(INDEX($H:$H,8-1),""), $H8=IFERROR(INDEX($H:$H,8+1),""))</formula>
    </cfRule>
    <cfRule type="expression" priority="40" dxfId="1" stopIfTrue="1">
      <formula>AND($H8&lt;&gt;"", $H8=IFERROR(INDEX($H:$H,8-1),""), NOT($H8=IFERROR(INDEX($H:$H,8+1),"")))</formula>
    </cfRule>
    <cfRule type="expression" priority="67" dxfId="1" stopIfTrue="1">
      <formula>AND($H8&lt;&gt;"", $H8=IFERROR(INDEX($H:$H,8+1),""), NOT($H8=IFERROR(INDEX($H:$H,8-1),"")))</formula>
    </cfRule>
  </conditionalFormatting>
  <conditionalFormatting sqref="F8">
    <cfRule type="expression" priority="14" dxfId="0" stopIfTrue="1">
      <formula>AND($H8&lt;&gt;"", $H8=IFERROR(INDEX($H:$H,8-1),""), $H8=IFERROR(INDEX($H:$H,8+1),""))</formula>
    </cfRule>
    <cfRule type="expression" priority="41" dxfId="1" stopIfTrue="1">
      <formula>AND($H8&lt;&gt;"", $H8=IFERROR(INDEX($H:$H,8-1),""), NOT($H8=IFERROR(INDEX($H:$H,8+1),"")))</formula>
    </cfRule>
    <cfRule type="expression" priority="68" dxfId="1" stopIfTrue="1">
      <formula>AND($H8&lt;&gt;"", $H8=IFERROR(INDEX($H:$H,8+1),""), NOT($H8=IFERROR(INDEX($H:$H,8-1),"")))</formula>
    </cfRule>
  </conditionalFormatting>
  <conditionalFormatting sqref="G8">
    <cfRule type="expression" priority="15" dxfId="0" stopIfTrue="1">
      <formula>AND($H8&lt;&gt;"", $H8=IFERROR(INDEX($H:$H,8-1),""), $H8=IFERROR(INDEX($H:$H,8+1),""))</formula>
    </cfRule>
    <cfRule type="expression" priority="42" dxfId="1" stopIfTrue="1">
      <formula>AND($H8&lt;&gt;"", $H8=IFERROR(INDEX($H:$H,8-1),""), NOT($H8=IFERROR(INDEX($H:$H,8+1),"")))</formula>
    </cfRule>
    <cfRule type="expression" priority="69" dxfId="1" stopIfTrue="1">
      <formula>AND($H8&lt;&gt;"", $H8=IFERROR(INDEX($H:$H,8+1),""), NOT($H8=IFERROR(INDEX($H:$H,8-1),"")))</formula>
    </cfRule>
  </conditionalFormatting>
  <conditionalFormatting sqref="E9">
    <cfRule type="expression" priority="16" dxfId="0" stopIfTrue="1">
      <formula>AND($H9&lt;&gt;"", $H9=IFERROR(INDEX($H:$H,9-1),""), $H9=IFERROR(INDEX($H:$H,9+1),""))</formula>
    </cfRule>
    <cfRule type="expression" priority="43" dxfId="1" stopIfTrue="1">
      <formula>AND($H9&lt;&gt;"", $H9=IFERROR(INDEX($H:$H,9-1),""), NOT($H9=IFERROR(INDEX($H:$H,9+1),"")))</formula>
    </cfRule>
    <cfRule type="expression" priority="70" dxfId="1" stopIfTrue="1">
      <formula>AND($H9&lt;&gt;"", $H9=IFERROR(INDEX($H:$H,9+1),""), NOT($H9=IFERROR(INDEX($H:$H,9-1),"")))</formula>
    </cfRule>
  </conditionalFormatting>
  <conditionalFormatting sqref="F9">
    <cfRule type="expression" priority="17" dxfId="0" stopIfTrue="1">
      <formula>AND($H9&lt;&gt;"", $H9=IFERROR(INDEX($H:$H,9-1),""), $H9=IFERROR(INDEX($H:$H,9+1),""))</formula>
    </cfRule>
    <cfRule type="expression" priority="44" dxfId="1" stopIfTrue="1">
      <formula>AND($H9&lt;&gt;"", $H9=IFERROR(INDEX($H:$H,9-1),""), NOT($H9=IFERROR(INDEX($H:$H,9+1),"")))</formula>
    </cfRule>
    <cfRule type="expression" priority="71" dxfId="1" stopIfTrue="1">
      <formula>AND($H9&lt;&gt;"", $H9=IFERROR(INDEX($H:$H,9+1),""), NOT($H9=IFERROR(INDEX($H:$H,9-1),"")))</formula>
    </cfRule>
  </conditionalFormatting>
  <conditionalFormatting sqref="G9">
    <cfRule type="expression" priority="18" dxfId="0" stopIfTrue="1">
      <formula>AND($H9&lt;&gt;"", $H9=IFERROR(INDEX($H:$H,9-1),""), $H9=IFERROR(INDEX($H:$H,9+1),""))</formula>
    </cfRule>
    <cfRule type="expression" priority="45" dxfId="1" stopIfTrue="1">
      <formula>AND($H9&lt;&gt;"", $H9=IFERROR(INDEX($H:$H,9-1),""), NOT($H9=IFERROR(INDEX($H:$H,9+1),"")))</formula>
    </cfRule>
    <cfRule type="expression" priority="72" dxfId="1" stopIfTrue="1">
      <formula>AND($H9&lt;&gt;"", $H9=IFERROR(INDEX($H:$H,9+1),""), NOT($H9=IFERROR(INDEX($H:$H,9-1),"")))</formula>
    </cfRule>
  </conditionalFormatting>
  <conditionalFormatting sqref="E10">
    <cfRule type="expression" priority="19" dxfId="0" stopIfTrue="1">
      <formula>AND($H10&lt;&gt;"", $H10=IFERROR(INDEX($H:$H,10-1),""), $H10=IFERROR(INDEX($H:$H,10+1),""))</formula>
    </cfRule>
    <cfRule type="expression" priority="46" dxfId="1" stopIfTrue="1">
      <formula>AND($H10&lt;&gt;"", $H10=IFERROR(INDEX($H:$H,10-1),""), NOT($H10=IFERROR(INDEX($H:$H,10+1),"")))</formula>
    </cfRule>
    <cfRule type="expression" priority="73" dxfId="1" stopIfTrue="1">
      <formula>AND($H10&lt;&gt;"", $H10=IFERROR(INDEX($H:$H,10+1),""), NOT($H10=IFERROR(INDEX($H:$H,10-1),"")))</formula>
    </cfRule>
  </conditionalFormatting>
  <conditionalFormatting sqref="F10">
    <cfRule type="expression" priority="20" dxfId="0" stopIfTrue="1">
      <formula>AND($H10&lt;&gt;"", $H10=IFERROR(INDEX($H:$H,10-1),""), $H10=IFERROR(INDEX($H:$H,10+1),""))</formula>
    </cfRule>
    <cfRule type="expression" priority="47" dxfId="1" stopIfTrue="1">
      <formula>AND($H10&lt;&gt;"", $H10=IFERROR(INDEX($H:$H,10-1),""), NOT($H10=IFERROR(INDEX($H:$H,10+1),"")))</formula>
    </cfRule>
    <cfRule type="expression" priority="74" dxfId="1" stopIfTrue="1">
      <formula>AND($H10&lt;&gt;"", $H10=IFERROR(INDEX($H:$H,10+1),""), NOT($H10=IFERROR(INDEX($H:$H,10-1),"")))</formula>
    </cfRule>
  </conditionalFormatting>
  <conditionalFormatting sqref="G10">
    <cfRule type="expression" priority="21" dxfId="0" stopIfTrue="1">
      <formula>AND($H10&lt;&gt;"", $H10=IFERROR(INDEX($H:$H,10-1),""), $H10=IFERROR(INDEX($H:$H,10+1),""))</formula>
    </cfRule>
    <cfRule type="expression" priority="48" dxfId="1" stopIfTrue="1">
      <formula>AND($H10&lt;&gt;"", $H10=IFERROR(INDEX($H:$H,10-1),""), NOT($H10=IFERROR(INDEX($H:$H,10+1),"")))</formula>
    </cfRule>
    <cfRule type="expression" priority="75" dxfId="1" stopIfTrue="1">
      <formula>AND($H10&lt;&gt;"", $H10=IFERROR(INDEX($H:$H,10+1),""), NOT($H10=IFERROR(INDEX($H:$H,10-1),"")))</formula>
    </cfRule>
  </conditionalFormatting>
  <conditionalFormatting sqref="E11">
    <cfRule type="expression" priority="22" dxfId="0" stopIfTrue="1">
      <formula>AND($H11&lt;&gt;"", $H11=IFERROR(INDEX($H:$H,11-1),""), $H11=IFERROR(INDEX($H:$H,11+1),""))</formula>
    </cfRule>
    <cfRule type="expression" priority="49" dxfId="1" stopIfTrue="1">
      <formula>AND($H11&lt;&gt;"", $H11=IFERROR(INDEX($H:$H,11-1),""), NOT($H11=IFERROR(INDEX($H:$H,11+1),"")))</formula>
    </cfRule>
    <cfRule type="expression" priority="76" dxfId="1" stopIfTrue="1">
      <formula>AND($H11&lt;&gt;"", $H11=IFERROR(INDEX($H:$H,11+1),""), NOT($H11=IFERROR(INDEX($H:$H,11-1),"")))</formula>
    </cfRule>
  </conditionalFormatting>
  <conditionalFormatting sqref="F11">
    <cfRule type="expression" priority="23" dxfId="0" stopIfTrue="1">
      <formula>AND($H11&lt;&gt;"", $H11=IFERROR(INDEX($H:$H,11-1),""), $H11=IFERROR(INDEX($H:$H,11+1),""))</formula>
    </cfRule>
    <cfRule type="expression" priority="50" dxfId="1" stopIfTrue="1">
      <formula>AND($H11&lt;&gt;"", $H11=IFERROR(INDEX($H:$H,11-1),""), NOT($H11=IFERROR(INDEX($H:$H,11+1),"")))</formula>
    </cfRule>
    <cfRule type="expression" priority="77" dxfId="1" stopIfTrue="1">
      <formula>AND($H11&lt;&gt;"", $H11=IFERROR(INDEX($H:$H,11+1),""), NOT($H11=IFERROR(INDEX($H:$H,11-1),"")))</formula>
    </cfRule>
  </conditionalFormatting>
  <conditionalFormatting sqref="G11">
    <cfRule type="expression" priority="24" dxfId="0" stopIfTrue="1">
      <formula>AND($H11&lt;&gt;"", $H11=IFERROR(INDEX($H:$H,11-1),""), $H11=IFERROR(INDEX($H:$H,11+1),""))</formula>
    </cfRule>
    <cfRule type="expression" priority="51" dxfId="1" stopIfTrue="1">
      <formula>AND($H11&lt;&gt;"", $H11=IFERROR(INDEX($H:$H,11-1),""), NOT($H11=IFERROR(INDEX($H:$H,11+1),"")))</formula>
    </cfRule>
    <cfRule type="expression" priority="78" dxfId="1" stopIfTrue="1">
      <formula>AND($H11&lt;&gt;"", $H11=IFERROR(INDEX($H:$H,11+1),""), NOT($H11=IFERROR(INDEX($H:$H,11-1),"")))</formula>
    </cfRule>
  </conditionalFormatting>
  <conditionalFormatting sqref="E12">
    <cfRule type="expression" priority="25" dxfId="0" stopIfTrue="1">
      <formula>AND($H12&lt;&gt;"", $H12=IFERROR(INDEX($H:$H,12-1),""), $H12=IFERROR(INDEX($H:$H,12+1),""))</formula>
    </cfRule>
    <cfRule type="expression" priority="52" dxfId="1" stopIfTrue="1">
      <formula>AND($H12&lt;&gt;"", $H12=IFERROR(INDEX($H:$H,12-1),""), NOT($H12=IFERROR(INDEX($H:$H,12+1),"")))</formula>
    </cfRule>
    <cfRule type="expression" priority="79" dxfId="1" stopIfTrue="1">
      <formula>AND($H12&lt;&gt;"", $H12=IFERROR(INDEX($H:$H,12+1),""), NOT($H12=IFERROR(INDEX($H:$H,12-1),"")))</formula>
    </cfRule>
  </conditionalFormatting>
  <conditionalFormatting sqref="F12">
    <cfRule type="expression" priority="26" dxfId="0" stopIfTrue="1">
      <formula>AND($H12&lt;&gt;"", $H12=IFERROR(INDEX($H:$H,12-1),""), $H12=IFERROR(INDEX($H:$H,12+1),""))</formula>
    </cfRule>
    <cfRule type="expression" priority="53" dxfId="1" stopIfTrue="1">
      <formula>AND($H12&lt;&gt;"", $H12=IFERROR(INDEX($H:$H,12-1),""), NOT($H12=IFERROR(INDEX($H:$H,12+1),"")))</formula>
    </cfRule>
    <cfRule type="expression" priority="80" dxfId="1" stopIfTrue="1">
      <formula>AND($H12&lt;&gt;"", $H12=IFERROR(INDEX($H:$H,12+1),""), NOT($H12=IFERROR(INDEX($H:$H,12-1),"")))</formula>
    </cfRule>
  </conditionalFormatting>
  <conditionalFormatting sqref="G12">
    <cfRule type="expression" priority="27" dxfId="0" stopIfTrue="1">
      <formula>AND($H12&lt;&gt;"", $H12=IFERROR(INDEX($H:$H,12-1),""), $H12=IFERROR(INDEX($H:$H,12+1),""))</formula>
    </cfRule>
    <cfRule type="expression" priority="54" dxfId="1" stopIfTrue="1">
      <formula>AND($H12&lt;&gt;"", $H12=IFERROR(INDEX($H:$H,12-1),""), NOT($H12=IFERROR(INDEX($H:$H,12+1),"")))</formula>
    </cfRule>
    <cfRule type="expression" priority="81" dxfId="1" stopIfTrue="1">
      <formula>AND($H12&lt;&gt;"", $H12=IFERROR(INDEX($H:$H,12+1),""), NOT($H12=IFERROR(INDEX($H:$H,12-1),"")))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6" customWidth="1" min="3" max="3"/>
    <col width="3" customWidth="1" min="4" max="4"/>
    <col width="16" customWidth="1" min="5" max="5"/>
    <col width="18" customWidth="1" min="6" max="6"/>
    <col width="42" customWidth="1" min="7" max="7"/>
    <col width="12" customWidth="1" min="8" max="8"/>
    <col width="18" customWidth="1" min="9" max="9"/>
  </cols>
  <sheetData>
    <row r="1">
      <c r="A1" t="inlineStr">
        <is>
          <t>Programacion Miércoles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s="1" t="inlineStr">
        <is>
          <t>Hora inicio 1ra fila</t>
        </is>
      </c>
      <c r="I2" s="1" t="inlineStr">
        <is>
          <t>19:45</t>
        </is>
      </c>
    </row>
    <row r="3">
      <c r="A3" s="2" t="inlineStr">
        <is>
          <t>Programa</t>
        </is>
      </c>
      <c r="B3" s="2" t="inlineStr">
        <is>
          <t>Duracion (min)</t>
        </is>
      </c>
      <c r="C3" s="2" t="inlineStr">
        <is>
          <t>Tipo</t>
        </is>
      </c>
      <c r="D3" t="inlineStr"/>
      <c r="E3" s="3" t="inlineStr">
        <is>
          <t>Hora de inicio</t>
        </is>
      </c>
      <c r="F3" s="3" t="inlineStr">
        <is>
          <t>Hora de terminacion</t>
        </is>
      </c>
      <c r="G3" s="3" t="inlineStr">
        <is>
          <t>Programa</t>
        </is>
      </c>
      <c r="H3" t="inlineStr">
        <is>
          <t>Tipo calc</t>
        </is>
      </c>
      <c r="I3" t="inlineStr"/>
    </row>
    <row r="4">
      <c r="A4" s="4" t="inlineStr">
        <is>
          <t>COSAS DEL CINE</t>
        </is>
      </c>
      <c r="B4" s="4" t="n">
        <v>15</v>
      </c>
      <c r="C4" s="4" t="inlineStr">
        <is>
          <t>cine</t>
        </is>
      </c>
      <c r="D4" t="inlineStr"/>
      <c r="E4" s="4">
        <f>IF(G4="","",$I2)</f>
        <v/>
      </c>
      <c r="F4" s="4">
        <f>IF(G4="","",TEXT(TIMEVALUE(E4) + IFERROR(VLOOKUP(G4,$A$4:$C$10,2,FALSE),0)/1440,"hh:mm"))</f>
        <v/>
      </c>
      <c r="G4" s="4" t="inlineStr">
        <is>
          <t>COSAS DEL CINE</t>
        </is>
      </c>
      <c r="H4">
        <f>IF(G4="","",IFERROR(VLOOKUP(G4,$A$4:$C$10,3,FALSE),""))</f>
        <v/>
      </c>
      <c r="I4" t="inlineStr"/>
    </row>
    <row r="5">
      <c r="A5" s="4" t="inlineStr">
        <is>
          <t>RITMO CLIP</t>
        </is>
      </c>
      <c r="B5" s="4" t="n">
        <v>30</v>
      </c>
      <c r="C5" s="4" t="inlineStr">
        <is>
          <t>musical</t>
        </is>
      </c>
      <c r="D5" t="inlineStr"/>
      <c r="E5" s="4">
        <f>IF(G5="","",F4)</f>
        <v/>
      </c>
      <c r="F5" s="4">
        <f>IF(G5="","",TEXT(TIMEVALUE(E5) + IFERROR(VLOOKUP(G5,$A$4:$C$10,2,FALSE),0)/1440,"hh:mm"))</f>
        <v/>
      </c>
      <c r="G5" s="4" t="inlineStr">
        <is>
          <t>RITMO CLIP</t>
        </is>
      </c>
      <c r="H5">
        <f>IF(G5="","",IFERROR(VLOOKUP(G5,$A$4:$C$10,3,FALSE),""))</f>
        <v/>
      </c>
      <c r="I5" t="inlineStr"/>
    </row>
    <row r="6">
      <c r="A6" s="4" t="inlineStr">
        <is>
          <t>BANDA SONORA JUVENIL</t>
        </is>
      </c>
      <c r="B6" s="4" t="n">
        <v>30</v>
      </c>
      <c r="C6" s="4" t="inlineStr">
        <is>
          <t>cultural</t>
        </is>
      </c>
      <c r="D6" t="inlineStr"/>
      <c r="E6" s="4">
        <f>IF(G6="","",F5)</f>
        <v/>
      </c>
      <c r="F6" s="4">
        <f>IF(G6="","",TEXT(TIMEVALUE(E6) + IFERROR(VLOOKUP(G6,$A$4:$C$10,2,FALSE),0)/1440,"hh:mm"))</f>
        <v/>
      </c>
      <c r="G6" s="4" t="inlineStr">
        <is>
          <t>BANDA SONORA JUVENIL</t>
        </is>
      </c>
      <c r="H6">
        <f>IF(G6="","",IFERROR(VLOOKUP(G6,$A$4:$C$10,3,FALSE),""))</f>
        <v/>
      </c>
      <c r="I6" t="inlineStr"/>
    </row>
    <row r="7">
      <c r="A7" s="4" t="inlineStr">
        <is>
          <t>VE Y MIRA</t>
        </is>
      </c>
      <c r="B7" s="4" t="n">
        <v>30</v>
      </c>
      <c r="C7" s="4" t="inlineStr">
        <is>
          <t>cine</t>
        </is>
      </c>
      <c r="D7" t="inlineStr"/>
      <c r="E7" s="4">
        <f>IF(G7="","",F6)</f>
        <v/>
      </c>
      <c r="F7" s="4">
        <f>IF(G7="","",TEXT(TIMEVALUE(E7) + IFERROR(VLOOKUP(G7,$A$4:$C$10,2,FALSE),0)/1440,"hh:mm"))</f>
        <v/>
      </c>
      <c r="G7" s="4" t="inlineStr">
        <is>
          <t>VE Y MIRA</t>
        </is>
      </c>
      <c r="H7">
        <f>IF(G7="","",IFERROR(VLOOKUP(G7,$A$4:$C$10,3,FALSE),""))</f>
        <v/>
      </c>
      <c r="I7" t="inlineStr"/>
    </row>
    <row r="8">
      <c r="A8" s="4" t="inlineStr">
        <is>
          <t>MÚSICA DEL MUNDO</t>
        </is>
      </c>
      <c r="B8" s="4" t="n">
        <v>30</v>
      </c>
      <c r="C8" s="4" t="inlineStr">
        <is>
          <t>musical</t>
        </is>
      </c>
      <c r="D8" t="inlineStr"/>
      <c r="E8" s="4">
        <f>IF(G8="","",F7)</f>
        <v/>
      </c>
      <c r="F8" s="4">
        <f>IF(G8="","",TEXT(TIMEVALUE(E8) + IFERROR(VLOOKUP(G8,$A$4:$C$10,2,FALSE),0)/1440,"hh:mm"))</f>
        <v/>
      </c>
      <c r="G8" s="4" t="inlineStr">
        <is>
          <t>MÚSICA DEL MUNDO</t>
        </is>
      </c>
      <c r="H8">
        <f>IF(G8="","",IFERROR(VLOOKUP(G8,$A$4:$C$10,3,FALSE),""))</f>
        <v/>
      </c>
      <c r="I8" t="inlineStr"/>
    </row>
    <row r="9">
      <c r="A9" s="4" t="inlineStr">
        <is>
          <t>HABANA NOTICIARIO</t>
        </is>
      </c>
      <c r="B9" s="4" t="n">
        <v>30</v>
      </c>
      <c r="C9" s="4" t="inlineStr">
        <is>
          <t>informativo</t>
        </is>
      </c>
      <c r="D9" t="inlineStr"/>
      <c r="E9" s="4">
        <f>IF(G9="","",F8)</f>
        <v/>
      </c>
      <c r="F9" s="4">
        <f>IF(G9="","",TEXT(TIMEVALUE(E9) + IFERROR(VLOOKUP(G9,$A$4:$C$10,2,FALSE),0)/1440,"hh:mm"))</f>
        <v/>
      </c>
      <c r="G9" s="4" t="inlineStr">
        <is>
          <t>HABANA NOTICIARIO</t>
        </is>
      </c>
      <c r="H9">
        <f>IF(G9="","",IFERROR(VLOOKUP(G9,$A$4:$C$10,3,FALSE),""))</f>
        <v/>
      </c>
      <c r="I9" t="inlineStr"/>
    </row>
    <row r="10">
      <c r="A10" s="4" t="inlineStr">
        <is>
          <t>CINEMA HABANA</t>
        </is>
      </c>
      <c r="B10" s="4" t="n">
        <v>77</v>
      </c>
      <c r="C10" s="4" t="inlineStr">
        <is>
          <t>cine</t>
        </is>
      </c>
      <c r="D10" t="inlineStr"/>
      <c r="E10" s="4">
        <f>IF(G10="","",F9)</f>
        <v/>
      </c>
      <c r="F10" s="4">
        <f>IF(G10="","",TEXT(TIMEVALUE(E10) + IFERROR(VLOOKUP(G10,$A$4:$C$10,2,FALSE),0)/1440,"hh:mm"))</f>
        <v/>
      </c>
      <c r="G10" s="4" t="inlineStr">
        <is>
          <t>CINEMA HABANA</t>
        </is>
      </c>
      <c r="H10">
        <f>IF(G10="","",IFERROR(VLOOKUP(G10,$A$4:$C$10,3,FALSE),""))</f>
        <v/>
      </c>
      <c r="I10" t="inlineStr"/>
    </row>
  </sheetData>
  <conditionalFormatting sqref="E4">
    <cfRule type="expression" priority="1" dxfId="0" stopIfTrue="1">
      <formula>AND($H4&lt;&gt;"", $H4=IFERROR(INDEX($H:$H,4-1),""), $H4=IFERROR(INDEX($H:$H,4+1),""))</formula>
    </cfRule>
    <cfRule type="expression" priority="22" dxfId="1" stopIfTrue="1">
      <formula>AND($H4&lt;&gt;"", $H4=IFERROR(INDEX($H:$H,4-1),""), NOT($H4=IFERROR(INDEX($H:$H,4+1),"")))</formula>
    </cfRule>
    <cfRule type="expression" priority="43" dxfId="1" stopIfTrue="1">
      <formula>AND($H4&lt;&gt;"", $H4=IFERROR(INDEX($H:$H,4+1),""), NOT($H4=IFERROR(INDEX($H:$H,4-1),"")))</formula>
    </cfRule>
  </conditionalFormatting>
  <conditionalFormatting sqref="F4">
    <cfRule type="expression" priority="2" dxfId="0" stopIfTrue="1">
      <formula>AND($H4&lt;&gt;"", $H4=IFERROR(INDEX($H:$H,4-1),""), $H4=IFERROR(INDEX($H:$H,4+1),""))</formula>
    </cfRule>
    <cfRule type="expression" priority="23" dxfId="1" stopIfTrue="1">
      <formula>AND($H4&lt;&gt;"", $H4=IFERROR(INDEX($H:$H,4-1),""), NOT($H4=IFERROR(INDEX($H:$H,4+1),"")))</formula>
    </cfRule>
    <cfRule type="expression" priority="44" dxfId="1" stopIfTrue="1">
      <formula>AND($H4&lt;&gt;"", $H4=IFERROR(INDEX($H:$H,4+1),""), NOT($H4=IFERROR(INDEX($H:$H,4-1),"")))</formula>
    </cfRule>
  </conditionalFormatting>
  <conditionalFormatting sqref="G4">
    <cfRule type="expression" priority="3" dxfId="0" stopIfTrue="1">
      <formula>AND($H4&lt;&gt;"", $H4=IFERROR(INDEX($H:$H,4-1),""), $H4=IFERROR(INDEX($H:$H,4+1),""))</formula>
    </cfRule>
    <cfRule type="expression" priority="24" dxfId="1" stopIfTrue="1">
      <formula>AND($H4&lt;&gt;"", $H4=IFERROR(INDEX($H:$H,4-1),""), NOT($H4=IFERROR(INDEX($H:$H,4+1),"")))</formula>
    </cfRule>
    <cfRule type="expression" priority="45" dxfId="1" stopIfTrue="1">
      <formula>AND($H4&lt;&gt;"", $H4=IFERROR(INDEX($H:$H,4+1),""), NOT($H4=IFERROR(INDEX($H:$H,4-1),"")))</formula>
    </cfRule>
  </conditionalFormatting>
  <conditionalFormatting sqref="E5">
    <cfRule type="expression" priority="4" dxfId="0" stopIfTrue="1">
      <formula>AND($H5&lt;&gt;"", $H5=IFERROR(INDEX($H:$H,5-1),""), $H5=IFERROR(INDEX($H:$H,5+1),""))</formula>
    </cfRule>
    <cfRule type="expression" priority="25" dxfId="1" stopIfTrue="1">
      <formula>AND($H5&lt;&gt;"", $H5=IFERROR(INDEX($H:$H,5-1),""), NOT($H5=IFERROR(INDEX($H:$H,5+1),"")))</formula>
    </cfRule>
    <cfRule type="expression" priority="46" dxfId="1" stopIfTrue="1">
      <formula>AND($H5&lt;&gt;"", $H5=IFERROR(INDEX($H:$H,5+1),""), NOT($H5=IFERROR(INDEX($H:$H,5-1),"")))</formula>
    </cfRule>
  </conditionalFormatting>
  <conditionalFormatting sqref="F5">
    <cfRule type="expression" priority="5" dxfId="0" stopIfTrue="1">
      <formula>AND($H5&lt;&gt;"", $H5=IFERROR(INDEX($H:$H,5-1),""), $H5=IFERROR(INDEX($H:$H,5+1),""))</formula>
    </cfRule>
    <cfRule type="expression" priority="26" dxfId="1" stopIfTrue="1">
      <formula>AND($H5&lt;&gt;"", $H5=IFERROR(INDEX($H:$H,5-1),""), NOT($H5=IFERROR(INDEX($H:$H,5+1),"")))</formula>
    </cfRule>
    <cfRule type="expression" priority="47" dxfId="1" stopIfTrue="1">
      <formula>AND($H5&lt;&gt;"", $H5=IFERROR(INDEX($H:$H,5+1),""), NOT($H5=IFERROR(INDEX($H:$H,5-1),"")))</formula>
    </cfRule>
  </conditionalFormatting>
  <conditionalFormatting sqref="G5">
    <cfRule type="expression" priority="6" dxfId="0" stopIfTrue="1">
      <formula>AND($H5&lt;&gt;"", $H5=IFERROR(INDEX($H:$H,5-1),""), $H5=IFERROR(INDEX($H:$H,5+1),""))</formula>
    </cfRule>
    <cfRule type="expression" priority="27" dxfId="1" stopIfTrue="1">
      <formula>AND($H5&lt;&gt;"", $H5=IFERROR(INDEX($H:$H,5-1),""), NOT($H5=IFERROR(INDEX($H:$H,5+1),"")))</formula>
    </cfRule>
    <cfRule type="expression" priority="48" dxfId="1" stopIfTrue="1">
      <formula>AND($H5&lt;&gt;"", $H5=IFERROR(INDEX($H:$H,5+1),""), NOT($H5=IFERROR(INDEX($H:$H,5-1),"")))</formula>
    </cfRule>
  </conditionalFormatting>
  <conditionalFormatting sqref="E6">
    <cfRule type="expression" priority="7" dxfId="0" stopIfTrue="1">
      <formula>AND($H6&lt;&gt;"", $H6=IFERROR(INDEX($H:$H,6-1),""), $H6=IFERROR(INDEX($H:$H,6+1),""))</formula>
    </cfRule>
    <cfRule type="expression" priority="28" dxfId="1" stopIfTrue="1">
      <formula>AND($H6&lt;&gt;"", $H6=IFERROR(INDEX($H:$H,6-1),""), NOT($H6=IFERROR(INDEX($H:$H,6+1),"")))</formula>
    </cfRule>
    <cfRule type="expression" priority="49" dxfId="1" stopIfTrue="1">
      <formula>AND($H6&lt;&gt;"", $H6=IFERROR(INDEX($H:$H,6+1),""), NOT($H6=IFERROR(INDEX($H:$H,6-1),"")))</formula>
    </cfRule>
  </conditionalFormatting>
  <conditionalFormatting sqref="F6">
    <cfRule type="expression" priority="8" dxfId="0" stopIfTrue="1">
      <formula>AND($H6&lt;&gt;"", $H6=IFERROR(INDEX($H:$H,6-1),""), $H6=IFERROR(INDEX($H:$H,6+1),""))</formula>
    </cfRule>
    <cfRule type="expression" priority="29" dxfId="1" stopIfTrue="1">
      <formula>AND($H6&lt;&gt;"", $H6=IFERROR(INDEX($H:$H,6-1),""), NOT($H6=IFERROR(INDEX($H:$H,6+1),"")))</formula>
    </cfRule>
    <cfRule type="expression" priority="50" dxfId="1" stopIfTrue="1">
      <formula>AND($H6&lt;&gt;"", $H6=IFERROR(INDEX($H:$H,6+1),""), NOT($H6=IFERROR(INDEX($H:$H,6-1),"")))</formula>
    </cfRule>
  </conditionalFormatting>
  <conditionalFormatting sqref="G6">
    <cfRule type="expression" priority="9" dxfId="0" stopIfTrue="1">
      <formula>AND($H6&lt;&gt;"", $H6=IFERROR(INDEX($H:$H,6-1),""), $H6=IFERROR(INDEX($H:$H,6+1),""))</formula>
    </cfRule>
    <cfRule type="expression" priority="30" dxfId="1" stopIfTrue="1">
      <formula>AND($H6&lt;&gt;"", $H6=IFERROR(INDEX($H:$H,6-1),""), NOT($H6=IFERROR(INDEX($H:$H,6+1),"")))</formula>
    </cfRule>
    <cfRule type="expression" priority="51" dxfId="1" stopIfTrue="1">
      <formula>AND($H6&lt;&gt;"", $H6=IFERROR(INDEX($H:$H,6+1),""), NOT($H6=IFERROR(INDEX($H:$H,6-1),"")))</formula>
    </cfRule>
  </conditionalFormatting>
  <conditionalFormatting sqref="E7">
    <cfRule type="expression" priority="10" dxfId="0" stopIfTrue="1">
      <formula>AND($H7&lt;&gt;"", $H7=IFERROR(INDEX($H:$H,7-1),""), $H7=IFERROR(INDEX($H:$H,7+1),""))</formula>
    </cfRule>
    <cfRule type="expression" priority="31" dxfId="1" stopIfTrue="1">
      <formula>AND($H7&lt;&gt;"", $H7=IFERROR(INDEX($H:$H,7-1),""), NOT($H7=IFERROR(INDEX($H:$H,7+1),"")))</formula>
    </cfRule>
    <cfRule type="expression" priority="52" dxfId="1" stopIfTrue="1">
      <formula>AND($H7&lt;&gt;"", $H7=IFERROR(INDEX($H:$H,7+1),""), NOT($H7=IFERROR(INDEX($H:$H,7-1),"")))</formula>
    </cfRule>
  </conditionalFormatting>
  <conditionalFormatting sqref="F7">
    <cfRule type="expression" priority="11" dxfId="0" stopIfTrue="1">
      <formula>AND($H7&lt;&gt;"", $H7=IFERROR(INDEX($H:$H,7-1),""), $H7=IFERROR(INDEX($H:$H,7+1),""))</formula>
    </cfRule>
    <cfRule type="expression" priority="32" dxfId="1" stopIfTrue="1">
      <formula>AND($H7&lt;&gt;"", $H7=IFERROR(INDEX($H:$H,7-1),""), NOT($H7=IFERROR(INDEX($H:$H,7+1),"")))</formula>
    </cfRule>
    <cfRule type="expression" priority="53" dxfId="1" stopIfTrue="1">
      <formula>AND($H7&lt;&gt;"", $H7=IFERROR(INDEX($H:$H,7+1),""), NOT($H7=IFERROR(INDEX($H:$H,7-1),"")))</formula>
    </cfRule>
  </conditionalFormatting>
  <conditionalFormatting sqref="G7">
    <cfRule type="expression" priority="12" dxfId="0" stopIfTrue="1">
      <formula>AND($H7&lt;&gt;"", $H7=IFERROR(INDEX($H:$H,7-1),""), $H7=IFERROR(INDEX($H:$H,7+1),""))</formula>
    </cfRule>
    <cfRule type="expression" priority="33" dxfId="1" stopIfTrue="1">
      <formula>AND($H7&lt;&gt;"", $H7=IFERROR(INDEX($H:$H,7-1),""), NOT($H7=IFERROR(INDEX($H:$H,7+1),"")))</formula>
    </cfRule>
    <cfRule type="expression" priority="54" dxfId="1" stopIfTrue="1">
      <formula>AND($H7&lt;&gt;"", $H7=IFERROR(INDEX($H:$H,7+1),""), NOT($H7=IFERROR(INDEX($H:$H,7-1),"")))</formula>
    </cfRule>
  </conditionalFormatting>
  <conditionalFormatting sqref="E8">
    <cfRule type="expression" priority="13" dxfId="0" stopIfTrue="1">
      <formula>AND($H8&lt;&gt;"", $H8=IFERROR(INDEX($H:$H,8-1),""), $H8=IFERROR(INDEX($H:$H,8+1),""))</formula>
    </cfRule>
    <cfRule type="expression" priority="34" dxfId="1" stopIfTrue="1">
      <formula>AND($H8&lt;&gt;"", $H8=IFERROR(INDEX($H:$H,8-1),""), NOT($H8=IFERROR(INDEX($H:$H,8+1),"")))</formula>
    </cfRule>
    <cfRule type="expression" priority="55" dxfId="1" stopIfTrue="1">
      <formula>AND($H8&lt;&gt;"", $H8=IFERROR(INDEX($H:$H,8+1),""), NOT($H8=IFERROR(INDEX($H:$H,8-1),"")))</formula>
    </cfRule>
  </conditionalFormatting>
  <conditionalFormatting sqref="F8">
    <cfRule type="expression" priority="14" dxfId="0" stopIfTrue="1">
      <formula>AND($H8&lt;&gt;"", $H8=IFERROR(INDEX($H:$H,8-1),""), $H8=IFERROR(INDEX($H:$H,8+1),""))</formula>
    </cfRule>
    <cfRule type="expression" priority="35" dxfId="1" stopIfTrue="1">
      <formula>AND($H8&lt;&gt;"", $H8=IFERROR(INDEX($H:$H,8-1),""), NOT($H8=IFERROR(INDEX($H:$H,8+1),"")))</formula>
    </cfRule>
    <cfRule type="expression" priority="56" dxfId="1" stopIfTrue="1">
      <formula>AND($H8&lt;&gt;"", $H8=IFERROR(INDEX($H:$H,8+1),""), NOT($H8=IFERROR(INDEX($H:$H,8-1),"")))</formula>
    </cfRule>
  </conditionalFormatting>
  <conditionalFormatting sqref="G8">
    <cfRule type="expression" priority="15" dxfId="0" stopIfTrue="1">
      <formula>AND($H8&lt;&gt;"", $H8=IFERROR(INDEX($H:$H,8-1),""), $H8=IFERROR(INDEX($H:$H,8+1),""))</formula>
    </cfRule>
    <cfRule type="expression" priority="36" dxfId="1" stopIfTrue="1">
      <formula>AND($H8&lt;&gt;"", $H8=IFERROR(INDEX($H:$H,8-1),""), NOT($H8=IFERROR(INDEX($H:$H,8+1),"")))</formula>
    </cfRule>
    <cfRule type="expression" priority="57" dxfId="1" stopIfTrue="1">
      <formula>AND($H8&lt;&gt;"", $H8=IFERROR(INDEX($H:$H,8+1),""), NOT($H8=IFERROR(INDEX($H:$H,8-1),"")))</formula>
    </cfRule>
  </conditionalFormatting>
  <conditionalFormatting sqref="E9">
    <cfRule type="expression" priority="16" dxfId="0" stopIfTrue="1">
      <formula>AND($H9&lt;&gt;"", $H9=IFERROR(INDEX($H:$H,9-1),""), $H9=IFERROR(INDEX($H:$H,9+1),""))</formula>
    </cfRule>
    <cfRule type="expression" priority="37" dxfId="1" stopIfTrue="1">
      <formula>AND($H9&lt;&gt;"", $H9=IFERROR(INDEX($H:$H,9-1),""), NOT($H9=IFERROR(INDEX($H:$H,9+1),"")))</formula>
    </cfRule>
    <cfRule type="expression" priority="58" dxfId="1" stopIfTrue="1">
      <formula>AND($H9&lt;&gt;"", $H9=IFERROR(INDEX($H:$H,9+1),""), NOT($H9=IFERROR(INDEX($H:$H,9-1),"")))</formula>
    </cfRule>
  </conditionalFormatting>
  <conditionalFormatting sqref="F9">
    <cfRule type="expression" priority="17" dxfId="0" stopIfTrue="1">
      <formula>AND($H9&lt;&gt;"", $H9=IFERROR(INDEX($H:$H,9-1),""), $H9=IFERROR(INDEX($H:$H,9+1),""))</formula>
    </cfRule>
    <cfRule type="expression" priority="38" dxfId="1" stopIfTrue="1">
      <formula>AND($H9&lt;&gt;"", $H9=IFERROR(INDEX($H:$H,9-1),""), NOT($H9=IFERROR(INDEX($H:$H,9+1),"")))</formula>
    </cfRule>
    <cfRule type="expression" priority="59" dxfId="1" stopIfTrue="1">
      <formula>AND($H9&lt;&gt;"", $H9=IFERROR(INDEX($H:$H,9+1),""), NOT($H9=IFERROR(INDEX($H:$H,9-1),"")))</formula>
    </cfRule>
  </conditionalFormatting>
  <conditionalFormatting sqref="G9">
    <cfRule type="expression" priority="18" dxfId="0" stopIfTrue="1">
      <formula>AND($H9&lt;&gt;"", $H9=IFERROR(INDEX($H:$H,9-1),""), $H9=IFERROR(INDEX($H:$H,9+1),""))</formula>
    </cfRule>
    <cfRule type="expression" priority="39" dxfId="1" stopIfTrue="1">
      <formula>AND($H9&lt;&gt;"", $H9=IFERROR(INDEX($H:$H,9-1),""), NOT($H9=IFERROR(INDEX($H:$H,9+1),"")))</formula>
    </cfRule>
    <cfRule type="expression" priority="60" dxfId="1" stopIfTrue="1">
      <formula>AND($H9&lt;&gt;"", $H9=IFERROR(INDEX($H:$H,9+1),""), NOT($H9=IFERROR(INDEX($H:$H,9-1),"")))</formula>
    </cfRule>
  </conditionalFormatting>
  <conditionalFormatting sqref="E10">
    <cfRule type="expression" priority="19" dxfId="0" stopIfTrue="1">
      <formula>AND($H10&lt;&gt;"", $H10=IFERROR(INDEX($H:$H,10-1),""), $H10=IFERROR(INDEX($H:$H,10+1),""))</formula>
    </cfRule>
    <cfRule type="expression" priority="40" dxfId="1" stopIfTrue="1">
      <formula>AND($H10&lt;&gt;"", $H10=IFERROR(INDEX($H:$H,10-1),""), NOT($H10=IFERROR(INDEX($H:$H,10+1),"")))</formula>
    </cfRule>
    <cfRule type="expression" priority="61" dxfId="1" stopIfTrue="1">
      <formula>AND($H10&lt;&gt;"", $H10=IFERROR(INDEX($H:$H,10+1),""), NOT($H10=IFERROR(INDEX($H:$H,10-1),"")))</formula>
    </cfRule>
  </conditionalFormatting>
  <conditionalFormatting sqref="F10">
    <cfRule type="expression" priority="20" dxfId="0" stopIfTrue="1">
      <formula>AND($H10&lt;&gt;"", $H10=IFERROR(INDEX($H:$H,10-1),""), $H10=IFERROR(INDEX($H:$H,10+1),""))</formula>
    </cfRule>
    <cfRule type="expression" priority="41" dxfId="1" stopIfTrue="1">
      <formula>AND($H10&lt;&gt;"", $H10=IFERROR(INDEX($H:$H,10-1),""), NOT($H10=IFERROR(INDEX($H:$H,10+1),"")))</formula>
    </cfRule>
    <cfRule type="expression" priority="62" dxfId="1" stopIfTrue="1">
      <formula>AND($H10&lt;&gt;"", $H10=IFERROR(INDEX($H:$H,10+1),""), NOT($H10=IFERROR(INDEX($H:$H,10-1),"")))</formula>
    </cfRule>
  </conditionalFormatting>
  <conditionalFormatting sqref="G10">
    <cfRule type="expression" priority="21" dxfId="0" stopIfTrue="1">
      <formula>AND($H10&lt;&gt;"", $H10=IFERROR(INDEX($H:$H,10-1),""), $H10=IFERROR(INDEX($H:$H,10+1),""))</formula>
    </cfRule>
    <cfRule type="expression" priority="42" dxfId="1" stopIfTrue="1">
      <formula>AND($H10&lt;&gt;"", $H10=IFERROR(INDEX($H:$H,10-1),""), NOT($H10=IFERROR(INDEX($H:$H,10+1),"")))</formula>
    </cfRule>
    <cfRule type="expression" priority="63" dxfId="1" stopIfTrue="1">
      <formula>AND($H10&lt;&gt;"", $H10=IFERROR(INDEX($H:$H,10+1),""), NOT($H10=IFERROR(INDEX($H:$H,10-1),"")))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6" customWidth="1" min="3" max="3"/>
    <col width="3" customWidth="1" min="4" max="4"/>
    <col width="16" customWidth="1" min="5" max="5"/>
    <col width="18" customWidth="1" min="6" max="6"/>
    <col width="42" customWidth="1" min="7" max="7"/>
    <col width="12" customWidth="1" min="8" max="8"/>
    <col width="18" customWidth="1" min="9" max="9"/>
  </cols>
  <sheetData>
    <row r="1">
      <c r="A1" t="inlineStr">
        <is>
          <t>Programacion Jueves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s="1" t="inlineStr">
        <is>
          <t>Hora inicio 1ra fila</t>
        </is>
      </c>
      <c r="I2" s="1" t="inlineStr">
        <is>
          <t>16:00</t>
        </is>
      </c>
    </row>
    <row r="3">
      <c r="A3" s="2" t="inlineStr">
        <is>
          <t>Programa</t>
        </is>
      </c>
      <c r="B3" s="2" t="inlineStr">
        <is>
          <t>Duracion (min)</t>
        </is>
      </c>
      <c r="C3" s="2" t="inlineStr">
        <is>
          <t>Tipo</t>
        </is>
      </c>
      <c r="D3" t="inlineStr"/>
      <c r="E3" s="3" t="inlineStr">
        <is>
          <t>Hora de inicio</t>
        </is>
      </c>
      <c r="F3" s="3" t="inlineStr">
        <is>
          <t>Hora de terminacion</t>
        </is>
      </c>
      <c r="G3" s="3" t="inlineStr">
        <is>
          <t>Programa</t>
        </is>
      </c>
      <c r="H3" t="inlineStr">
        <is>
          <t>Tipo calc</t>
        </is>
      </c>
      <c r="I3" t="inlineStr"/>
    </row>
    <row r="4">
      <c r="A4" s="4" t="inlineStr">
        <is>
          <t>EL TIEMPO Y LA MEMORIA</t>
        </is>
      </c>
      <c r="B4" s="4" t="n">
        <v>5</v>
      </c>
      <c r="C4" s="4" t="inlineStr">
        <is>
          <t>informativo</t>
        </is>
      </c>
      <c r="D4" t="inlineStr"/>
      <c r="E4" s="4">
        <f>IF(G4="","",$I2)</f>
        <v/>
      </c>
      <c r="F4" s="4">
        <f>IF(G4="","",TEXT(TIMEVALUE(E4) + IFERROR(VLOOKUP(G4,$A$4:$C$20,2,FALSE),0)/1440,"hh:mm"))</f>
        <v/>
      </c>
      <c r="G4" s="4" t="inlineStr">
        <is>
          <t>EL TIEMPO Y LA MEMORIA</t>
        </is>
      </c>
      <c r="H4">
        <f>IF(G4="","",IFERROR(VLOOKUP(G4,$A$4:$C$20,3,FALSE),""))</f>
        <v/>
      </c>
      <c r="I4" t="inlineStr"/>
    </row>
    <row r="5">
      <c r="A5" s="4" t="inlineStr">
        <is>
          <t>COORDENADAS</t>
        </is>
      </c>
      <c r="B5" s="4" t="n">
        <v>5</v>
      </c>
      <c r="C5" s="4" t="inlineStr">
        <is>
          <t>informativo</t>
        </is>
      </c>
      <c r="D5" t="inlineStr"/>
      <c r="E5" s="4">
        <f>IF(G5="","",F4)</f>
        <v/>
      </c>
      <c r="F5" s="4">
        <f>IF(G5="","",TEXT(TIMEVALUE(E5) + IFERROR(VLOOKUP(G5,$A$4:$C$20,2,FALSE),0)/1440,"hh:mm"))</f>
        <v/>
      </c>
      <c r="G5" s="4" t="inlineStr">
        <is>
          <t>COORDENADAS</t>
        </is>
      </c>
      <c r="H5">
        <f>IF(G5="","",IFERROR(VLOOKUP(G5,$A$4:$C$20,3,FALSE),""))</f>
        <v/>
      </c>
      <c r="I5" t="inlineStr"/>
    </row>
    <row r="6">
      <c r="A6" s="4" t="inlineStr">
        <is>
          <t>REVISTA HOLA HABANA</t>
        </is>
      </c>
      <c r="B6" s="4" t="n">
        <v>50</v>
      </c>
      <c r="C6" s="4" t="inlineStr">
        <is>
          <t>revista</t>
        </is>
      </c>
      <c r="D6" t="inlineStr"/>
      <c r="E6" s="4">
        <f>IF(G6="","",F5)</f>
        <v/>
      </c>
      <c r="F6" s="4">
        <f>IF(G6="","",TEXT(TIMEVALUE(E6) + IFERROR(VLOOKUP(G6,$A$4:$C$20,2,FALSE),0)/1440,"hh:mm"))</f>
        <v/>
      </c>
      <c r="G6" s="4" t="inlineStr">
        <is>
          <t>REVISTA HOLA HABANA</t>
        </is>
      </c>
      <c r="H6">
        <f>IF(G6="","",IFERROR(VLOOKUP(G6,$A$4:$C$20,3,FALSE),""))</f>
        <v/>
      </c>
      <c r="I6" t="inlineStr"/>
    </row>
    <row r="7">
      <c r="A7" s="4" t="inlineStr">
        <is>
          <t>SALUDARTE</t>
        </is>
      </c>
      <c r="B7" s="4" t="n">
        <v>15</v>
      </c>
      <c r="C7" s="4" t="inlineStr">
        <is>
          <t>salud</t>
        </is>
      </c>
      <c r="D7" t="inlineStr"/>
      <c r="E7" s="4">
        <f>IF(G7="","",F6)</f>
        <v/>
      </c>
      <c r="F7" s="4">
        <f>IF(G7="","",TEXT(TIMEVALUE(E7) + IFERROR(VLOOKUP(G7,$A$4:$C$20,2,FALSE),0)/1440,"hh:mm"))</f>
        <v/>
      </c>
      <c r="G7" s="4" t="inlineStr">
        <is>
          <t>SALUDARTE</t>
        </is>
      </c>
      <c r="H7">
        <f>IF(G7="","",IFERROR(VLOOKUP(G7,$A$4:$C$20,3,FALSE),""))</f>
        <v/>
      </c>
      <c r="I7" t="inlineStr"/>
    </row>
    <row r="8">
      <c r="A8" s="4" t="inlineStr">
        <is>
          <t>SECUENCIA</t>
        </is>
      </c>
      <c r="B8" s="4" t="n">
        <v>15</v>
      </c>
      <c r="C8" s="4" t="inlineStr">
        <is>
          <t>cultural</t>
        </is>
      </c>
      <c r="D8" t="inlineStr"/>
      <c r="E8" s="4">
        <f>IF(G8="","",F7)</f>
        <v/>
      </c>
      <c r="F8" s="4">
        <f>IF(G8="","",TEXT(TIMEVALUE(E8) + IFERROR(VLOOKUP(G8,$A$4:$C$20,2,FALSE),0)/1440,"hh:mm"))</f>
        <v/>
      </c>
      <c r="G8" s="4" t="inlineStr">
        <is>
          <t>SECUENCIA</t>
        </is>
      </c>
      <c r="H8">
        <f>IF(G8="","",IFERROR(VLOOKUP(G8,$A$4:$C$20,3,FALSE),""))</f>
        <v/>
      </c>
      <c r="I8" t="inlineStr"/>
    </row>
    <row r="9">
      <c r="A9" s="4" t="inlineStr">
        <is>
          <t>HABANA NOTICIARIO</t>
        </is>
      </c>
      <c r="B9" s="4" t="n">
        <v>30</v>
      </c>
      <c r="C9" s="4" t="inlineStr">
        <is>
          <t>informativo</t>
        </is>
      </c>
      <c r="D9" t="inlineStr"/>
      <c r="E9" s="4">
        <f>IF(G9="","",F8)</f>
        <v/>
      </c>
      <c r="F9" s="4">
        <f>IF(G9="","",TEXT(TIMEVALUE(E9) + IFERROR(VLOOKUP(G9,$A$4:$C$20,2,FALSE),0)/1440,"hh:mm"))</f>
        <v/>
      </c>
      <c r="G9" s="4" t="inlineStr">
        <is>
          <t>HABANA NOTICIARIO</t>
        </is>
      </c>
      <c r="H9">
        <f>IF(G9="","",IFERROR(VLOOKUP(G9,$A$4:$C$20,3,FALSE),""))</f>
        <v/>
      </c>
      <c r="I9" t="inlineStr"/>
    </row>
    <row r="10">
      <c r="A10" s="4" t="inlineStr">
        <is>
          <t>CAZADOR DE TROLES</t>
        </is>
      </c>
      <c r="B10" s="4" t="n">
        <v>30</v>
      </c>
      <c r="C10" s="4" t="inlineStr">
        <is>
          <t>infantil</t>
        </is>
      </c>
      <c r="D10" t="inlineStr"/>
      <c r="E10" s="4">
        <f>IF(G10="","",F9)</f>
        <v/>
      </c>
      <c r="F10" s="4">
        <f>IF(G10="","",TEXT(TIMEVALUE(E10) + IFERROR(VLOOKUP(G10,$A$4:$C$20,2,FALSE),0)/1440,"hh:mm"))</f>
        <v/>
      </c>
      <c r="G10" s="4" t="inlineStr">
        <is>
          <t>CAZADOR DE TROLES</t>
        </is>
      </c>
      <c r="H10">
        <f>IF(G10="","",IFERROR(VLOOKUP(G10,$A$4:$C$20,3,FALSE),""))</f>
        <v/>
      </c>
      <c r="I10" t="inlineStr"/>
    </row>
    <row r="11">
      <c r="A11" s="4" t="inlineStr">
        <is>
          <t>EL MUNDO DE CRAIG</t>
        </is>
      </c>
      <c r="B11" s="4" t="n">
        <v>15</v>
      </c>
      <c r="C11" s="4" t="inlineStr">
        <is>
          <t>animacion</t>
        </is>
      </c>
      <c r="D11" t="inlineStr"/>
      <c r="E11" s="4">
        <f>IF(G11="","",F10)</f>
        <v/>
      </c>
      <c r="F11" s="4">
        <f>IF(G11="","",TEXT(TIMEVALUE(E11) + IFERROR(VLOOKUP(G11,$A$4:$C$20,2,FALSE),0)/1440,"hh:mm"))</f>
        <v/>
      </c>
      <c r="G11" s="4" t="inlineStr">
        <is>
          <t>EL MUNDO DE CRAIG</t>
        </is>
      </c>
      <c r="H11">
        <f>IF(G11="","",IFERROR(VLOOKUP(G11,$A$4:$C$20,3,FALSE),""))</f>
        <v/>
      </c>
      <c r="I11" t="inlineStr"/>
    </row>
    <row r="12">
      <c r="A12" s="4" t="inlineStr">
        <is>
          <t>ÁNIMA</t>
        </is>
      </c>
      <c r="B12" s="4" t="n">
        <v>45</v>
      </c>
      <c r="C12" s="4" t="inlineStr">
        <is>
          <t>animacion</t>
        </is>
      </c>
      <c r="D12" t="inlineStr"/>
      <c r="E12" s="4">
        <f>IF(G12="","",F11)</f>
        <v/>
      </c>
      <c r="F12" s="4">
        <f>IF(G12="","",TEXT(TIMEVALUE(E12) + IFERROR(VLOOKUP(G12,$A$4:$C$20,2,FALSE),0)/1440,"hh:mm"))</f>
        <v/>
      </c>
      <c r="G12" s="4" t="inlineStr">
        <is>
          <t>ÁNIMA</t>
        </is>
      </c>
      <c r="H12">
        <f>IF(G12="","",IFERROR(VLOOKUP(G12,$A$4:$C$20,3,FALSE),""))</f>
        <v/>
      </c>
      <c r="I12" t="inlineStr"/>
    </row>
    <row r="13">
      <c r="A13" s="4" t="inlineStr">
        <is>
          <t>PAPEL EN BLANCO</t>
        </is>
      </c>
      <c r="B13" s="4" t="n">
        <v>30</v>
      </c>
      <c r="C13" s="4" t="inlineStr">
        <is>
          <t>cultural</t>
        </is>
      </c>
      <c r="D13" t="inlineStr"/>
      <c r="E13" s="4">
        <f>IF(G13="","",F12)</f>
        <v/>
      </c>
      <c r="F13" s="4">
        <f>IF(G13="","",TEXT(TIMEVALUE(E13) + IFERROR(VLOOKUP(G13,$A$4:$C$20,2,FALSE),0)/1440,"hh:mm"))</f>
        <v/>
      </c>
      <c r="G13" s="4" t="inlineStr">
        <is>
          <t>PAPEL EN BLANCO</t>
        </is>
      </c>
      <c r="H13">
        <f>IF(G13="","",IFERROR(VLOOKUP(G13,$A$4:$C$20,3,FALSE),""))</f>
        <v/>
      </c>
      <c r="I13" t="inlineStr"/>
    </row>
    <row r="14">
      <c r="A14" s="4" t="inlineStr">
        <is>
          <t>MÚSICA DEL MUNDO</t>
        </is>
      </c>
      <c r="B14" s="4" t="n">
        <v>30</v>
      </c>
      <c r="C14" s="4" t="inlineStr">
        <is>
          <t>musical</t>
        </is>
      </c>
      <c r="D14" t="inlineStr"/>
      <c r="E14" s="4">
        <f>IF(G14="","",F13)</f>
        <v/>
      </c>
      <c r="F14" s="4">
        <f>IF(G14="","",TEXT(TIMEVALUE(E14) + IFERROR(VLOOKUP(G14,$A$4:$C$20,2,FALSE),0)/1440,"hh:mm"))</f>
        <v/>
      </c>
      <c r="G14" s="4" t="inlineStr">
        <is>
          <t>MÚSICA DEL MUNDO</t>
        </is>
      </c>
      <c r="H14">
        <f>IF(G14="","",IFERROR(VLOOKUP(G14,$A$4:$C$20,3,FALSE),""))</f>
        <v/>
      </c>
      <c r="I14" t="inlineStr"/>
    </row>
    <row r="15">
      <c r="A15" s="4" t="inlineStr">
        <is>
          <t>TRAVESÍA</t>
        </is>
      </c>
      <c r="B15" s="4" t="n">
        <v>15</v>
      </c>
      <c r="C15" s="4" t="inlineStr">
        <is>
          <t>cultural</t>
        </is>
      </c>
      <c r="D15" t="inlineStr"/>
      <c r="E15" s="4">
        <f>IF(G15="","",F14)</f>
        <v/>
      </c>
      <c r="F15" s="4">
        <f>IF(G15="","",TEXT(TIMEVALUE(E15) + IFERROR(VLOOKUP(G15,$A$4:$C$20,2,FALSE),0)/1440,"hh:mm"))</f>
        <v/>
      </c>
      <c r="G15" s="4" t="inlineStr">
        <is>
          <t>TRAVESÍA</t>
        </is>
      </c>
      <c r="H15">
        <f>IF(G15="","",IFERROR(VLOOKUP(G15,$A$4:$C$20,3,FALSE),""))</f>
        <v/>
      </c>
      <c r="I15" t="inlineStr"/>
    </row>
    <row r="16">
      <c r="A16" s="4" t="inlineStr">
        <is>
          <t>DONDE VA LA HABANA</t>
        </is>
      </c>
      <c r="B16" s="4" t="n">
        <v>15</v>
      </c>
      <c r="C16" s="4" t="inlineStr">
        <is>
          <t>cultural</t>
        </is>
      </c>
      <c r="D16" t="inlineStr"/>
      <c r="E16" s="4">
        <f>IF(G16="","",F15)</f>
        <v/>
      </c>
      <c r="F16" s="4">
        <f>IF(G16="","",TEXT(TIMEVALUE(E16) + IFERROR(VLOOKUP(G16,$A$4:$C$20,2,FALSE),0)/1440,"hh:mm"))</f>
        <v/>
      </c>
      <c r="G16" s="4" t="inlineStr">
        <is>
          <t>DONDE VA LA HABANA</t>
        </is>
      </c>
      <c r="H16">
        <f>IF(G16="","",IFERROR(VLOOKUP(G16,$A$4:$C$20,3,FALSE),""))</f>
        <v/>
      </c>
      <c r="I16" t="inlineStr"/>
    </row>
    <row r="17">
      <c r="A17" s="4" t="inlineStr">
        <is>
          <t>BANDA SONORA</t>
        </is>
      </c>
      <c r="B17" s="4" t="n">
        <v>30</v>
      </c>
      <c r="C17" s="4" t="inlineStr">
        <is>
          <t>musical</t>
        </is>
      </c>
      <c r="D17" t="inlineStr"/>
      <c r="E17" s="4">
        <f>IF(G17="","",F16)</f>
        <v/>
      </c>
      <c r="F17" s="4">
        <f>IF(G17="","",TEXT(TIMEVALUE(E17) + IFERROR(VLOOKUP(G17,$A$4:$C$20,2,FALSE),0)/1440,"hh:mm"))</f>
        <v/>
      </c>
      <c r="G17" s="4" t="inlineStr">
        <is>
          <t>BANDA SONORA</t>
        </is>
      </c>
      <c r="H17">
        <f>IF(G17="","",IFERROR(VLOOKUP(G17,$A$4:$C$20,3,FALSE),""))</f>
        <v/>
      </c>
      <c r="I17" t="inlineStr"/>
    </row>
    <row r="18">
      <c r="A18" s="4" t="inlineStr">
        <is>
          <t>ESTA ES MI PEÑA</t>
        </is>
      </c>
      <c r="B18" s="4" t="n">
        <v>30</v>
      </c>
      <c r="C18" s="4" t="inlineStr">
        <is>
          <t>musical</t>
        </is>
      </c>
      <c r="D18" t="inlineStr"/>
      <c r="E18" s="4">
        <f>IF(G18="","",F17)</f>
        <v/>
      </c>
      <c r="F18" s="4">
        <f>IF(G18="","",TEXT(TIMEVALUE(E18) + IFERROR(VLOOKUP(G18,$A$4:$C$20,2,FALSE),0)/1440,"hh:mm"))</f>
        <v/>
      </c>
      <c r="G18" s="4" t="inlineStr">
        <is>
          <t>ESTA ES MI PEÑA</t>
        </is>
      </c>
      <c r="H18">
        <f>IF(G18="","",IFERROR(VLOOKUP(G18,$A$4:$C$20,3,FALSE),""))</f>
        <v/>
      </c>
      <c r="I18" t="inlineStr"/>
    </row>
    <row r="19">
      <c r="A19" s="4" t="inlineStr">
        <is>
          <t>NOVELA “LA NIETA ELEGIDA”</t>
        </is>
      </c>
      <c r="B19" s="4" t="n">
        <v>45</v>
      </c>
      <c r="C19" s="4" t="inlineStr">
        <is>
          <t>ficción</t>
        </is>
      </c>
      <c r="D19" t="inlineStr"/>
      <c r="E19" s="4">
        <f>IF(G19="","",F18)</f>
        <v/>
      </c>
      <c r="F19" s="4">
        <f>IF(G19="","",TEXT(TIMEVALUE(E19) + IFERROR(VLOOKUP(G19,$A$4:$C$20,2,FALSE),0)/1440,"hh:mm"))</f>
        <v/>
      </c>
      <c r="G19" s="4" t="inlineStr">
        <is>
          <t>NOVELA “LA NIETA ELEGIDA”</t>
        </is>
      </c>
      <c r="H19">
        <f>IF(G19="","",IFERROR(VLOOKUP(G19,$A$4:$C$20,3,FALSE),""))</f>
        <v/>
      </c>
      <c r="I19" t="inlineStr"/>
    </row>
    <row r="20">
      <c r="A20" s="4" t="inlineStr">
        <is>
          <t>SERIE “CRÍMENES MAYORES”</t>
        </is>
      </c>
      <c r="B20" s="4" t="n">
        <v>45</v>
      </c>
      <c r="C20" s="4" t="inlineStr">
        <is>
          <t>ficción</t>
        </is>
      </c>
      <c r="D20" t="inlineStr"/>
      <c r="E20" s="4">
        <f>IF(G20="","",F19)</f>
        <v/>
      </c>
      <c r="F20" s="4">
        <f>IF(G20="","",TEXT(TIMEVALUE(E20) + IFERROR(VLOOKUP(G20,$A$4:$C$20,2,FALSE),0)/1440,"hh:mm"))</f>
        <v/>
      </c>
      <c r="G20" s="4" t="inlineStr">
        <is>
          <t>HABANA NOTICIARIO</t>
        </is>
      </c>
      <c r="H20">
        <f>IF(G20="","",IFERROR(VLOOKUP(G20,$A$4:$C$20,3,FALSE),""))</f>
        <v/>
      </c>
      <c r="I20" t="inlineStr"/>
    </row>
    <row r="21">
      <c r="A21" t="inlineStr"/>
      <c r="B21" t="inlineStr"/>
      <c r="C21" t="inlineStr"/>
      <c r="D21" t="inlineStr"/>
      <c r="E21" s="4">
        <f>IF(G21="","",F20)</f>
        <v/>
      </c>
      <c r="F21" s="4">
        <f>IF(G21="","",TEXT(TIMEVALUE(E21) + IFERROR(VLOOKUP(G21,$A$4:$C$20,2,FALSE),0)/1440,"hh:mm"))</f>
        <v/>
      </c>
      <c r="G21" s="4" t="inlineStr">
        <is>
          <t>SERIE “CRÍMENES MAYORES”</t>
        </is>
      </c>
      <c r="H21">
        <f>IF(G21="","",IFERROR(VLOOKUP(G21,$A$4:$C$20,3,FALSE),""))</f>
        <v/>
      </c>
      <c r="I21" t="inlineStr"/>
    </row>
  </sheetData>
  <conditionalFormatting sqref="E4">
    <cfRule type="expression" priority="1" dxfId="0" stopIfTrue="1">
      <formula>AND($H4&lt;&gt;"", $H4=IFERROR(INDEX($H:$H,4-1),""), $H4=IFERROR(INDEX($H:$H,4+1),""))</formula>
    </cfRule>
    <cfRule type="expression" priority="55" dxfId="1" stopIfTrue="1">
      <formula>AND($H4&lt;&gt;"", $H4=IFERROR(INDEX($H:$H,4-1),""), NOT($H4=IFERROR(INDEX($H:$H,4+1),"")))</formula>
    </cfRule>
    <cfRule type="expression" priority="109" dxfId="1" stopIfTrue="1">
      <formula>AND($H4&lt;&gt;"", $H4=IFERROR(INDEX($H:$H,4+1),""), NOT($H4=IFERROR(INDEX($H:$H,4-1),"")))</formula>
    </cfRule>
  </conditionalFormatting>
  <conditionalFormatting sqref="F4">
    <cfRule type="expression" priority="2" dxfId="0" stopIfTrue="1">
      <formula>AND($H4&lt;&gt;"", $H4=IFERROR(INDEX($H:$H,4-1),""), $H4=IFERROR(INDEX($H:$H,4+1),""))</formula>
    </cfRule>
    <cfRule type="expression" priority="56" dxfId="1" stopIfTrue="1">
      <formula>AND($H4&lt;&gt;"", $H4=IFERROR(INDEX($H:$H,4-1),""), NOT($H4=IFERROR(INDEX($H:$H,4+1),"")))</formula>
    </cfRule>
    <cfRule type="expression" priority="110" dxfId="1" stopIfTrue="1">
      <formula>AND($H4&lt;&gt;"", $H4=IFERROR(INDEX($H:$H,4+1),""), NOT($H4=IFERROR(INDEX($H:$H,4-1),"")))</formula>
    </cfRule>
  </conditionalFormatting>
  <conditionalFormatting sqref="G4">
    <cfRule type="expression" priority="3" dxfId="0" stopIfTrue="1">
      <formula>AND($H4&lt;&gt;"", $H4=IFERROR(INDEX($H:$H,4-1),""), $H4=IFERROR(INDEX($H:$H,4+1),""))</formula>
    </cfRule>
    <cfRule type="expression" priority="57" dxfId="1" stopIfTrue="1">
      <formula>AND($H4&lt;&gt;"", $H4=IFERROR(INDEX($H:$H,4-1),""), NOT($H4=IFERROR(INDEX($H:$H,4+1),"")))</formula>
    </cfRule>
    <cfRule type="expression" priority="111" dxfId="1" stopIfTrue="1">
      <formula>AND($H4&lt;&gt;"", $H4=IFERROR(INDEX($H:$H,4+1),""), NOT($H4=IFERROR(INDEX($H:$H,4-1),"")))</formula>
    </cfRule>
  </conditionalFormatting>
  <conditionalFormatting sqref="E5">
    <cfRule type="expression" priority="4" dxfId="0" stopIfTrue="1">
      <formula>AND($H5&lt;&gt;"", $H5=IFERROR(INDEX($H:$H,5-1),""), $H5=IFERROR(INDEX($H:$H,5+1),""))</formula>
    </cfRule>
    <cfRule type="expression" priority="58" dxfId="1" stopIfTrue="1">
      <formula>AND($H5&lt;&gt;"", $H5=IFERROR(INDEX($H:$H,5-1),""), NOT($H5=IFERROR(INDEX($H:$H,5+1),"")))</formula>
    </cfRule>
    <cfRule type="expression" priority="112" dxfId="1" stopIfTrue="1">
      <formula>AND($H5&lt;&gt;"", $H5=IFERROR(INDEX($H:$H,5+1),""), NOT($H5=IFERROR(INDEX($H:$H,5-1),"")))</formula>
    </cfRule>
  </conditionalFormatting>
  <conditionalFormatting sqref="F5">
    <cfRule type="expression" priority="5" dxfId="0" stopIfTrue="1">
      <formula>AND($H5&lt;&gt;"", $H5=IFERROR(INDEX($H:$H,5-1),""), $H5=IFERROR(INDEX($H:$H,5+1),""))</formula>
    </cfRule>
    <cfRule type="expression" priority="59" dxfId="1" stopIfTrue="1">
      <formula>AND($H5&lt;&gt;"", $H5=IFERROR(INDEX($H:$H,5-1),""), NOT($H5=IFERROR(INDEX($H:$H,5+1),"")))</formula>
    </cfRule>
    <cfRule type="expression" priority="113" dxfId="1" stopIfTrue="1">
      <formula>AND($H5&lt;&gt;"", $H5=IFERROR(INDEX($H:$H,5+1),""), NOT($H5=IFERROR(INDEX($H:$H,5-1),"")))</formula>
    </cfRule>
  </conditionalFormatting>
  <conditionalFormatting sqref="G5">
    <cfRule type="expression" priority="6" dxfId="0" stopIfTrue="1">
      <formula>AND($H5&lt;&gt;"", $H5=IFERROR(INDEX($H:$H,5-1),""), $H5=IFERROR(INDEX($H:$H,5+1),""))</formula>
    </cfRule>
    <cfRule type="expression" priority="60" dxfId="1" stopIfTrue="1">
      <formula>AND($H5&lt;&gt;"", $H5=IFERROR(INDEX($H:$H,5-1),""), NOT($H5=IFERROR(INDEX($H:$H,5+1),"")))</formula>
    </cfRule>
    <cfRule type="expression" priority="114" dxfId="1" stopIfTrue="1">
      <formula>AND($H5&lt;&gt;"", $H5=IFERROR(INDEX($H:$H,5+1),""), NOT($H5=IFERROR(INDEX($H:$H,5-1),"")))</formula>
    </cfRule>
  </conditionalFormatting>
  <conditionalFormatting sqref="E6">
    <cfRule type="expression" priority="7" dxfId="0" stopIfTrue="1">
      <formula>AND($H6&lt;&gt;"", $H6=IFERROR(INDEX($H:$H,6-1),""), $H6=IFERROR(INDEX($H:$H,6+1),""))</formula>
    </cfRule>
    <cfRule type="expression" priority="61" dxfId="1" stopIfTrue="1">
      <formula>AND($H6&lt;&gt;"", $H6=IFERROR(INDEX($H:$H,6-1),""), NOT($H6=IFERROR(INDEX($H:$H,6+1),"")))</formula>
    </cfRule>
    <cfRule type="expression" priority="115" dxfId="1" stopIfTrue="1">
      <formula>AND($H6&lt;&gt;"", $H6=IFERROR(INDEX($H:$H,6+1),""), NOT($H6=IFERROR(INDEX($H:$H,6-1),"")))</formula>
    </cfRule>
  </conditionalFormatting>
  <conditionalFormatting sqref="F6">
    <cfRule type="expression" priority="8" dxfId="0" stopIfTrue="1">
      <formula>AND($H6&lt;&gt;"", $H6=IFERROR(INDEX($H:$H,6-1),""), $H6=IFERROR(INDEX($H:$H,6+1),""))</formula>
    </cfRule>
    <cfRule type="expression" priority="62" dxfId="1" stopIfTrue="1">
      <formula>AND($H6&lt;&gt;"", $H6=IFERROR(INDEX($H:$H,6-1),""), NOT($H6=IFERROR(INDEX($H:$H,6+1),"")))</formula>
    </cfRule>
    <cfRule type="expression" priority="116" dxfId="1" stopIfTrue="1">
      <formula>AND($H6&lt;&gt;"", $H6=IFERROR(INDEX($H:$H,6+1),""), NOT($H6=IFERROR(INDEX($H:$H,6-1),"")))</formula>
    </cfRule>
  </conditionalFormatting>
  <conditionalFormatting sqref="G6">
    <cfRule type="expression" priority="9" dxfId="0" stopIfTrue="1">
      <formula>AND($H6&lt;&gt;"", $H6=IFERROR(INDEX($H:$H,6-1),""), $H6=IFERROR(INDEX($H:$H,6+1),""))</formula>
    </cfRule>
    <cfRule type="expression" priority="63" dxfId="1" stopIfTrue="1">
      <formula>AND($H6&lt;&gt;"", $H6=IFERROR(INDEX($H:$H,6-1),""), NOT($H6=IFERROR(INDEX($H:$H,6+1),"")))</formula>
    </cfRule>
    <cfRule type="expression" priority="117" dxfId="1" stopIfTrue="1">
      <formula>AND($H6&lt;&gt;"", $H6=IFERROR(INDEX($H:$H,6+1),""), NOT($H6=IFERROR(INDEX($H:$H,6-1),"")))</formula>
    </cfRule>
  </conditionalFormatting>
  <conditionalFormatting sqref="E7">
    <cfRule type="expression" priority="10" dxfId="0" stopIfTrue="1">
      <formula>AND($H7&lt;&gt;"", $H7=IFERROR(INDEX($H:$H,7-1),""), $H7=IFERROR(INDEX($H:$H,7+1),""))</formula>
    </cfRule>
    <cfRule type="expression" priority="64" dxfId="1" stopIfTrue="1">
      <formula>AND($H7&lt;&gt;"", $H7=IFERROR(INDEX($H:$H,7-1),""), NOT($H7=IFERROR(INDEX($H:$H,7+1),"")))</formula>
    </cfRule>
    <cfRule type="expression" priority="118" dxfId="1" stopIfTrue="1">
      <formula>AND($H7&lt;&gt;"", $H7=IFERROR(INDEX($H:$H,7+1),""), NOT($H7=IFERROR(INDEX($H:$H,7-1),"")))</formula>
    </cfRule>
  </conditionalFormatting>
  <conditionalFormatting sqref="F7">
    <cfRule type="expression" priority="11" dxfId="0" stopIfTrue="1">
      <formula>AND($H7&lt;&gt;"", $H7=IFERROR(INDEX($H:$H,7-1),""), $H7=IFERROR(INDEX($H:$H,7+1),""))</formula>
    </cfRule>
    <cfRule type="expression" priority="65" dxfId="1" stopIfTrue="1">
      <formula>AND($H7&lt;&gt;"", $H7=IFERROR(INDEX($H:$H,7-1),""), NOT($H7=IFERROR(INDEX($H:$H,7+1),"")))</formula>
    </cfRule>
    <cfRule type="expression" priority="119" dxfId="1" stopIfTrue="1">
      <formula>AND($H7&lt;&gt;"", $H7=IFERROR(INDEX($H:$H,7+1),""), NOT($H7=IFERROR(INDEX($H:$H,7-1),"")))</formula>
    </cfRule>
  </conditionalFormatting>
  <conditionalFormatting sqref="G7">
    <cfRule type="expression" priority="12" dxfId="0" stopIfTrue="1">
      <formula>AND($H7&lt;&gt;"", $H7=IFERROR(INDEX($H:$H,7-1),""), $H7=IFERROR(INDEX($H:$H,7+1),""))</formula>
    </cfRule>
    <cfRule type="expression" priority="66" dxfId="1" stopIfTrue="1">
      <formula>AND($H7&lt;&gt;"", $H7=IFERROR(INDEX($H:$H,7-1),""), NOT($H7=IFERROR(INDEX($H:$H,7+1),"")))</formula>
    </cfRule>
    <cfRule type="expression" priority="120" dxfId="1" stopIfTrue="1">
      <formula>AND($H7&lt;&gt;"", $H7=IFERROR(INDEX($H:$H,7+1),""), NOT($H7=IFERROR(INDEX($H:$H,7-1),"")))</formula>
    </cfRule>
  </conditionalFormatting>
  <conditionalFormatting sqref="E8">
    <cfRule type="expression" priority="13" dxfId="0" stopIfTrue="1">
      <formula>AND($H8&lt;&gt;"", $H8=IFERROR(INDEX($H:$H,8-1),""), $H8=IFERROR(INDEX($H:$H,8+1),""))</formula>
    </cfRule>
    <cfRule type="expression" priority="67" dxfId="1" stopIfTrue="1">
      <formula>AND($H8&lt;&gt;"", $H8=IFERROR(INDEX($H:$H,8-1),""), NOT($H8=IFERROR(INDEX($H:$H,8+1),"")))</formula>
    </cfRule>
    <cfRule type="expression" priority="121" dxfId="1" stopIfTrue="1">
      <formula>AND($H8&lt;&gt;"", $H8=IFERROR(INDEX($H:$H,8+1),""), NOT($H8=IFERROR(INDEX($H:$H,8-1),"")))</formula>
    </cfRule>
  </conditionalFormatting>
  <conditionalFormatting sqref="F8">
    <cfRule type="expression" priority="14" dxfId="0" stopIfTrue="1">
      <formula>AND($H8&lt;&gt;"", $H8=IFERROR(INDEX($H:$H,8-1),""), $H8=IFERROR(INDEX($H:$H,8+1),""))</formula>
    </cfRule>
    <cfRule type="expression" priority="68" dxfId="1" stopIfTrue="1">
      <formula>AND($H8&lt;&gt;"", $H8=IFERROR(INDEX($H:$H,8-1),""), NOT($H8=IFERROR(INDEX($H:$H,8+1),"")))</formula>
    </cfRule>
    <cfRule type="expression" priority="122" dxfId="1" stopIfTrue="1">
      <formula>AND($H8&lt;&gt;"", $H8=IFERROR(INDEX($H:$H,8+1),""), NOT($H8=IFERROR(INDEX($H:$H,8-1),"")))</formula>
    </cfRule>
  </conditionalFormatting>
  <conditionalFormatting sqref="G8">
    <cfRule type="expression" priority="15" dxfId="0" stopIfTrue="1">
      <formula>AND($H8&lt;&gt;"", $H8=IFERROR(INDEX($H:$H,8-1),""), $H8=IFERROR(INDEX($H:$H,8+1),""))</formula>
    </cfRule>
    <cfRule type="expression" priority="69" dxfId="1" stopIfTrue="1">
      <formula>AND($H8&lt;&gt;"", $H8=IFERROR(INDEX($H:$H,8-1),""), NOT($H8=IFERROR(INDEX($H:$H,8+1),"")))</formula>
    </cfRule>
    <cfRule type="expression" priority="123" dxfId="1" stopIfTrue="1">
      <formula>AND($H8&lt;&gt;"", $H8=IFERROR(INDEX($H:$H,8+1),""), NOT($H8=IFERROR(INDEX($H:$H,8-1),"")))</formula>
    </cfRule>
  </conditionalFormatting>
  <conditionalFormatting sqref="E9">
    <cfRule type="expression" priority="16" dxfId="0" stopIfTrue="1">
      <formula>AND($H9&lt;&gt;"", $H9=IFERROR(INDEX($H:$H,9-1),""), $H9=IFERROR(INDEX($H:$H,9+1),""))</formula>
    </cfRule>
    <cfRule type="expression" priority="70" dxfId="1" stopIfTrue="1">
      <formula>AND($H9&lt;&gt;"", $H9=IFERROR(INDEX($H:$H,9-1),""), NOT($H9=IFERROR(INDEX($H:$H,9+1),"")))</formula>
    </cfRule>
    <cfRule type="expression" priority="124" dxfId="1" stopIfTrue="1">
      <formula>AND($H9&lt;&gt;"", $H9=IFERROR(INDEX($H:$H,9+1),""), NOT($H9=IFERROR(INDEX($H:$H,9-1),"")))</formula>
    </cfRule>
  </conditionalFormatting>
  <conditionalFormatting sqref="F9">
    <cfRule type="expression" priority="17" dxfId="0" stopIfTrue="1">
      <formula>AND($H9&lt;&gt;"", $H9=IFERROR(INDEX($H:$H,9-1),""), $H9=IFERROR(INDEX($H:$H,9+1),""))</formula>
    </cfRule>
    <cfRule type="expression" priority="71" dxfId="1" stopIfTrue="1">
      <formula>AND($H9&lt;&gt;"", $H9=IFERROR(INDEX($H:$H,9-1),""), NOT($H9=IFERROR(INDEX($H:$H,9+1),"")))</formula>
    </cfRule>
    <cfRule type="expression" priority="125" dxfId="1" stopIfTrue="1">
      <formula>AND($H9&lt;&gt;"", $H9=IFERROR(INDEX($H:$H,9+1),""), NOT($H9=IFERROR(INDEX($H:$H,9-1),"")))</formula>
    </cfRule>
  </conditionalFormatting>
  <conditionalFormatting sqref="G9">
    <cfRule type="expression" priority="18" dxfId="0" stopIfTrue="1">
      <formula>AND($H9&lt;&gt;"", $H9=IFERROR(INDEX($H:$H,9-1),""), $H9=IFERROR(INDEX($H:$H,9+1),""))</formula>
    </cfRule>
    <cfRule type="expression" priority="72" dxfId="1" stopIfTrue="1">
      <formula>AND($H9&lt;&gt;"", $H9=IFERROR(INDEX($H:$H,9-1),""), NOT($H9=IFERROR(INDEX($H:$H,9+1),"")))</formula>
    </cfRule>
    <cfRule type="expression" priority="126" dxfId="1" stopIfTrue="1">
      <formula>AND($H9&lt;&gt;"", $H9=IFERROR(INDEX($H:$H,9+1),""), NOT($H9=IFERROR(INDEX($H:$H,9-1),"")))</formula>
    </cfRule>
  </conditionalFormatting>
  <conditionalFormatting sqref="E10">
    <cfRule type="expression" priority="19" dxfId="0" stopIfTrue="1">
      <formula>AND($H10&lt;&gt;"", $H10=IFERROR(INDEX($H:$H,10-1),""), $H10=IFERROR(INDEX($H:$H,10+1),""))</formula>
    </cfRule>
    <cfRule type="expression" priority="73" dxfId="1" stopIfTrue="1">
      <formula>AND($H10&lt;&gt;"", $H10=IFERROR(INDEX($H:$H,10-1),""), NOT($H10=IFERROR(INDEX($H:$H,10+1),"")))</formula>
    </cfRule>
    <cfRule type="expression" priority="127" dxfId="1" stopIfTrue="1">
      <formula>AND($H10&lt;&gt;"", $H10=IFERROR(INDEX($H:$H,10+1),""), NOT($H10=IFERROR(INDEX($H:$H,10-1),"")))</formula>
    </cfRule>
  </conditionalFormatting>
  <conditionalFormatting sqref="F10">
    <cfRule type="expression" priority="20" dxfId="0" stopIfTrue="1">
      <formula>AND($H10&lt;&gt;"", $H10=IFERROR(INDEX($H:$H,10-1),""), $H10=IFERROR(INDEX($H:$H,10+1),""))</formula>
    </cfRule>
    <cfRule type="expression" priority="74" dxfId="1" stopIfTrue="1">
      <formula>AND($H10&lt;&gt;"", $H10=IFERROR(INDEX($H:$H,10-1),""), NOT($H10=IFERROR(INDEX($H:$H,10+1),"")))</formula>
    </cfRule>
    <cfRule type="expression" priority="128" dxfId="1" stopIfTrue="1">
      <formula>AND($H10&lt;&gt;"", $H10=IFERROR(INDEX($H:$H,10+1),""), NOT($H10=IFERROR(INDEX($H:$H,10-1),"")))</formula>
    </cfRule>
  </conditionalFormatting>
  <conditionalFormatting sqref="G10">
    <cfRule type="expression" priority="21" dxfId="0" stopIfTrue="1">
      <formula>AND($H10&lt;&gt;"", $H10=IFERROR(INDEX($H:$H,10-1),""), $H10=IFERROR(INDEX($H:$H,10+1),""))</formula>
    </cfRule>
    <cfRule type="expression" priority="75" dxfId="1" stopIfTrue="1">
      <formula>AND($H10&lt;&gt;"", $H10=IFERROR(INDEX($H:$H,10-1),""), NOT($H10=IFERROR(INDEX($H:$H,10+1),"")))</formula>
    </cfRule>
    <cfRule type="expression" priority="129" dxfId="1" stopIfTrue="1">
      <formula>AND($H10&lt;&gt;"", $H10=IFERROR(INDEX($H:$H,10+1),""), NOT($H10=IFERROR(INDEX($H:$H,10-1),"")))</formula>
    </cfRule>
  </conditionalFormatting>
  <conditionalFormatting sqref="E11">
    <cfRule type="expression" priority="22" dxfId="0" stopIfTrue="1">
      <formula>AND($H11&lt;&gt;"", $H11=IFERROR(INDEX($H:$H,11-1),""), $H11=IFERROR(INDEX($H:$H,11+1),""))</formula>
    </cfRule>
    <cfRule type="expression" priority="76" dxfId="1" stopIfTrue="1">
      <formula>AND($H11&lt;&gt;"", $H11=IFERROR(INDEX($H:$H,11-1),""), NOT($H11=IFERROR(INDEX($H:$H,11+1),"")))</formula>
    </cfRule>
    <cfRule type="expression" priority="130" dxfId="1" stopIfTrue="1">
      <formula>AND($H11&lt;&gt;"", $H11=IFERROR(INDEX($H:$H,11+1),""), NOT($H11=IFERROR(INDEX($H:$H,11-1),"")))</formula>
    </cfRule>
  </conditionalFormatting>
  <conditionalFormatting sqref="F11">
    <cfRule type="expression" priority="23" dxfId="0" stopIfTrue="1">
      <formula>AND($H11&lt;&gt;"", $H11=IFERROR(INDEX($H:$H,11-1),""), $H11=IFERROR(INDEX($H:$H,11+1),""))</formula>
    </cfRule>
    <cfRule type="expression" priority="77" dxfId="1" stopIfTrue="1">
      <formula>AND($H11&lt;&gt;"", $H11=IFERROR(INDEX($H:$H,11-1),""), NOT($H11=IFERROR(INDEX($H:$H,11+1),"")))</formula>
    </cfRule>
    <cfRule type="expression" priority="131" dxfId="1" stopIfTrue="1">
      <formula>AND($H11&lt;&gt;"", $H11=IFERROR(INDEX($H:$H,11+1),""), NOT($H11=IFERROR(INDEX($H:$H,11-1),"")))</formula>
    </cfRule>
  </conditionalFormatting>
  <conditionalFormatting sqref="G11">
    <cfRule type="expression" priority="24" dxfId="0" stopIfTrue="1">
      <formula>AND($H11&lt;&gt;"", $H11=IFERROR(INDEX($H:$H,11-1),""), $H11=IFERROR(INDEX($H:$H,11+1),""))</formula>
    </cfRule>
    <cfRule type="expression" priority="78" dxfId="1" stopIfTrue="1">
      <formula>AND($H11&lt;&gt;"", $H11=IFERROR(INDEX($H:$H,11-1),""), NOT($H11=IFERROR(INDEX($H:$H,11+1),"")))</formula>
    </cfRule>
    <cfRule type="expression" priority="132" dxfId="1" stopIfTrue="1">
      <formula>AND($H11&lt;&gt;"", $H11=IFERROR(INDEX($H:$H,11+1),""), NOT($H11=IFERROR(INDEX($H:$H,11-1),"")))</formula>
    </cfRule>
  </conditionalFormatting>
  <conditionalFormatting sqref="E12">
    <cfRule type="expression" priority="25" dxfId="0" stopIfTrue="1">
      <formula>AND($H12&lt;&gt;"", $H12=IFERROR(INDEX($H:$H,12-1),""), $H12=IFERROR(INDEX($H:$H,12+1),""))</formula>
    </cfRule>
    <cfRule type="expression" priority="79" dxfId="1" stopIfTrue="1">
      <formula>AND($H12&lt;&gt;"", $H12=IFERROR(INDEX($H:$H,12-1),""), NOT($H12=IFERROR(INDEX($H:$H,12+1),"")))</formula>
    </cfRule>
    <cfRule type="expression" priority="133" dxfId="1" stopIfTrue="1">
      <formula>AND($H12&lt;&gt;"", $H12=IFERROR(INDEX($H:$H,12+1),""), NOT($H12=IFERROR(INDEX($H:$H,12-1),"")))</formula>
    </cfRule>
  </conditionalFormatting>
  <conditionalFormatting sqref="F12">
    <cfRule type="expression" priority="26" dxfId="0" stopIfTrue="1">
      <formula>AND($H12&lt;&gt;"", $H12=IFERROR(INDEX($H:$H,12-1),""), $H12=IFERROR(INDEX($H:$H,12+1),""))</formula>
    </cfRule>
    <cfRule type="expression" priority="80" dxfId="1" stopIfTrue="1">
      <formula>AND($H12&lt;&gt;"", $H12=IFERROR(INDEX($H:$H,12-1),""), NOT($H12=IFERROR(INDEX($H:$H,12+1),"")))</formula>
    </cfRule>
    <cfRule type="expression" priority="134" dxfId="1" stopIfTrue="1">
      <formula>AND($H12&lt;&gt;"", $H12=IFERROR(INDEX($H:$H,12+1),""), NOT($H12=IFERROR(INDEX($H:$H,12-1),"")))</formula>
    </cfRule>
  </conditionalFormatting>
  <conditionalFormatting sqref="G12">
    <cfRule type="expression" priority="27" dxfId="0" stopIfTrue="1">
      <formula>AND($H12&lt;&gt;"", $H12=IFERROR(INDEX($H:$H,12-1),""), $H12=IFERROR(INDEX($H:$H,12+1),""))</formula>
    </cfRule>
    <cfRule type="expression" priority="81" dxfId="1" stopIfTrue="1">
      <formula>AND($H12&lt;&gt;"", $H12=IFERROR(INDEX($H:$H,12-1),""), NOT($H12=IFERROR(INDEX($H:$H,12+1),"")))</formula>
    </cfRule>
    <cfRule type="expression" priority="135" dxfId="1" stopIfTrue="1">
      <formula>AND($H12&lt;&gt;"", $H12=IFERROR(INDEX($H:$H,12+1),""), NOT($H12=IFERROR(INDEX($H:$H,12-1),"")))</formula>
    </cfRule>
  </conditionalFormatting>
  <conditionalFormatting sqref="E13">
    <cfRule type="expression" priority="28" dxfId="0" stopIfTrue="1">
      <formula>AND($H13&lt;&gt;"", $H13=IFERROR(INDEX($H:$H,13-1),""), $H13=IFERROR(INDEX($H:$H,13+1),""))</formula>
    </cfRule>
    <cfRule type="expression" priority="82" dxfId="1" stopIfTrue="1">
      <formula>AND($H13&lt;&gt;"", $H13=IFERROR(INDEX($H:$H,13-1),""), NOT($H13=IFERROR(INDEX($H:$H,13+1),"")))</formula>
    </cfRule>
    <cfRule type="expression" priority="136" dxfId="1" stopIfTrue="1">
      <formula>AND($H13&lt;&gt;"", $H13=IFERROR(INDEX($H:$H,13+1),""), NOT($H13=IFERROR(INDEX($H:$H,13-1),"")))</formula>
    </cfRule>
  </conditionalFormatting>
  <conditionalFormatting sqref="F13">
    <cfRule type="expression" priority="29" dxfId="0" stopIfTrue="1">
      <formula>AND($H13&lt;&gt;"", $H13=IFERROR(INDEX($H:$H,13-1),""), $H13=IFERROR(INDEX($H:$H,13+1),""))</formula>
    </cfRule>
    <cfRule type="expression" priority="83" dxfId="1" stopIfTrue="1">
      <formula>AND($H13&lt;&gt;"", $H13=IFERROR(INDEX($H:$H,13-1),""), NOT($H13=IFERROR(INDEX($H:$H,13+1),"")))</formula>
    </cfRule>
    <cfRule type="expression" priority="137" dxfId="1" stopIfTrue="1">
      <formula>AND($H13&lt;&gt;"", $H13=IFERROR(INDEX($H:$H,13+1),""), NOT($H13=IFERROR(INDEX($H:$H,13-1),"")))</formula>
    </cfRule>
  </conditionalFormatting>
  <conditionalFormatting sqref="G13">
    <cfRule type="expression" priority="30" dxfId="0" stopIfTrue="1">
      <formula>AND($H13&lt;&gt;"", $H13=IFERROR(INDEX($H:$H,13-1),""), $H13=IFERROR(INDEX($H:$H,13+1),""))</formula>
    </cfRule>
    <cfRule type="expression" priority="84" dxfId="1" stopIfTrue="1">
      <formula>AND($H13&lt;&gt;"", $H13=IFERROR(INDEX($H:$H,13-1),""), NOT($H13=IFERROR(INDEX($H:$H,13+1),"")))</formula>
    </cfRule>
    <cfRule type="expression" priority="138" dxfId="1" stopIfTrue="1">
      <formula>AND($H13&lt;&gt;"", $H13=IFERROR(INDEX($H:$H,13+1),""), NOT($H13=IFERROR(INDEX($H:$H,13-1),"")))</formula>
    </cfRule>
  </conditionalFormatting>
  <conditionalFormatting sqref="E14">
    <cfRule type="expression" priority="31" dxfId="0" stopIfTrue="1">
      <formula>AND($H14&lt;&gt;"", $H14=IFERROR(INDEX($H:$H,14-1),""), $H14=IFERROR(INDEX($H:$H,14+1),""))</formula>
    </cfRule>
    <cfRule type="expression" priority="85" dxfId="1" stopIfTrue="1">
      <formula>AND($H14&lt;&gt;"", $H14=IFERROR(INDEX($H:$H,14-1),""), NOT($H14=IFERROR(INDEX($H:$H,14+1),"")))</formula>
    </cfRule>
    <cfRule type="expression" priority="139" dxfId="1" stopIfTrue="1">
      <formula>AND($H14&lt;&gt;"", $H14=IFERROR(INDEX($H:$H,14+1),""), NOT($H14=IFERROR(INDEX($H:$H,14-1),"")))</formula>
    </cfRule>
  </conditionalFormatting>
  <conditionalFormatting sqref="F14">
    <cfRule type="expression" priority="32" dxfId="0" stopIfTrue="1">
      <formula>AND($H14&lt;&gt;"", $H14=IFERROR(INDEX($H:$H,14-1),""), $H14=IFERROR(INDEX($H:$H,14+1),""))</formula>
    </cfRule>
    <cfRule type="expression" priority="86" dxfId="1" stopIfTrue="1">
      <formula>AND($H14&lt;&gt;"", $H14=IFERROR(INDEX($H:$H,14-1),""), NOT($H14=IFERROR(INDEX($H:$H,14+1),"")))</formula>
    </cfRule>
    <cfRule type="expression" priority="140" dxfId="1" stopIfTrue="1">
      <formula>AND($H14&lt;&gt;"", $H14=IFERROR(INDEX($H:$H,14+1),""), NOT($H14=IFERROR(INDEX($H:$H,14-1),"")))</formula>
    </cfRule>
  </conditionalFormatting>
  <conditionalFormatting sqref="G14">
    <cfRule type="expression" priority="33" dxfId="0" stopIfTrue="1">
      <formula>AND($H14&lt;&gt;"", $H14=IFERROR(INDEX($H:$H,14-1),""), $H14=IFERROR(INDEX($H:$H,14+1),""))</formula>
    </cfRule>
    <cfRule type="expression" priority="87" dxfId="1" stopIfTrue="1">
      <formula>AND($H14&lt;&gt;"", $H14=IFERROR(INDEX($H:$H,14-1),""), NOT($H14=IFERROR(INDEX($H:$H,14+1),"")))</formula>
    </cfRule>
    <cfRule type="expression" priority="141" dxfId="1" stopIfTrue="1">
      <formula>AND($H14&lt;&gt;"", $H14=IFERROR(INDEX($H:$H,14+1),""), NOT($H14=IFERROR(INDEX($H:$H,14-1),"")))</formula>
    </cfRule>
  </conditionalFormatting>
  <conditionalFormatting sqref="E15">
    <cfRule type="expression" priority="34" dxfId="0" stopIfTrue="1">
      <formula>AND($H15&lt;&gt;"", $H15=IFERROR(INDEX($H:$H,15-1),""), $H15=IFERROR(INDEX($H:$H,15+1),""))</formula>
    </cfRule>
    <cfRule type="expression" priority="88" dxfId="1" stopIfTrue="1">
      <formula>AND($H15&lt;&gt;"", $H15=IFERROR(INDEX($H:$H,15-1),""), NOT($H15=IFERROR(INDEX($H:$H,15+1),"")))</formula>
    </cfRule>
    <cfRule type="expression" priority="142" dxfId="1" stopIfTrue="1">
      <formula>AND($H15&lt;&gt;"", $H15=IFERROR(INDEX($H:$H,15+1),""), NOT($H15=IFERROR(INDEX($H:$H,15-1),"")))</formula>
    </cfRule>
  </conditionalFormatting>
  <conditionalFormatting sqref="F15">
    <cfRule type="expression" priority="35" dxfId="0" stopIfTrue="1">
      <formula>AND($H15&lt;&gt;"", $H15=IFERROR(INDEX($H:$H,15-1),""), $H15=IFERROR(INDEX($H:$H,15+1),""))</formula>
    </cfRule>
    <cfRule type="expression" priority="89" dxfId="1" stopIfTrue="1">
      <formula>AND($H15&lt;&gt;"", $H15=IFERROR(INDEX($H:$H,15-1),""), NOT($H15=IFERROR(INDEX($H:$H,15+1),"")))</formula>
    </cfRule>
    <cfRule type="expression" priority="143" dxfId="1" stopIfTrue="1">
      <formula>AND($H15&lt;&gt;"", $H15=IFERROR(INDEX($H:$H,15+1),""), NOT($H15=IFERROR(INDEX($H:$H,15-1),"")))</formula>
    </cfRule>
  </conditionalFormatting>
  <conditionalFormatting sqref="G15">
    <cfRule type="expression" priority="36" dxfId="0" stopIfTrue="1">
      <formula>AND($H15&lt;&gt;"", $H15=IFERROR(INDEX($H:$H,15-1),""), $H15=IFERROR(INDEX($H:$H,15+1),""))</formula>
    </cfRule>
    <cfRule type="expression" priority="90" dxfId="1" stopIfTrue="1">
      <formula>AND($H15&lt;&gt;"", $H15=IFERROR(INDEX($H:$H,15-1),""), NOT($H15=IFERROR(INDEX($H:$H,15+1),"")))</formula>
    </cfRule>
    <cfRule type="expression" priority="144" dxfId="1" stopIfTrue="1">
      <formula>AND($H15&lt;&gt;"", $H15=IFERROR(INDEX($H:$H,15+1),""), NOT($H15=IFERROR(INDEX($H:$H,15-1),"")))</formula>
    </cfRule>
  </conditionalFormatting>
  <conditionalFormatting sqref="E16">
    <cfRule type="expression" priority="37" dxfId="0" stopIfTrue="1">
      <formula>AND($H16&lt;&gt;"", $H16=IFERROR(INDEX($H:$H,16-1),""), $H16=IFERROR(INDEX($H:$H,16+1),""))</formula>
    </cfRule>
    <cfRule type="expression" priority="91" dxfId="1" stopIfTrue="1">
      <formula>AND($H16&lt;&gt;"", $H16=IFERROR(INDEX($H:$H,16-1),""), NOT($H16=IFERROR(INDEX($H:$H,16+1),"")))</formula>
    </cfRule>
    <cfRule type="expression" priority="145" dxfId="1" stopIfTrue="1">
      <formula>AND($H16&lt;&gt;"", $H16=IFERROR(INDEX($H:$H,16+1),""), NOT($H16=IFERROR(INDEX($H:$H,16-1),"")))</formula>
    </cfRule>
  </conditionalFormatting>
  <conditionalFormatting sqref="F16">
    <cfRule type="expression" priority="38" dxfId="0" stopIfTrue="1">
      <formula>AND($H16&lt;&gt;"", $H16=IFERROR(INDEX($H:$H,16-1),""), $H16=IFERROR(INDEX($H:$H,16+1),""))</formula>
    </cfRule>
    <cfRule type="expression" priority="92" dxfId="1" stopIfTrue="1">
      <formula>AND($H16&lt;&gt;"", $H16=IFERROR(INDEX($H:$H,16-1),""), NOT($H16=IFERROR(INDEX($H:$H,16+1),"")))</formula>
    </cfRule>
    <cfRule type="expression" priority="146" dxfId="1" stopIfTrue="1">
      <formula>AND($H16&lt;&gt;"", $H16=IFERROR(INDEX($H:$H,16+1),""), NOT($H16=IFERROR(INDEX($H:$H,16-1),"")))</formula>
    </cfRule>
  </conditionalFormatting>
  <conditionalFormatting sqref="G16">
    <cfRule type="expression" priority="39" dxfId="0" stopIfTrue="1">
      <formula>AND($H16&lt;&gt;"", $H16=IFERROR(INDEX($H:$H,16-1),""), $H16=IFERROR(INDEX($H:$H,16+1),""))</formula>
    </cfRule>
    <cfRule type="expression" priority="93" dxfId="1" stopIfTrue="1">
      <formula>AND($H16&lt;&gt;"", $H16=IFERROR(INDEX($H:$H,16-1),""), NOT($H16=IFERROR(INDEX($H:$H,16+1),"")))</formula>
    </cfRule>
    <cfRule type="expression" priority="147" dxfId="1" stopIfTrue="1">
      <formula>AND($H16&lt;&gt;"", $H16=IFERROR(INDEX($H:$H,16+1),""), NOT($H16=IFERROR(INDEX($H:$H,16-1),"")))</formula>
    </cfRule>
  </conditionalFormatting>
  <conditionalFormatting sqref="E17">
    <cfRule type="expression" priority="40" dxfId="0" stopIfTrue="1">
      <formula>AND($H17&lt;&gt;"", $H17=IFERROR(INDEX($H:$H,17-1),""), $H17=IFERROR(INDEX($H:$H,17+1),""))</formula>
    </cfRule>
    <cfRule type="expression" priority="94" dxfId="1" stopIfTrue="1">
      <formula>AND($H17&lt;&gt;"", $H17=IFERROR(INDEX($H:$H,17-1),""), NOT($H17=IFERROR(INDEX($H:$H,17+1),"")))</formula>
    </cfRule>
    <cfRule type="expression" priority="148" dxfId="1" stopIfTrue="1">
      <formula>AND($H17&lt;&gt;"", $H17=IFERROR(INDEX($H:$H,17+1),""), NOT($H17=IFERROR(INDEX($H:$H,17-1),"")))</formula>
    </cfRule>
  </conditionalFormatting>
  <conditionalFormatting sqref="F17">
    <cfRule type="expression" priority="41" dxfId="0" stopIfTrue="1">
      <formula>AND($H17&lt;&gt;"", $H17=IFERROR(INDEX($H:$H,17-1),""), $H17=IFERROR(INDEX($H:$H,17+1),""))</formula>
    </cfRule>
    <cfRule type="expression" priority="95" dxfId="1" stopIfTrue="1">
      <formula>AND($H17&lt;&gt;"", $H17=IFERROR(INDEX($H:$H,17-1),""), NOT($H17=IFERROR(INDEX($H:$H,17+1),"")))</formula>
    </cfRule>
    <cfRule type="expression" priority="149" dxfId="1" stopIfTrue="1">
      <formula>AND($H17&lt;&gt;"", $H17=IFERROR(INDEX($H:$H,17+1),""), NOT($H17=IFERROR(INDEX($H:$H,17-1),"")))</formula>
    </cfRule>
  </conditionalFormatting>
  <conditionalFormatting sqref="G17">
    <cfRule type="expression" priority="42" dxfId="0" stopIfTrue="1">
      <formula>AND($H17&lt;&gt;"", $H17=IFERROR(INDEX($H:$H,17-1),""), $H17=IFERROR(INDEX($H:$H,17+1),""))</formula>
    </cfRule>
    <cfRule type="expression" priority="96" dxfId="1" stopIfTrue="1">
      <formula>AND($H17&lt;&gt;"", $H17=IFERROR(INDEX($H:$H,17-1),""), NOT($H17=IFERROR(INDEX($H:$H,17+1),"")))</formula>
    </cfRule>
    <cfRule type="expression" priority="150" dxfId="1" stopIfTrue="1">
      <formula>AND($H17&lt;&gt;"", $H17=IFERROR(INDEX($H:$H,17+1),""), NOT($H17=IFERROR(INDEX($H:$H,17-1),"")))</formula>
    </cfRule>
  </conditionalFormatting>
  <conditionalFormatting sqref="E18">
    <cfRule type="expression" priority="43" dxfId="0" stopIfTrue="1">
      <formula>AND($H18&lt;&gt;"", $H18=IFERROR(INDEX($H:$H,18-1),""), $H18=IFERROR(INDEX($H:$H,18+1),""))</formula>
    </cfRule>
    <cfRule type="expression" priority="97" dxfId="1" stopIfTrue="1">
      <formula>AND($H18&lt;&gt;"", $H18=IFERROR(INDEX($H:$H,18-1),""), NOT($H18=IFERROR(INDEX($H:$H,18+1),"")))</formula>
    </cfRule>
    <cfRule type="expression" priority="151" dxfId="1" stopIfTrue="1">
      <formula>AND($H18&lt;&gt;"", $H18=IFERROR(INDEX($H:$H,18+1),""), NOT($H18=IFERROR(INDEX($H:$H,18-1),"")))</formula>
    </cfRule>
  </conditionalFormatting>
  <conditionalFormatting sqref="F18">
    <cfRule type="expression" priority="44" dxfId="0" stopIfTrue="1">
      <formula>AND($H18&lt;&gt;"", $H18=IFERROR(INDEX($H:$H,18-1),""), $H18=IFERROR(INDEX($H:$H,18+1),""))</formula>
    </cfRule>
    <cfRule type="expression" priority="98" dxfId="1" stopIfTrue="1">
      <formula>AND($H18&lt;&gt;"", $H18=IFERROR(INDEX($H:$H,18-1),""), NOT($H18=IFERROR(INDEX($H:$H,18+1),"")))</formula>
    </cfRule>
    <cfRule type="expression" priority="152" dxfId="1" stopIfTrue="1">
      <formula>AND($H18&lt;&gt;"", $H18=IFERROR(INDEX($H:$H,18+1),""), NOT($H18=IFERROR(INDEX($H:$H,18-1),"")))</formula>
    </cfRule>
  </conditionalFormatting>
  <conditionalFormatting sqref="G18">
    <cfRule type="expression" priority="45" dxfId="0" stopIfTrue="1">
      <formula>AND($H18&lt;&gt;"", $H18=IFERROR(INDEX($H:$H,18-1),""), $H18=IFERROR(INDEX($H:$H,18+1),""))</formula>
    </cfRule>
    <cfRule type="expression" priority="99" dxfId="1" stopIfTrue="1">
      <formula>AND($H18&lt;&gt;"", $H18=IFERROR(INDEX($H:$H,18-1),""), NOT($H18=IFERROR(INDEX($H:$H,18+1),"")))</formula>
    </cfRule>
    <cfRule type="expression" priority="153" dxfId="1" stopIfTrue="1">
      <formula>AND($H18&lt;&gt;"", $H18=IFERROR(INDEX($H:$H,18+1),""), NOT($H18=IFERROR(INDEX($H:$H,18-1),"")))</formula>
    </cfRule>
  </conditionalFormatting>
  <conditionalFormatting sqref="E19">
    <cfRule type="expression" priority="46" dxfId="0" stopIfTrue="1">
      <formula>AND($H19&lt;&gt;"", $H19=IFERROR(INDEX($H:$H,19-1),""), $H19=IFERROR(INDEX($H:$H,19+1),""))</formula>
    </cfRule>
    <cfRule type="expression" priority="100" dxfId="1" stopIfTrue="1">
      <formula>AND($H19&lt;&gt;"", $H19=IFERROR(INDEX($H:$H,19-1),""), NOT($H19=IFERROR(INDEX($H:$H,19+1),"")))</formula>
    </cfRule>
    <cfRule type="expression" priority="154" dxfId="1" stopIfTrue="1">
      <formula>AND($H19&lt;&gt;"", $H19=IFERROR(INDEX($H:$H,19+1),""), NOT($H19=IFERROR(INDEX($H:$H,19-1),"")))</formula>
    </cfRule>
  </conditionalFormatting>
  <conditionalFormatting sqref="F19">
    <cfRule type="expression" priority="47" dxfId="0" stopIfTrue="1">
      <formula>AND($H19&lt;&gt;"", $H19=IFERROR(INDEX($H:$H,19-1),""), $H19=IFERROR(INDEX($H:$H,19+1),""))</formula>
    </cfRule>
    <cfRule type="expression" priority="101" dxfId="1" stopIfTrue="1">
      <formula>AND($H19&lt;&gt;"", $H19=IFERROR(INDEX($H:$H,19-1),""), NOT($H19=IFERROR(INDEX($H:$H,19+1),"")))</formula>
    </cfRule>
    <cfRule type="expression" priority="155" dxfId="1" stopIfTrue="1">
      <formula>AND($H19&lt;&gt;"", $H19=IFERROR(INDEX($H:$H,19+1),""), NOT($H19=IFERROR(INDEX($H:$H,19-1),"")))</formula>
    </cfRule>
  </conditionalFormatting>
  <conditionalFormatting sqref="G19">
    <cfRule type="expression" priority="48" dxfId="0" stopIfTrue="1">
      <formula>AND($H19&lt;&gt;"", $H19=IFERROR(INDEX($H:$H,19-1),""), $H19=IFERROR(INDEX($H:$H,19+1),""))</formula>
    </cfRule>
    <cfRule type="expression" priority="102" dxfId="1" stopIfTrue="1">
      <formula>AND($H19&lt;&gt;"", $H19=IFERROR(INDEX($H:$H,19-1),""), NOT($H19=IFERROR(INDEX($H:$H,19+1),"")))</formula>
    </cfRule>
    <cfRule type="expression" priority="156" dxfId="1" stopIfTrue="1">
      <formula>AND($H19&lt;&gt;"", $H19=IFERROR(INDEX($H:$H,19+1),""), NOT($H19=IFERROR(INDEX($H:$H,19-1),"")))</formula>
    </cfRule>
  </conditionalFormatting>
  <conditionalFormatting sqref="E20">
    <cfRule type="expression" priority="49" dxfId="0" stopIfTrue="1">
      <formula>AND($H20&lt;&gt;"", $H20=IFERROR(INDEX($H:$H,20-1),""), $H20=IFERROR(INDEX($H:$H,20+1),""))</formula>
    </cfRule>
    <cfRule type="expression" priority="103" dxfId="1" stopIfTrue="1">
      <formula>AND($H20&lt;&gt;"", $H20=IFERROR(INDEX($H:$H,20-1),""), NOT($H20=IFERROR(INDEX($H:$H,20+1),"")))</formula>
    </cfRule>
    <cfRule type="expression" priority="157" dxfId="1" stopIfTrue="1">
      <formula>AND($H20&lt;&gt;"", $H20=IFERROR(INDEX($H:$H,20+1),""), NOT($H20=IFERROR(INDEX($H:$H,20-1),"")))</formula>
    </cfRule>
  </conditionalFormatting>
  <conditionalFormatting sqref="F20">
    <cfRule type="expression" priority="50" dxfId="0" stopIfTrue="1">
      <formula>AND($H20&lt;&gt;"", $H20=IFERROR(INDEX($H:$H,20-1),""), $H20=IFERROR(INDEX($H:$H,20+1),""))</formula>
    </cfRule>
    <cfRule type="expression" priority="104" dxfId="1" stopIfTrue="1">
      <formula>AND($H20&lt;&gt;"", $H20=IFERROR(INDEX($H:$H,20-1),""), NOT($H20=IFERROR(INDEX($H:$H,20+1),"")))</formula>
    </cfRule>
    <cfRule type="expression" priority="158" dxfId="1" stopIfTrue="1">
      <formula>AND($H20&lt;&gt;"", $H20=IFERROR(INDEX($H:$H,20+1),""), NOT($H20=IFERROR(INDEX($H:$H,20-1),"")))</formula>
    </cfRule>
  </conditionalFormatting>
  <conditionalFormatting sqref="G20">
    <cfRule type="expression" priority="51" dxfId="0" stopIfTrue="1">
      <formula>AND($H20&lt;&gt;"", $H20=IFERROR(INDEX($H:$H,20-1),""), $H20=IFERROR(INDEX($H:$H,20+1),""))</formula>
    </cfRule>
    <cfRule type="expression" priority="105" dxfId="1" stopIfTrue="1">
      <formula>AND($H20&lt;&gt;"", $H20=IFERROR(INDEX($H:$H,20-1),""), NOT($H20=IFERROR(INDEX($H:$H,20+1),"")))</formula>
    </cfRule>
    <cfRule type="expression" priority="159" dxfId="1" stopIfTrue="1">
      <formula>AND($H20&lt;&gt;"", $H20=IFERROR(INDEX($H:$H,20+1),""), NOT($H20=IFERROR(INDEX($H:$H,20-1),"")))</formula>
    </cfRule>
  </conditionalFormatting>
  <conditionalFormatting sqref="E21">
    <cfRule type="expression" priority="52" dxfId="0" stopIfTrue="1">
      <formula>AND($H21&lt;&gt;"", $H21=IFERROR(INDEX($H:$H,21-1),""), $H21=IFERROR(INDEX($H:$H,21+1),""))</formula>
    </cfRule>
    <cfRule type="expression" priority="106" dxfId="1" stopIfTrue="1">
      <formula>AND($H21&lt;&gt;"", $H21=IFERROR(INDEX($H:$H,21-1),""), NOT($H21=IFERROR(INDEX($H:$H,21+1),"")))</formula>
    </cfRule>
    <cfRule type="expression" priority="160" dxfId="1" stopIfTrue="1">
      <formula>AND($H21&lt;&gt;"", $H21=IFERROR(INDEX($H:$H,21+1),""), NOT($H21=IFERROR(INDEX($H:$H,21-1),"")))</formula>
    </cfRule>
  </conditionalFormatting>
  <conditionalFormatting sqref="F21">
    <cfRule type="expression" priority="53" dxfId="0" stopIfTrue="1">
      <formula>AND($H21&lt;&gt;"", $H21=IFERROR(INDEX($H:$H,21-1),""), $H21=IFERROR(INDEX($H:$H,21+1),""))</formula>
    </cfRule>
    <cfRule type="expression" priority="107" dxfId="1" stopIfTrue="1">
      <formula>AND($H21&lt;&gt;"", $H21=IFERROR(INDEX($H:$H,21-1),""), NOT($H21=IFERROR(INDEX($H:$H,21+1),"")))</formula>
    </cfRule>
    <cfRule type="expression" priority="161" dxfId="1" stopIfTrue="1">
      <formula>AND($H21&lt;&gt;"", $H21=IFERROR(INDEX($H:$H,21+1),""), NOT($H21=IFERROR(INDEX($H:$H,21-1),"")))</formula>
    </cfRule>
  </conditionalFormatting>
  <conditionalFormatting sqref="G21">
    <cfRule type="expression" priority="54" dxfId="0" stopIfTrue="1">
      <formula>AND($H21&lt;&gt;"", $H21=IFERROR(INDEX($H:$H,21-1),""), $H21=IFERROR(INDEX($H:$H,21+1),""))</formula>
    </cfRule>
    <cfRule type="expression" priority="108" dxfId="1" stopIfTrue="1">
      <formula>AND($H21&lt;&gt;"", $H21=IFERROR(INDEX($H:$H,21-1),""), NOT($H21=IFERROR(INDEX($H:$H,21+1),"")))</formula>
    </cfRule>
    <cfRule type="expression" priority="162" dxfId="1" stopIfTrue="1">
      <formula>AND($H21&lt;&gt;"", $H21=IFERROR(INDEX($H:$H,21+1),""), NOT($H21=IFERROR(INDEX($H:$H,21-1),"")))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6" customWidth="1" min="3" max="3"/>
    <col width="3" customWidth="1" min="4" max="4"/>
    <col width="16" customWidth="1" min="5" max="5"/>
    <col width="18" customWidth="1" min="6" max="6"/>
    <col width="42" customWidth="1" min="7" max="7"/>
    <col width="12" customWidth="1" min="8" max="8"/>
    <col width="18" customWidth="1" min="9" max="9"/>
  </cols>
  <sheetData>
    <row r="1">
      <c r="A1" t="inlineStr">
        <is>
          <t>Programacion Viernes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s="1" t="inlineStr">
        <is>
          <t>Hora inicio 1ra fila</t>
        </is>
      </c>
      <c r="I2" s="1" t="inlineStr">
        <is>
          <t>16:30</t>
        </is>
      </c>
    </row>
    <row r="3">
      <c r="A3" s="2" t="inlineStr">
        <is>
          <t>Programa</t>
        </is>
      </c>
      <c r="B3" s="2" t="inlineStr">
        <is>
          <t>Duracion (min)</t>
        </is>
      </c>
      <c r="C3" s="2" t="inlineStr">
        <is>
          <t>Tipo</t>
        </is>
      </c>
      <c r="D3" t="inlineStr"/>
      <c r="E3" s="3" t="inlineStr">
        <is>
          <t>Hora de inicio</t>
        </is>
      </c>
      <c r="F3" s="3" t="inlineStr">
        <is>
          <t>Hora de terminacion</t>
        </is>
      </c>
      <c r="G3" s="3" t="inlineStr">
        <is>
          <t>Programa</t>
        </is>
      </c>
      <c r="H3" t="inlineStr">
        <is>
          <t>Tipo calc</t>
        </is>
      </c>
      <c r="I3" t="inlineStr"/>
    </row>
    <row r="4">
      <c r="A4" s="4" t="inlineStr">
        <is>
          <t>GEN HABANERO</t>
        </is>
      </c>
      <c r="B4" s="4" t="n">
        <v>60</v>
      </c>
      <c r="C4" s="4" t="inlineStr">
        <is>
          <t>documental</t>
        </is>
      </c>
      <c r="D4" t="inlineStr"/>
      <c r="E4" s="4">
        <f>IF(G4="","",$I2)</f>
        <v/>
      </c>
      <c r="F4" s="4">
        <f>IF(G4="","",TEXT(TIMEVALUE(E4) + IFERROR(VLOOKUP(G4,$A$4:$C$14,2,FALSE),0)/1440,"hh:mm"))</f>
        <v/>
      </c>
      <c r="G4" s="4" t="inlineStr">
        <is>
          <t>GEN HABANERO</t>
        </is>
      </c>
      <c r="H4">
        <f>IF(G4="","",IFERROR(VLOOKUP(G4,$A$4:$C$14,3,FALSE),""))</f>
        <v/>
      </c>
      <c r="I4" t="inlineStr"/>
    </row>
    <row r="5">
      <c r="A5" s="4" t="inlineStr">
        <is>
          <t>HABANA NOTICIARIO</t>
        </is>
      </c>
      <c r="B5" s="4" t="n">
        <v>30</v>
      </c>
      <c r="C5" s="4" t="inlineStr">
        <is>
          <t>informativo</t>
        </is>
      </c>
      <c r="D5" t="inlineStr"/>
      <c r="E5" s="4">
        <f>IF(G5="","",F4)</f>
        <v/>
      </c>
      <c r="F5" s="4">
        <f>IF(G5="","",TEXT(TIMEVALUE(E5) + IFERROR(VLOOKUP(G5,$A$4:$C$14,2,FALSE),0)/1440,"hh:mm"))</f>
        <v/>
      </c>
      <c r="G5" s="4" t="inlineStr">
        <is>
          <t>HABANA NOTICIARIO</t>
        </is>
      </c>
      <c r="H5">
        <f>IF(G5="","",IFERROR(VLOOKUP(G5,$A$4:$C$14,3,FALSE),""))</f>
        <v/>
      </c>
      <c r="I5" t="inlineStr"/>
    </row>
    <row r="6">
      <c r="A6" s="4" t="inlineStr">
        <is>
          <t>TIENE QUE VER</t>
        </is>
      </c>
      <c r="B6" s="4" t="n">
        <v>115</v>
      </c>
      <c r="C6" s="4" t="inlineStr">
        <is>
          <t>cine</t>
        </is>
      </c>
      <c r="D6" t="inlineStr"/>
      <c r="E6" s="4">
        <f>IF(G6="","",F5)</f>
        <v/>
      </c>
      <c r="F6" s="4">
        <f>IF(G6="","",TEXT(TIMEVALUE(E6) + IFERROR(VLOOKUP(G6,$A$4:$C$14,2,FALSE),0)/1440,"hh:mm"))</f>
        <v/>
      </c>
      <c r="G6" s="4" t="inlineStr">
        <is>
          <t>TIENE QUE VER</t>
        </is>
      </c>
      <c r="H6">
        <f>IF(G6="","",IFERROR(VLOOKUP(G6,$A$4:$C$14,3,FALSE),""))</f>
        <v/>
      </c>
      <c r="I6" t="inlineStr"/>
    </row>
    <row r="7">
      <c r="A7" s="4" t="inlineStr">
        <is>
          <t>COORDENADAS INFANTILES</t>
        </is>
      </c>
      <c r="B7" s="4" t="n">
        <v>5</v>
      </c>
      <c r="C7" s="4" t="inlineStr">
        <is>
          <t>informativo</t>
        </is>
      </c>
      <c r="D7" t="inlineStr"/>
      <c r="E7" s="4">
        <f>IF(G7="","",F6)</f>
        <v/>
      </c>
      <c r="F7" s="4">
        <f>IF(G7="","",TEXT(TIMEVALUE(E7) + IFERROR(VLOOKUP(G7,$A$4:$C$14,2,FALSE),0)/1440,"hh:mm"))</f>
        <v/>
      </c>
      <c r="G7" s="4" t="inlineStr">
        <is>
          <t>COORDENADAS INFANTILES</t>
        </is>
      </c>
      <c r="H7">
        <f>IF(G7="","",IFERROR(VLOOKUP(G7,$A$4:$C$14,3,FALSE),""))</f>
        <v/>
      </c>
      <c r="I7" t="inlineStr"/>
    </row>
    <row r="8">
      <c r="A8" s="4" t="inlineStr">
        <is>
          <t>ALGO ENTRE MANOS</t>
        </is>
      </c>
      <c r="B8" s="4" t="n">
        <v>30</v>
      </c>
      <c r="C8" s="4" t="inlineStr">
        <is>
          <t>cultural</t>
        </is>
      </c>
      <c r="D8" t="inlineStr"/>
      <c r="E8" s="4">
        <f>IF(G8="","",F7)</f>
        <v/>
      </c>
      <c r="F8" s="4">
        <f>IF(G8="","",TEXT(TIMEVALUE(E8) + IFERROR(VLOOKUP(G8,$A$4:$C$14,2,FALSE),0)/1440,"hh:mm"))</f>
        <v/>
      </c>
      <c r="G8" s="4" t="inlineStr">
        <is>
          <t>ALGO ENTRE MANOS</t>
        </is>
      </c>
      <c r="H8">
        <f>IF(G8="","",IFERROR(VLOOKUP(G8,$A$4:$C$14,3,FALSE),""))</f>
        <v/>
      </c>
      <c r="I8" t="inlineStr"/>
    </row>
    <row r="9">
      <c r="A9" s="4" t="inlineStr">
        <is>
          <t>BREVES ESTACIONES</t>
        </is>
      </c>
      <c r="B9" s="4" t="n">
        <v>30</v>
      </c>
      <c r="C9" s="4" t="inlineStr">
        <is>
          <t>cultural</t>
        </is>
      </c>
      <c r="D9" t="inlineStr"/>
      <c r="E9" s="4">
        <f>IF(G9="","",F8)</f>
        <v/>
      </c>
      <c r="F9" s="4">
        <f>IF(G9="","",TEXT(TIMEVALUE(E9) + IFERROR(VLOOKUP(G9,$A$4:$C$14,2,FALSE),0)/1440,"hh:mm"))</f>
        <v/>
      </c>
      <c r="G9" s="4" t="inlineStr">
        <is>
          <t>BREVES ESTACIONES</t>
        </is>
      </c>
      <c r="H9">
        <f>IF(G9="","",IFERROR(VLOOKUP(G9,$A$4:$C$14,3,FALSE),""))</f>
        <v/>
      </c>
      <c r="I9" t="inlineStr"/>
    </row>
    <row r="10">
      <c r="A10" s="4" t="inlineStr">
        <is>
          <t>DÉCADAS MILAGROSAS</t>
        </is>
      </c>
      <c r="B10" s="4" t="n">
        <v>30</v>
      </c>
      <c r="C10" s="4" t="inlineStr">
        <is>
          <t>musical</t>
        </is>
      </c>
      <c r="D10" t="inlineStr"/>
      <c r="E10" s="4">
        <f>IF(G10="","",F9)</f>
        <v/>
      </c>
      <c r="F10" s="4">
        <f>IF(G10="","",TEXT(TIMEVALUE(E10) + IFERROR(VLOOKUP(G10,$A$4:$C$14,2,FALSE),0)/1440,"hh:mm"))</f>
        <v/>
      </c>
      <c r="G10" s="4" t="inlineStr">
        <is>
          <t>DÉCADAS MILAGROSAS</t>
        </is>
      </c>
      <c r="H10">
        <f>IF(G10="","",IFERROR(VLOOKUP(G10,$A$4:$C$14,3,FALSE),""))</f>
        <v/>
      </c>
      <c r="I10" t="inlineStr"/>
    </row>
    <row r="11">
      <c r="A11" s="4" t="inlineStr">
        <is>
          <t>SIN PUNTOS SUSPENSIVOS</t>
        </is>
      </c>
      <c r="B11" s="4" t="n">
        <v>15</v>
      </c>
      <c r="C11" s="4" t="inlineStr">
        <is>
          <t>entrevista</t>
        </is>
      </c>
      <c r="D11" t="inlineStr"/>
      <c r="E11" s="4">
        <f>IF(G11="","",F10)</f>
        <v/>
      </c>
      <c r="F11" s="4">
        <f>IF(G11="","",TEXT(TIMEVALUE(E11) + IFERROR(VLOOKUP(G11,$A$4:$C$14,2,FALSE),0)/1440,"hh:mm"))</f>
        <v/>
      </c>
      <c r="G11" s="4" t="inlineStr">
        <is>
          <t>SIN PUNTOS SUSPENSIVOS</t>
        </is>
      </c>
      <c r="H11">
        <f>IF(G11="","",IFERROR(VLOOKUP(G11,$A$4:$C$14,3,FALSE),""))</f>
        <v/>
      </c>
      <c r="I11" t="inlineStr"/>
    </row>
    <row r="12">
      <c r="A12" s="4" t="inlineStr">
        <is>
          <t>YO BAILO</t>
        </is>
      </c>
      <c r="B12" s="4" t="n">
        <v>15</v>
      </c>
      <c r="C12" s="4" t="inlineStr">
        <is>
          <t>musical</t>
        </is>
      </c>
      <c r="D12" t="inlineStr"/>
      <c r="E12" s="4">
        <f>IF(G12="","",F11)</f>
        <v/>
      </c>
      <c r="F12" s="4">
        <f>IF(G12="","",TEXT(TIMEVALUE(E12) + IFERROR(VLOOKUP(G12,$A$4:$C$14,2,FALSE),0)/1440,"hh:mm"))</f>
        <v/>
      </c>
      <c r="G12" s="4" t="inlineStr">
        <is>
          <t>YO BAILO</t>
        </is>
      </c>
      <c r="H12">
        <f>IF(G12="","",IFERROR(VLOOKUP(G12,$A$4:$C$14,3,FALSE),""))</f>
        <v/>
      </c>
      <c r="I12" t="inlineStr"/>
    </row>
    <row r="13">
      <c r="A13" s="4" t="inlineStr">
        <is>
          <t>NOVELA “LA NIETA ELEGIDA”</t>
        </is>
      </c>
      <c r="B13" s="4" t="n">
        <v>45</v>
      </c>
      <c r="C13" s="4" t="inlineStr">
        <is>
          <t>ficción</t>
        </is>
      </c>
      <c r="D13" t="inlineStr"/>
      <c r="E13" s="4">
        <f>IF(G13="","",F12)</f>
        <v/>
      </c>
      <c r="F13" s="4">
        <f>IF(G13="","",TEXT(TIMEVALUE(E13) + IFERROR(VLOOKUP(G13,$A$4:$C$14,2,FALSE),0)/1440,"hh:mm"))</f>
        <v/>
      </c>
      <c r="G13" s="4" t="inlineStr">
        <is>
          <t>NOVELA “LA NIETA ELEGIDA”</t>
        </is>
      </c>
      <c r="H13">
        <f>IF(G13="","",IFERROR(VLOOKUP(G13,$A$4:$C$14,3,FALSE),""))</f>
        <v/>
      </c>
      <c r="I13" t="inlineStr"/>
    </row>
    <row r="14">
      <c r="A14" s="4" t="inlineStr">
        <is>
          <t>SERIE “CRÍMENES MAYORES”</t>
        </is>
      </c>
      <c r="B14" s="4" t="n">
        <v>45</v>
      </c>
      <c r="C14" s="4" t="inlineStr">
        <is>
          <t>ficción</t>
        </is>
      </c>
      <c r="D14" t="inlineStr"/>
      <c r="E14" s="4">
        <f>IF(G14="","",F13)</f>
        <v/>
      </c>
      <c r="F14" s="4">
        <f>IF(G14="","",TEXT(TIMEVALUE(E14) + IFERROR(VLOOKUP(G14,$A$4:$C$14,2,FALSE),0)/1440,"hh:mm"))</f>
        <v/>
      </c>
      <c r="G14" s="4" t="inlineStr">
        <is>
          <t>HABANA NOTICIARIO</t>
        </is>
      </c>
      <c r="H14">
        <f>IF(G14="","",IFERROR(VLOOKUP(G14,$A$4:$C$14,3,FALSE),""))</f>
        <v/>
      </c>
      <c r="I14" t="inlineStr"/>
    </row>
    <row r="15">
      <c r="A15" t="inlineStr"/>
      <c r="B15" t="inlineStr"/>
      <c r="C15" t="inlineStr"/>
      <c r="D15" t="inlineStr"/>
      <c r="E15" s="4">
        <f>IF(G15="","",F14)</f>
        <v/>
      </c>
      <c r="F15" s="4">
        <f>IF(G15="","",TEXT(TIMEVALUE(E15) + IFERROR(VLOOKUP(G15,$A$4:$C$14,2,FALSE),0)/1440,"hh:mm"))</f>
        <v/>
      </c>
      <c r="G15" s="4" t="inlineStr">
        <is>
          <t>SERIE “CRÍMENES MAYORES”</t>
        </is>
      </c>
      <c r="H15">
        <f>IF(G15="","",IFERROR(VLOOKUP(G15,$A$4:$C$14,3,FALSE),""))</f>
        <v/>
      </c>
      <c r="I15" t="inlineStr"/>
    </row>
  </sheetData>
  <conditionalFormatting sqref="E4">
    <cfRule type="expression" priority="1" dxfId="0" stopIfTrue="1">
      <formula>AND($H4&lt;&gt;"", $H4=IFERROR(INDEX($H:$H,4-1),""), $H4=IFERROR(INDEX($H:$H,4+1),""))</formula>
    </cfRule>
    <cfRule type="expression" priority="37" dxfId="1" stopIfTrue="1">
      <formula>AND($H4&lt;&gt;"", $H4=IFERROR(INDEX($H:$H,4-1),""), NOT($H4=IFERROR(INDEX($H:$H,4+1),"")))</formula>
    </cfRule>
    <cfRule type="expression" priority="73" dxfId="1" stopIfTrue="1">
      <formula>AND($H4&lt;&gt;"", $H4=IFERROR(INDEX($H:$H,4+1),""), NOT($H4=IFERROR(INDEX($H:$H,4-1),"")))</formula>
    </cfRule>
  </conditionalFormatting>
  <conditionalFormatting sqref="F4">
    <cfRule type="expression" priority="2" dxfId="0" stopIfTrue="1">
      <formula>AND($H4&lt;&gt;"", $H4=IFERROR(INDEX($H:$H,4-1),""), $H4=IFERROR(INDEX($H:$H,4+1),""))</formula>
    </cfRule>
    <cfRule type="expression" priority="38" dxfId="1" stopIfTrue="1">
      <formula>AND($H4&lt;&gt;"", $H4=IFERROR(INDEX($H:$H,4-1),""), NOT($H4=IFERROR(INDEX($H:$H,4+1),"")))</formula>
    </cfRule>
    <cfRule type="expression" priority="74" dxfId="1" stopIfTrue="1">
      <formula>AND($H4&lt;&gt;"", $H4=IFERROR(INDEX($H:$H,4+1),""), NOT($H4=IFERROR(INDEX($H:$H,4-1),"")))</formula>
    </cfRule>
  </conditionalFormatting>
  <conditionalFormatting sqref="G4">
    <cfRule type="expression" priority="3" dxfId="0" stopIfTrue="1">
      <formula>AND($H4&lt;&gt;"", $H4=IFERROR(INDEX($H:$H,4-1),""), $H4=IFERROR(INDEX($H:$H,4+1),""))</formula>
    </cfRule>
    <cfRule type="expression" priority="39" dxfId="1" stopIfTrue="1">
      <formula>AND($H4&lt;&gt;"", $H4=IFERROR(INDEX($H:$H,4-1),""), NOT($H4=IFERROR(INDEX($H:$H,4+1),"")))</formula>
    </cfRule>
    <cfRule type="expression" priority="75" dxfId="1" stopIfTrue="1">
      <formula>AND($H4&lt;&gt;"", $H4=IFERROR(INDEX($H:$H,4+1),""), NOT($H4=IFERROR(INDEX($H:$H,4-1),"")))</formula>
    </cfRule>
  </conditionalFormatting>
  <conditionalFormatting sqref="E5">
    <cfRule type="expression" priority="4" dxfId="0" stopIfTrue="1">
      <formula>AND($H5&lt;&gt;"", $H5=IFERROR(INDEX($H:$H,5-1),""), $H5=IFERROR(INDEX($H:$H,5+1),""))</formula>
    </cfRule>
    <cfRule type="expression" priority="40" dxfId="1" stopIfTrue="1">
      <formula>AND($H5&lt;&gt;"", $H5=IFERROR(INDEX($H:$H,5-1),""), NOT($H5=IFERROR(INDEX($H:$H,5+1),"")))</formula>
    </cfRule>
    <cfRule type="expression" priority="76" dxfId="1" stopIfTrue="1">
      <formula>AND($H5&lt;&gt;"", $H5=IFERROR(INDEX($H:$H,5+1),""), NOT($H5=IFERROR(INDEX($H:$H,5-1),"")))</formula>
    </cfRule>
  </conditionalFormatting>
  <conditionalFormatting sqref="F5">
    <cfRule type="expression" priority="5" dxfId="0" stopIfTrue="1">
      <formula>AND($H5&lt;&gt;"", $H5=IFERROR(INDEX($H:$H,5-1),""), $H5=IFERROR(INDEX($H:$H,5+1),""))</formula>
    </cfRule>
    <cfRule type="expression" priority="41" dxfId="1" stopIfTrue="1">
      <formula>AND($H5&lt;&gt;"", $H5=IFERROR(INDEX($H:$H,5-1),""), NOT($H5=IFERROR(INDEX($H:$H,5+1),"")))</formula>
    </cfRule>
    <cfRule type="expression" priority="77" dxfId="1" stopIfTrue="1">
      <formula>AND($H5&lt;&gt;"", $H5=IFERROR(INDEX($H:$H,5+1),""), NOT($H5=IFERROR(INDEX($H:$H,5-1),"")))</formula>
    </cfRule>
  </conditionalFormatting>
  <conditionalFormatting sqref="G5">
    <cfRule type="expression" priority="6" dxfId="0" stopIfTrue="1">
      <formula>AND($H5&lt;&gt;"", $H5=IFERROR(INDEX($H:$H,5-1),""), $H5=IFERROR(INDEX($H:$H,5+1),""))</formula>
    </cfRule>
    <cfRule type="expression" priority="42" dxfId="1" stopIfTrue="1">
      <formula>AND($H5&lt;&gt;"", $H5=IFERROR(INDEX($H:$H,5-1),""), NOT($H5=IFERROR(INDEX($H:$H,5+1),"")))</formula>
    </cfRule>
    <cfRule type="expression" priority="78" dxfId="1" stopIfTrue="1">
      <formula>AND($H5&lt;&gt;"", $H5=IFERROR(INDEX($H:$H,5+1),""), NOT($H5=IFERROR(INDEX($H:$H,5-1),"")))</formula>
    </cfRule>
  </conditionalFormatting>
  <conditionalFormatting sqref="E6">
    <cfRule type="expression" priority="7" dxfId="0" stopIfTrue="1">
      <formula>AND($H6&lt;&gt;"", $H6=IFERROR(INDEX($H:$H,6-1),""), $H6=IFERROR(INDEX($H:$H,6+1),""))</formula>
    </cfRule>
    <cfRule type="expression" priority="43" dxfId="1" stopIfTrue="1">
      <formula>AND($H6&lt;&gt;"", $H6=IFERROR(INDEX($H:$H,6-1),""), NOT($H6=IFERROR(INDEX($H:$H,6+1),"")))</formula>
    </cfRule>
    <cfRule type="expression" priority="79" dxfId="1" stopIfTrue="1">
      <formula>AND($H6&lt;&gt;"", $H6=IFERROR(INDEX($H:$H,6+1),""), NOT($H6=IFERROR(INDEX($H:$H,6-1),"")))</formula>
    </cfRule>
  </conditionalFormatting>
  <conditionalFormatting sqref="F6">
    <cfRule type="expression" priority="8" dxfId="0" stopIfTrue="1">
      <formula>AND($H6&lt;&gt;"", $H6=IFERROR(INDEX($H:$H,6-1),""), $H6=IFERROR(INDEX($H:$H,6+1),""))</formula>
    </cfRule>
    <cfRule type="expression" priority="44" dxfId="1" stopIfTrue="1">
      <formula>AND($H6&lt;&gt;"", $H6=IFERROR(INDEX($H:$H,6-1),""), NOT($H6=IFERROR(INDEX($H:$H,6+1),"")))</formula>
    </cfRule>
    <cfRule type="expression" priority="80" dxfId="1" stopIfTrue="1">
      <formula>AND($H6&lt;&gt;"", $H6=IFERROR(INDEX($H:$H,6+1),""), NOT($H6=IFERROR(INDEX($H:$H,6-1),"")))</formula>
    </cfRule>
  </conditionalFormatting>
  <conditionalFormatting sqref="G6">
    <cfRule type="expression" priority="9" dxfId="0" stopIfTrue="1">
      <formula>AND($H6&lt;&gt;"", $H6=IFERROR(INDEX($H:$H,6-1),""), $H6=IFERROR(INDEX($H:$H,6+1),""))</formula>
    </cfRule>
    <cfRule type="expression" priority="45" dxfId="1" stopIfTrue="1">
      <formula>AND($H6&lt;&gt;"", $H6=IFERROR(INDEX($H:$H,6-1),""), NOT($H6=IFERROR(INDEX($H:$H,6+1),"")))</formula>
    </cfRule>
    <cfRule type="expression" priority="81" dxfId="1" stopIfTrue="1">
      <formula>AND($H6&lt;&gt;"", $H6=IFERROR(INDEX($H:$H,6+1),""), NOT($H6=IFERROR(INDEX($H:$H,6-1),"")))</formula>
    </cfRule>
  </conditionalFormatting>
  <conditionalFormatting sqref="E7">
    <cfRule type="expression" priority="10" dxfId="0" stopIfTrue="1">
      <formula>AND($H7&lt;&gt;"", $H7=IFERROR(INDEX($H:$H,7-1),""), $H7=IFERROR(INDEX($H:$H,7+1),""))</formula>
    </cfRule>
    <cfRule type="expression" priority="46" dxfId="1" stopIfTrue="1">
      <formula>AND($H7&lt;&gt;"", $H7=IFERROR(INDEX($H:$H,7-1),""), NOT($H7=IFERROR(INDEX($H:$H,7+1),"")))</formula>
    </cfRule>
    <cfRule type="expression" priority="82" dxfId="1" stopIfTrue="1">
      <formula>AND($H7&lt;&gt;"", $H7=IFERROR(INDEX($H:$H,7+1),""), NOT($H7=IFERROR(INDEX($H:$H,7-1),"")))</formula>
    </cfRule>
  </conditionalFormatting>
  <conditionalFormatting sqref="F7">
    <cfRule type="expression" priority="11" dxfId="0" stopIfTrue="1">
      <formula>AND($H7&lt;&gt;"", $H7=IFERROR(INDEX($H:$H,7-1),""), $H7=IFERROR(INDEX($H:$H,7+1),""))</formula>
    </cfRule>
    <cfRule type="expression" priority="47" dxfId="1" stopIfTrue="1">
      <formula>AND($H7&lt;&gt;"", $H7=IFERROR(INDEX($H:$H,7-1),""), NOT($H7=IFERROR(INDEX($H:$H,7+1),"")))</formula>
    </cfRule>
    <cfRule type="expression" priority="83" dxfId="1" stopIfTrue="1">
      <formula>AND($H7&lt;&gt;"", $H7=IFERROR(INDEX($H:$H,7+1),""), NOT($H7=IFERROR(INDEX($H:$H,7-1),"")))</formula>
    </cfRule>
  </conditionalFormatting>
  <conditionalFormatting sqref="G7">
    <cfRule type="expression" priority="12" dxfId="0" stopIfTrue="1">
      <formula>AND($H7&lt;&gt;"", $H7=IFERROR(INDEX($H:$H,7-1),""), $H7=IFERROR(INDEX($H:$H,7+1),""))</formula>
    </cfRule>
    <cfRule type="expression" priority="48" dxfId="1" stopIfTrue="1">
      <formula>AND($H7&lt;&gt;"", $H7=IFERROR(INDEX($H:$H,7-1),""), NOT($H7=IFERROR(INDEX($H:$H,7+1),"")))</formula>
    </cfRule>
    <cfRule type="expression" priority="84" dxfId="1" stopIfTrue="1">
      <formula>AND($H7&lt;&gt;"", $H7=IFERROR(INDEX($H:$H,7+1),""), NOT($H7=IFERROR(INDEX($H:$H,7-1),"")))</formula>
    </cfRule>
  </conditionalFormatting>
  <conditionalFormatting sqref="E8">
    <cfRule type="expression" priority="13" dxfId="0" stopIfTrue="1">
      <formula>AND($H8&lt;&gt;"", $H8=IFERROR(INDEX($H:$H,8-1),""), $H8=IFERROR(INDEX($H:$H,8+1),""))</formula>
    </cfRule>
    <cfRule type="expression" priority="49" dxfId="1" stopIfTrue="1">
      <formula>AND($H8&lt;&gt;"", $H8=IFERROR(INDEX($H:$H,8-1),""), NOT($H8=IFERROR(INDEX($H:$H,8+1),"")))</formula>
    </cfRule>
    <cfRule type="expression" priority="85" dxfId="1" stopIfTrue="1">
      <formula>AND($H8&lt;&gt;"", $H8=IFERROR(INDEX($H:$H,8+1),""), NOT($H8=IFERROR(INDEX($H:$H,8-1),"")))</formula>
    </cfRule>
  </conditionalFormatting>
  <conditionalFormatting sqref="F8">
    <cfRule type="expression" priority="14" dxfId="0" stopIfTrue="1">
      <formula>AND($H8&lt;&gt;"", $H8=IFERROR(INDEX($H:$H,8-1),""), $H8=IFERROR(INDEX($H:$H,8+1),""))</formula>
    </cfRule>
    <cfRule type="expression" priority="50" dxfId="1" stopIfTrue="1">
      <formula>AND($H8&lt;&gt;"", $H8=IFERROR(INDEX($H:$H,8-1),""), NOT($H8=IFERROR(INDEX($H:$H,8+1),"")))</formula>
    </cfRule>
    <cfRule type="expression" priority="86" dxfId="1" stopIfTrue="1">
      <formula>AND($H8&lt;&gt;"", $H8=IFERROR(INDEX($H:$H,8+1),""), NOT($H8=IFERROR(INDEX($H:$H,8-1),"")))</formula>
    </cfRule>
  </conditionalFormatting>
  <conditionalFormatting sqref="G8">
    <cfRule type="expression" priority="15" dxfId="0" stopIfTrue="1">
      <formula>AND($H8&lt;&gt;"", $H8=IFERROR(INDEX($H:$H,8-1),""), $H8=IFERROR(INDEX($H:$H,8+1),""))</formula>
    </cfRule>
    <cfRule type="expression" priority="51" dxfId="1" stopIfTrue="1">
      <formula>AND($H8&lt;&gt;"", $H8=IFERROR(INDEX($H:$H,8-1),""), NOT($H8=IFERROR(INDEX($H:$H,8+1),"")))</formula>
    </cfRule>
    <cfRule type="expression" priority="87" dxfId="1" stopIfTrue="1">
      <formula>AND($H8&lt;&gt;"", $H8=IFERROR(INDEX($H:$H,8+1),""), NOT($H8=IFERROR(INDEX($H:$H,8-1),"")))</formula>
    </cfRule>
  </conditionalFormatting>
  <conditionalFormatting sqref="E9">
    <cfRule type="expression" priority="16" dxfId="0" stopIfTrue="1">
      <formula>AND($H9&lt;&gt;"", $H9=IFERROR(INDEX($H:$H,9-1),""), $H9=IFERROR(INDEX($H:$H,9+1),""))</formula>
    </cfRule>
    <cfRule type="expression" priority="52" dxfId="1" stopIfTrue="1">
      <formula>AND($H9&lt;&gt;"", $H9=IFERROR(INDEX($H:$H,9-1),""), NOT($H9=IFERROR(INDEX($H:$H,9+1),"")))</formula>
    </cfRule>
    <cfRule type="expression" priority="88" dxfId="1" stopIfTrue="1">
      <formula>AND($H9&lt;&gt;"", $H9=IFERROR(INDEX($H:$H,9+1),""), NOT($H9=IFERROR(INDEX($H:$H,9-1),"")))</formula>
    </cfRule>
  </conditionalFormatting>
  <conditionalFormatting sqref="F9">
    <cfRule type="expression" priority="17" dxfId="0" stopIfTrue="1">
      <formula>AND($H9&lt;&gt;"", $H9=IFERROR(INDEX($H:$H,9-1),""), $H9=IFERROR(INDEX($H:$H,9+1),""))</formula>
    </cfRule>
    <cfRule type="expression" priority="53" dxfId="1" stopIfTrue="1">
      <formula>AND($H9&lt;&gt;"", $H9=IFERROR(INDEX($H:$H,9-1),""), NOT($H9=IFERROR(INDEX($H:$H,9+1),"")))</formula>
    </cfRule>
    <cfRule type="expression" priority="89" dxfId="1" stopIfTrue="1">
      <formula>AND($H9&lt;&gt;"", $H9=IFERROR(INDEX($H:$H,9+1),""), NOT($H9=IFERROR(INDEX($H:$H,9-1),"")))</formula>
    </cfRule>
  </conditionalFormatting>
  <conditionalFormatting sqref="G9">
    <cfRule type="expression" priority="18" dxfId="0" stopIfTrue="1">
      <formula>AND($H9&lt;&gt;"", $H9=IFERROR(INDEX($H:$H,9-1),""), $H9=IFERROR(INDEX($H:$H,9+1),""))</formula>
    </cfRule>
    <cfRule type="expression" priority="54" dxfId="1" stopIfTrue="1">
      <formula>AND($H9&lt;&gt;"", $H9=IFERROR(INDEX($H:$H,9-1),""), NOT($H9=IFERROR(INDEX($H:$H,9+1),"")))</formula>
    </cfRule>
    <cfRule type="expression" priority="90" dxfId="1" stopIfTrue="1">
      <formula>AND($H9&lt;&gt;"", $H9=IFERROR(INDEX($H:$H,9+1),""), NOT($H9=IFERROR(INDEX($H:$H,9-1),"")))</formula>
    </cfRule>
  </conditionalFormatting>
  <conditionalFormatting sqref="E10">
    <cfRule type="expression" priority="19" dxfId="0" stopIfTrue="1">
      <formula>AND($H10&lt;&gt;"", $H10=IFERROR(INDEX($H:$H,10-1),""), $H10=IFERROR(INDEX($H:$H,10+1),""))</formula>
    </cfRule>
    <cfRule type="expression" priority="55" dxfId="1" stopIfTrue="1">
      <formula>AND($H10&lt;&gt;"", $H10=IFERROR(INDEX($H:$H,10-1),""), NOT($H10=IFERROR(INDEX($H:$H,10+1),"")))</formula>
    </cfRule>
    <cfRule type="expression" priority="91" dxfId="1" stopIfTrue="1">
      <formula>AND($H10&lt;&gt;"", $H10=IFERROR(INDEX($H:$H,10+1),""), NOT($H10=IFERROR(INDEX($H:$H,10-1),"")))</formula>
    </cfRule>
  </conditionalFormatting>
  <conditionalFormatting sqref="F10">
    <cfRule type="expression" priority="20" dxfId="0" stopIfTrue="1">
      <formula>AND($H10&lt;&gt;"", $H10=IFERROR(INDEX($H:$H,10-1),""), $H10=IFERROR(INDEX($H:$H,10+1),""))</formula>
    </cfRule>
    <cfRule type="expression" priority="56" dxfId="1" stopIfTrue="1">
      <formula>AND($H10&lt;&gt;"", $H10=IFERROR(INDEX($H:$H,10-1),""), NOT($H10=IFERROR(INDEX($H:$H,10+1),"")))</formula>
    </cfRule>
    <cfRule type="expression" priority="92" dxfId="1" stopIfTrue="1">
      <formula>AND($H10&lt;&gt;"", $H10=IFERROR(INDEX($H:$H,10+1),""), NOT($H10=IFERROR(INDEX($H:$H,10-1),"")))</formula>
    </cfRule>
  </conditionalFormatting>
  <conditionalFormatting sqref="G10">
    <cfRule type="expression" priority="21" dxfId="0" stopIfTrue="1">
      <formula>AND($H10&lt;&gt;"", $H10=IFERROR(INDEX($H:$H,10-1),""), $H10=IFERROR(INDEX($H:$H,10+1),""))</formula>
    </cfRule>
    <cfRule type="expression" priority="57" dxfId="1" stopIfTrue="1">
      <formula>AND($H10&lt;&gt;"", $H10=IFERROR(INDEX($H:$H,10-1),""), NOT($H10=IFERROR(INDEX($H:$H,10+1),"")))</formula>
    </cfRule>
    <cfRule type="expression" priority="93" dxfId="1" stopIfTrue="1">
      <formula>AND($H10&lt;&gt;"", $H10=IFERROR(INDEX($H:$H,10+1),""), NOT($H10=IFERROR(INDEX($H:$H,10-1),"")))</formula>
    </cfRule>
  </conditionalFormatting>
  <conditionalFormatting sqref="E11">
    <cfRule type="expression" priority="22" dxfId="0" stopIfTrue="1">
      <formula>AND($H11&lt;&gt;"", $H11=IFERROR(INDEX($H:$H,11-1),""), $H11=IFERROR(INDEX($H:$H,11+1),""))</formula>
    </cfRule>
    <cfRule type="expression" priority="58" dxfId="1" stopIfTrue="1">
      <formula>AND($H11&lt;&gt;"", $H11=IFERROR(INDEX($H:$H,11-1),""), NOT($H11=IFERROR(INDEX($H:$H,11+1),"")))</formula>
    </cfRule>
    <cfRule type="expression" priority="94" dxfId="1" stopIfTrue="1">
      <formula>AND($H11&lt;&gt;"", $H11=IFERROR(INDEX($H:$H,11+1),""), NOT($H11=IFERROR(INDEX($H:$H,11-1),"")))</formula>
    </cfRule>
  </conditionalFormatting>
  <conditionalFormatting sqref="F11">
    <cfRule type="expression" priority="23" dxfId="0" stopIfTrue="1">
      <formula>AND($H11&lt;&gt;"", $H11=IFERROR(INDEX($H:$H,11-1),""), $H11=IFERROR(INDEX($H:$H,11+1),""))</formula>
    </cfRule>
    <cfRule type="expression" priority="59" dxfId="1" stopIfTrue="1">
      <formula>AND($H11&lt;&gt;"", $H11=IFERROR(INDEX($H:$H,11-1),""), NOT($H11=IFERROR(INDEX($H:$H,11+1),"")))</formula>
    </cfRule>
    <cfRule type="expression" priority="95" dxfId="1" stopIfTrue="1">
      <formula>AND($H11&lt;&gt;"", $H11=IFERROR(INDEX($H:$H,11+1),""), NOT($H11=IFERROR(INDEX($H:$H,11-1),"")))</formula>
    </cfRule>
  </conditionalFormatting>
  <conditionalFormatting sqref="G11">
    <cfRule type="expression" priority="24" dxfId="0" stopIfTrue="1">
      <formula>AND($H11&lt;&gt;"", $H11=IFERROR(INDEX($H:$H,11-1),""), $H11=IFERROR(INDEX($H:$H,11+1),""))</formula>
    </cfRule>
    <cfRule type="expression" priority="60" dxfId="1" stopIfTrue="1">
      <formula>AND($H11&lt;&gt;"", $H11=IFERROR(INDEX($H:$H,11-1),""), NOT($H11=IFERROR(INDEX($H:$H,11+1),"")))</formula>
    </cfRule>
    <cfRule type="expression" priority="96" dxfId="1" stopIfTrue="1">
      <formula>AND($H11&lt;&gt;"", $H11=IFERROR(INDEX($H:$H,11+1),""), NOT($H11=IFERROR(INDEX($H:$H,11-1),"")))</formula>
    </cfRule>
  </conditionalFormatting>
  <conditionalFormatting sqref="E12">
    <cfRule type="expression" priority="25" dxfId="0" stopIfTrue="1">
      <formula>AND($H12&lt;&gt;"", $H12=IFERROR(INDEX($H:$H,12-1),""), $H12=IFERROR(INDEX($H:$H,12+1),""))</formula>
    </cfRule>
    <cfRule type="expression" priority="61" dxfId="1" stopIfTrue="1">
      <formula>AND($H12&lt;&gt;"", $H12=IFERROR(INDEX($H:$H,12-1),""), NOT($H12=IFERROR(INDEX($H:$H,12+1),"")))</formula>
    </cfRule>
    <cfRule type="expression" priority="97" dxfId="1" stopIfTrue="1">
      <formula>AND($H12&lt;&gt;"", $H12=IFERROR(INDEX($H:$H,12+1),""), NOT($H12=IFERROR(INDEX($H:$H,12-1),"")))</formula>
    </cfRule>
  </conditionalFormatting>
  <conditionalFormatting sqref="F12">
    <cfRule type="expression" priority="26" dxfId="0" stopIfTrue="1">
      <formula>AND($H12&lt;&gt;"", $H12=IFERROR(INDEX($H:$H,12-1),""), $H12=IFERROR(INDEX($H:$H,12+1),""))</formula>
    </cfRule>
    <cfRule type="expression" priority="62" dxfId="1" stopIfTrue="1">
      <formula>AND($H12&lt;&gt;"", $H12=IFERROR(INDEX($H:$H,12-1),""), NOT($H12=IFERROR(INDEX($H:$H,12+1),"")))</formula>
    </cfRule>
    <cfRule type="expression" priority="98" dxfId="1" stopIfTrue="1">
      <formula>AND($H12&lt;&gt;"", $H12=IFERROR(INDEX($H:$H,12+1),""), NOT($H12=IFERROR(INDEX($H:$H,12-1),"")))</formula>
    </cfRule>
  </conditionalFormatting>
  <conditionalFormatting sqref="G12">
    <cfRule type="expression" priority="27" dxfId="0" stopIfTrue="1">
      <formula>AND($H12&lt;&gt;"", $H12=IFERROR(INDEX($H:$H,12-1),""), $H12=IFERROR(INDEX($H:$H,12+1),""))</formula>
    </cfRule>
    <cfRule type="expression" priority="63" dxfId="1" stopIfTrue="1">
      <formula>AND($H12&lt;&gt;"", $H12=IFERROR(INDEX($H:$H,12-1),""), NOT($H12=IFERROR(INDEX($H:$H,12+1),"")))</formula>
    </cfRule>
    <cfRule type="expression" priority="99" dxfId="1" stopIfTrue="1">
      <formula>AND($H12&lt;&gt;"", $H12=IFERROR(INDEX($H:$H,12+1),""), NOT($H12=IFERROR(INDEX($H:$H,12-1),"")))</formula>
    </cfRule>
  </conditionalFormatting>
  <conditionalFormatting sqref="E13">
    <cfRule type="expression" priority="28" dxfId="0" stopIfTrue="1">
      <formula>AND($H13&lt;&gt;"", $H13=IFERROR(INDEX($H:$H,13-1),""), $H13=IFERROR(INDEX($H:$H,13+1),""))</formula>
    </cfRule>
    <cfRule type="expression" priority="64" dxfId="1" stopIfTrue="1">
      <formula>AND($H13&lt;&gt;"", $H13=IFERROR(INDEX($H:$H,13-1),""), NOT($H13=IFERROR(INDEX($H:$H,13+1),"")))</formula>
    </cfRule>
    <cfRule type="expression" priority="100" dxfId="1" stopIfTrue="1">
      <formula>AND($H13&lt;&gt;"", $H13=IFERROR(INDEX($H:$H,13+1),""), NOT($H13=IFERROR(INDEX($H:$H,13-1),"")))</formula>
    </cfRule>
  </conditionalFormatting>
  <conditionalFormatting sqref="F13">
    <cfRule type="expression" priority="29" dxfId="0" stopIfTrue="1">
      <formula>AND($H13&lt;&gt;"", $H13=IFERROR(INDEX($H:$H,13-1),""), $H13=IFERROR(INDEX($H:$H,13+1),""))</formula>
    </cfRule>
    <cfRule type="expression" priority="65" dxfId="1" stopIfTrue="1">
      <formula>AND($H13&lt;&gt;"", $H13=IFERROR(INDEX($H:$H,13-1),""), NOT($H13=IFERROR(INDEX($H:$H,13+1),"")))</formula>
    </cfRule>
    <cfRule type="expression" priority="101" dxfId="1" stopIfTrue="1">
      <formula>AND($H13&lt;&gt;"", $H13=IFERROR(INDEX($H:$H,13+1),""), NOT($H13=IFERROR(INDEX($H:$H,13-1),"")))</formula>
    </cfRule>
  </conditionalFormatting>
  <conditionalFormatting sqref="G13">
    <cfRule type="expression" priority="30" dxfId="0" stopIfTrue="1">
      <formula>AND($H13&lt;&gt;"", $H13=IFERROR(INDEX($H:$H,13-1),""), $H13=IFERROR(INDEX($H:$H,13+1),""))</formula>
    </cfRule>
    <cfRule type="expression" priority="66" dxfId="1" stopIfTrue="1">
      <formula>AND($H13&lt;&gt;"", $H13=IFERROR(INDEX($H:$H,13-1),""), NOT($H13=IFERROR(INDEX($H:$H,13+1),"")))</formula>
    </cfRule>
    <cfRule type="expression" priority="102" dxfId="1" stopIfTrue="1">
      <formula>AND($H13&lt;&gt;"", $H13=IFERROR(INDEX($H:$H,13+1),""), NOT($H13=IFERROR(INDEX($H:$H,13-1),"")))</formula>
    </cfRule>
  </conditionalFormatting>
  <conditionalFormatting sqref="E14">
    <cfRule type="expression" priority="31" dxfId="0" stopIfTrue="1">
      <formula>AND($H14&lt;&gt;"", $H14=IFERROR(INDEX($H:$H,14-1),""), $H14=IFERROR(INDEX($H:$H,14+1),""))</formula>
    </cfRule>
    <cfRule type="expression" priority="67" dxfId="1" stopIfTrue="1">
      <formula>AND($H14&lt;&gt;"", $H14=IFERROR(INDEX($H:$H,14-1),""), NOT($H14=IFERROR(INDEX($H:$H,14+1),"")))</formula>
    </cfRule>
    <cfRule type="expression" priority="103" dxfId="1" stopIfTrue="1">
      <formula>AND($H14&lt;&gt;"", $H14=IFERROR(INDEX($H:$H,14+1),""), NOT($H14=IFERROR(INDEX($H:$H,14-1),"")))</formula>
    </cfRule>
  </conditionalFormatting>
  <conditionalFormatting sqref="F14">
    <cfRule type="expression" priority="32" dxfId="0" stopIfTrue="1">
      <formula>AND($H14&lt;&gt;"", $H14=IFERROR(INDEX($H:$H,14-1),""), $H14=IFERROR(INDEX($H:$H,14+1),""))</formula>
    </cfRule>
    <cfRule type="expression" priority="68" dxfId="1" stopIfTrue="1">
      <formula>AND($H14&lt;&gt;"", $H14=IFERROR(INDEX($H:$H,14-1),""), NOT($H14=IFERROR(INDEX($H:$H,14+1),"")))</formula>
    </cfRule>
    <cfRule type="expression" priority="104" dxfId="1" stopIfTrue="1">
      <formula>AND($H14&lt;&gt;"", $H14=IFERROR(INDEX($H:$H,14+1),""), NOT($H14=IFERROR(INDEX($H:$H,14-1),"")))</formula>
    </cfRule>
  </conditionalFormatting>
  <conditionalFormatting sqref="G14">
    <cfRule type="expression" priority="33" dxfId="0" stopIfTrue="1">
      <formula>AND($H14&lt;&gt;"", $H14=IFERROR(INDEX($H:$H,14-1),""), $H14=IFERROR(INDEX($H:$H,14+1),""))</formula>
    </cfRule>
    <cfRule type="expression" priority="69" dxfId="1" stopIfTrue="1">
      <formula>AND($H14&lt;&gt;"", $H14=IFERROR(INDEX($H:$H,14-1),""), NOT($H14=IFERROR(INDEX($H:$H,14+1),"")))</formula>
    </cfRule>
    <cfRule type="expression" priority="105" dxfId="1" stopIfTrue="1">
      <formula>AND($H14&lt;&gt;"", $H14=IFERROR(INDEX($H:$H,14+1),""), NOT($H14=IFERROR(INDEX($H:$H,14-1),"")))</formula>
    </cfRule>
  </conditionalFormatting>
  <conditionalFormatting sqref="E15">
    <cfRule type="expression" priority="34" dxfId="0" stopIfTrue="1">
      <formula>AND($H15&lt;&gt;"", $H15=IFERROR(INDEX($H:$H,15-1),""), $H15=IFERROR(INDEX($H:$H,15+1),""))</formula>
    </cfRule>
    <cfRule type="expression" priority="70" dxfId="1" stopIfTrue="1">
      <formula>AND($H15&lt;&gt;"", $H15=IFERROR(INDEX($H:$H,15-1),""), NOT($H15=IFERROR(INDEX($H:$H,15+1),"")))</formula>
    </cfRule>
    <cfRule type="expression" priority="106" dxfId="1" stopIfTrue="1">
      <formula>AND($H15&lt;&gt;"", $H15=IFERROR(INDEX($H:$H,15+1),""), NOT($H15=IFERROR(INDEX($H:$H,15-1),"")))</formula>
    </cfRule>
  </conditionalFormatting>
  <conditionalFormatting sqref="F15">
    <cfRule type="expression" priority="35" dxfId="0" stopIfTrue="1">
      <formula>AND($H15&lt;&gt;"", $H15=IFERROR(INDEX($H:$H,15-1),""), $H15=IFERROR(INDEX($H:$H,15+1),""))</formula>
    </cfRule>
    <cfRule type="expression" priority="71" dxfId="1" stopIfTrue="1">
      <formula>AND($H15&lt;&gt;"", $H15=IFERROR(INDEX($H:$H,15-1),""), NOT($H15=IFERROR(INDEX($H:$H,15+1),"")))</formula>
    </cfRule>
    <cfRule type="expression" priority="107" dxfId="1" stopIfTrue="1">
      <formula>AND($H15&lt;&gt;"", $H15=IFERROR(INDEX($H:$H,15+1),""), NOT($H15=IFERROR(INDEX($H:$H,15-1),"")))</formula>
    </cfRule>
  </conditionalFormatting>
  <conditionalFormatting sqref="G15">
    <cfRule type="expression" priority="36" dxfId="0" stopIfTrue="1">
      <formula>AND($H15&lt;&gt;"", $H15=IFERROR(INDEX($H:$H,15-1),""), $H15=IFERROR(INDEX($H:$H,15+1),""))</formula>
    </cfRule>
    <cfRule type="expression" priority="72" dxfId="1" stopIfTrue="1">
      <formula>AND($H15&lt;&gt;"", $H15=IFERROR(INDEX($H:$H,15-1),""), NOT($H15=IFERROR(INDEX($H:$H,15+1),"")))</formula>
    </cfRule>
    <cfRule type="expression" priority="108" dxfId="1" stopIfTrue="1">
      <formula>AND($H15&lt;&gt;"", $H15=IFERROR(INDEX($H:$H,15+1),""), NOT($H15=IFERROR(INDEX($H:$H,15-1),"")))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6" customWidth="1" min="3" max="3"/>
    <col width="3" customWidth="1" min="4" max="4"/>
    <col width="16" customWidth="1" min="5" max="5"/>
    <col width="18" customWidth="1" min="6" max="6"/>
    <col width="42" customWidth="1" min="7" max="7"/>
    <col width="12" customWidth="1" min="8" max="8"/>
    <col width="18" customWidth="1" min="9" max="9"/>
  </cols>
  <sheetData>
    <row r="1">
      <c r="A1" t="inlineStr">
        <is>
          <t>Programacion Sábado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s="1" t="inlineStr">
        <is>
          <t>Hora inicio 1ra fila</t>
        </is>
      </c>
      <c r="I2" s="1" t="inlineStr">
        <is>
          <t>16:00</t>
        </is>
      </c>
    </row>
    <row r="3">
      <c r="A3" s="2" t="inlineStr">
        <is>
          <t>Programa</t>
        </is>
      </c>
      <c r="B3" s="2" t="inlineStr">
        <is>
          <t>Duracion (min)</t>
        </is>
      </c>
      <c r="C3" s="2" t="inlineStr">
        <is>
          <t>Tipo</t>
        </is>
      </c>
      <c r="D3" t="inlineStr"/>
      <c r="E3" s="3" t="inlineStr">
        <is>
          <t>Hora de inicio</t>
        </is>
      </c>
      <c r="F3" s="3" t="inlineStr">
        <is>
          <t>Hora de terminacion</t>
        </is>
      </c>
      <c r="G3" s="3" t="inlineStr">
        <is>
          <t>Programa</t>
        </is>
      </c>
      <c r="H3" t="inlineStr">
        <is>
          <t>Tipo calc</t>
        </is>
      </c>
      <c r="I3" t="inlineStr"/>
    </row>
    <row r="4">
      <c r="A4" s="4" t="inlineStr">
        <is>
          <t>EL TIEMPO Y LA MEMORIA</t>
        </is>
      </c>
      <c r="B4" s="4" t="n">
        <v>5</v>
      </c>
      <c r="C4" s="4" t="inlineStr">
        <is>
          <t>informativo</t>
        </is>
      </c>
      <c r="D4" t="inlineStr"/>
      <c r="E4" s="4">
        <f>IF(G4="","",$I2)</f>
        <v/>
      </c>
      <c r="F4" s="4">
        <f>IF(G4="","",TEXT(TIMEVALUE(E4) + IFERROR(VLOOKUP(G4,$A$4:$C$17,2,FALSE),0)/1440,"hh:mm"))</f>
        <v/>
      </c>
      <c r="G4" s="4" t="inlineStr">
        <is>
          <t>EL TIEMPO Y LA MEMORIA</t>
        </is>
      </c>
      <c r="H4">
        <f>IF(G4="","",IFERROR(VLOOKUP(G4,$A$4:$C$17,3,FALSE),""))</f>
        <v/>
      </c>
      <c r="I4" t="inlineStr"/>
    </row>
    <row r="5">
      <c r="A5" s="4" t="inlineStr">
        <is>
          <t>COORDENADAS</t>
        </is>
      </c>
      <c r="B5" s="4" t="n">
        <v>5</v>
      </c>
      <c r="C5" s="4" t="inlineStr">
        <is>
          <t>informativo</t>
        </is>
      </c>
      <c r="D5" t="inlineStr"/>
      <c r="E5" s="4">
        <f>IF(G5="","",F4)</f>
        <v/>
      </c>
      <c r="F5" s="4">
        <f>IF(G5="","",TEXT(TIMEVALUE(E5) + IFERROR(VLOOKUP(G5,$A$4:$C$17,2,FALSE),0)/1440,"hh:mm"))</f>
        <v/>
      </c>
      <c r="G5" s="4" t="inlineStr">
        <is>
          <t>COORDENADAS</t>
        </is>
      </c>
      <c r="H5">
        <f>IF(G5="","",IFERROR(VLOOKUP(G5,$A$4:$C$17,3,FALSE),""))</f>
        <v/>
      </c>
      <c r="I5" t="inlineStr"/>
    </row>
    <row r="6">
      <c r="A6" s="4" t="inlineStr">
        <is>
          <t>CUENTAS VERDE LIMÓN</t>
        </is>
      </c>
      <c r="B6" s="4" t="n">
        <v>35</v>
      </c>
      <c r="C6" s="4" t="inlineStr">
        <is>
          <t>infantil</t>
        </is>
      </c>
      <c r="D6" t="inlineStr"/>
      <c r="E6" s="4">
        <f>IF(G6="","",F5)</f>
        <v/>
      </c>
      <c r="F6" s="4">
        <f>IF(G6="","",TEXT(TIMEVALUE(E6) + IFERROR(VLOOKUP(G6,$A$4:$C$17,2,FALSE),0)/1440,"hh:mm"))</f>
        <v/>
      </c>
      <c r="G6" s="4" t="inlineStr">
        <is>
          <t>CUENTAS VERDE LIMÓN</t>
        </is>
      </c>
      <c r="H6">
        <f>IF(G6="","",IFERROR(VLOOKUP(G6,$A$4:$C$17,3,FALSE),""))</f>
        <v/>
      </c>
      <c r="I6" t="inlineStr"/>
    </row>
    <row r="7">
      <c r="A7" s="4" t="inlineStr">
        <is>
          <t>BANDA SONORA JUVENIL</t>
        </is>
      </c>
      <c r="B7" s="4" t="n">
        <v>30</v>
      </c>
      <c r="C7" s="4" t="inlineStr">
        <is>
          <t>cine</t>
        </is>
      </c>
      <c r="D7" t="inlineStr"/>
      <c r="E7" s="4">
        <f>IF(G7="","",F6)</f>
        <v/>
      </c>
      <c r="F7" s="4">
        <f>IF(G7="","",TEXT(TIMEVALUE(E7) + IFERROR(VLOOKUP(G7,$A$4:$C$17,2,FALSE),0)/1440,"hh:mm"))</f>
        <v/>
      </c>
      <c r="G7" s="4" t="inlineStr">
        <is>
          <t>BANDA SONORA JUVENIL</t>
        </is>
      </c>
      <c r="H7">
        <f>IF(G7="","",IFERROR(VLOOKUP(G7,$A$4:$C$17,3,FALSE),""))</f>
        <v/>
      </c>
      <c r="I7" t="inlineStr"/>
    </row>
    <row r="8">
      <c r="A8" s="4" t="inlineStr">
        <is>
          <t>TRAVESÍA</t>
        </is>
      </c>
      <c r="B8" s="4" t="n">
        <v>15</v>
      </c>
      <c r="C8" s="4" t="inlineStr">
        <is>
          <t>cultural</t>
        </is>
      </c>
      <c r="D8" t="inlineStr"/>
      <c r="E8" s="4">
        <f>IF(G8="","",F7)</f>
        <v/>
      </c>
      <c r="F8" s="4">
        <f>IF(G8="","",TEXT(TIMEVALUE(E8) + IFERROR(VLOOKUP(G8,$A$4:$C$17,2,FALSE),0)/1440,"hh:mm"))</f>
        <v/>
      </c>
      <c r="G8" s="4" t="inlineStr">
        <is>
          <t>TRAVESÍA</t>
        </is>
      </c>
      <c r="H8">
        <f>IF(G8="","",IFERROR(VLOOKUP(G8,$A$4:$C$17,3,FALSE),""))</f>
        <v/>
      </c>
      <c r="I8" t="inlineStr"/>
    </row>
    <row r="9">
      <c r="A9" s="4" t="inlineStr">
        <is>
          <t>TODO POP</t>
        </is>
      </c>
      <c r="B9" s="4" t="n">
        <v>30</v>
      </c>
      <c r="C9" s="4" t="inlineStr">
        <is>
          <t>musical</t>
        </is>
      </c>
      <c r="D9" t="inlineStr"/>
      <c r="E9" s="4">
        <f>IF(G9="","",F8)</f>
        <v/>
      </c>
      <c r="F9" s="4">
        <f>IF(G9="","",TEXT(TIMEVALUE(E9) + IFERROR(VLOOKUP(G9,$A$4:$C$17,2,FALSE),0)/1440,"hh:mm"))</f>
        <v/>
      </c>
      <c r="G9" s="4" t="inlineStr">
        <is>
          <t>TODO POP</t>
        </is>
      </c>
      <c r="H9">
        <f>IF(G9="","",IFERROR(VLOOKUP(G9,$A$4:$C$17,3,FALSE),""))</f>
        <v/>
      </c>
      <c r="I9" t="inlineStr"/>
    </row>
    <row r="10">
      <c r="A10" s="4" t="inlineStr">
        <is>
          <t>SERIE JUVENIL “SABRINA, LA BRUJA ADOLESCENTE”</t>
        </is>
      </c>
      <c r="B10" s="4" t="n">
        <v>45</v>
      </c>
      <c r="C10" s="4" t="inlineStr">
        <is>
          <t>ficción</t>
        </is>
      </c>
      <c r="D10" t="inlineStr"/>
      <c r="E10" s="4">
        <f>IF(G10="","",F9)</f>
        <v/>
      </c>
      <c r="F10" s="4">
        <f>IF(G10="","",TEXT(TIMEVALUE(E10) + IFERROR(VLOOKUP(G10,$A$4:$C$17,2,FALSE),0)/1440,"hh:mm"))</f>
        <v/>
      </c>
      <c r="G10" s="4" t="inlineStr">
        <is>
          <t>SERIE JUVENIL “SABRINA, LA BRUJA ADOLESCENTE”</t>
        </is>
      </c>
      <c r="H10">
        <f>IF(G10="","",IFERROR(VLOOKUP(G10,$A$4:$C$17,3,FALSE),""))</f>
        <v/>
      </c>
      <c r="I10" t="inlineStr"/>
    </row>
    <row r="11">
      <c r="A11" s="4" t="inlineStr">
        <is>
          <t>LIBRE ACCESO</t>
        </is>
      </c>
      <c r="B11" s="4" t="n">
        <v>45</v>
      </c>
      <c r="C11" s="4" t="inlineStr">
        <is>
          <t>informativo</t>
        </is>
      </c>
      <c r="D11" t="inlineStr"/>
      <c r="E11" s="4">
        <f>IF(G11="","",F10)</f>
        <v/>
      </c>
      <c r="F11" s="4">
        <f>IF(G11="","",TEXT(TIMEVALUE(E11) + IFERROR(VLOOKUP(G11,$A$4:$C$17,2,FALSE),0)/1440,"hh:mm"))</f>
        <v/>
      </c>
      <c r="G11" s="4" t="inlineStr">
        <is>
          <t>LIBRE ACCESO</t>
        </is>
      </c>
      <c r="H11">
        <f>IF(G11="","",IFERROR(VLOOKUP(G11,$A$4:$C$17,3,FALSE),""))</f>
        <v/>
      </c>
      <c r="I11" t="inlineStr"/>
    </row>
    <row r="12">
      <c r="A12" s="4" t="inlineStr">
        <is>
          <t>JUGADA PERFECTA</t>
        </is>
      </c>
      <c r="B12" s="4" t="n">
        <v>30</v>
      </c>
      <c r="C12" s="4" t="inlineStr">
        <is>
          <t>deporte</t>
        </is>
      </c>
      <c r="D12" t="inlineStr"/>
      <c r="E12" s="4">
        <f>IF(G12="","",F11)</f>
        <v/>
      </c>
      <c r="F12" s="4">
        <f>IF(G12="","",TEXT(TIMEVALUE(E12) + IFERROR(VLOOKUP(G12,$A$4:$C$17,2,FALSE),0)/1440,"hh:mm"))</f>
        <v/>
      </c>
      <c r="G12" s="4" t="inlineStr">
        <is>
          <t>JUGADA PERFECTA</t>
        </is>
      </c>
      <c r="H12">
        <f>IF(G12="","",IFERROR(VLOOKUP(G12,$A$4:$C$17,3,FALSE),""))</f>
        <v/>
      </c>
      <c r="I12" t="inlineStr"/>
    </row>
    <row r="13">
      <c r="A13" s="4" t="inlineStr">
        <is>
          <t>QUE LA MÚSICA NO FALTE</t>
        </is>
      </c>
      <c r="B13" s="4" t="n">
        <v>15</v>
      </c>
      <c r="C13" s="4" t="inlineStr">
        <is>
          <t>musical</t>
        </is>
      </c>
      <c r="D13" t="inlineStr"/>
      <c r="E13" s="4">
        <f>IF(G13="","",F12)</f>
        <v/>
      </c>
      <c r="F13" s="4">
        <f>IF(G13="","",TEXT(TIMEVALUE(E13) + IFERROR(VLOOKUP(G13,$A$4:$C$17,2,FALSE),0)/1440,"hh:mm"))</f>
        <v/>
      </c>
      <c r="G13" s="4" t="inlineStr">
        <is>
          <t>QUE LA MÚSICA NO FALTE</t>
        </is>
      </c>
      <c r="H13">
        <f>IF(G13="","",IFERROR(VLOOKUP(G13,$A$4:$C$17,3,FALSE),""))</f>
        <v/>
      </c>
      <c r="I13" t="inlineStr"/>
    </row>
    <row r="14">
      <c r="A14" s="4" t="inlineStr">
        <is>
          <t>COSAS DEL CINE</t>
        </is>
      </c>
      <c r="B14" s="4" t="n">
        <v>15</v>
      </c>
      <c r="C14" s="4" t="inlineStr">
        <is>
          <t>cine</t>
        </is>
      </c>
      <c r="D14" t="inlineStr"/>
      <c r="E14" s="4">
        <f>IF(G14="","",F13)</f>
        <v/>
      </c>
      <c r="F14" s="4">
        <f>IF(G14="","",TEXT(TIMEVALUE(E14) + IFERROR(VLOOKUP(G14,$A$4:$C$17,2,FALSE),0)/1440,"hh:mm"))</f>
        <v/>
      </c>
      <c r="G14" s="4" t="inlineStr">
        <is>
          <t>COSAS DEL CINE</t>
        </is>
      </c>
      <c r="H14">
        <f>IF(G14="","",IFERROR(VLOOKUP(G14,$A$4:$C$17,3,FALSE),""))</f>
        <v/>
      </c>
      <c r="I14" t="inlineStr"/>
    </row>
    <row r="15">
      <c r="A15" s="4" t="inlineStr">
        <is>
          <t>MÚSICA HABANA</t>
        </is>
      </c>
      <c r="B15" s="4" t="n">
        <v>30</v>
      </c>
      <c r="C15" s="4" t="inlineStr">
        <is>
          <t>musical</t>
        </is>
      </c>
      <c r="D15" t="inlineStr"/>
      <c r="E15" s="4">
        <f>IF(G15="","",F14)</f>
        <v/>
      </c>
      <c r="F15" s="4">
        <f>IF(G15="","",TEXT(TIMEVALUE(E15) + IFERROR(VLOOKUP(G15,$A$4:$C$17,2,FALSE),0)/1440,"hh:mm"))</f>
        <v/>
      </c>
      <c r="G15" s="4" t="inlineStr">
        <is>
          <t>MÚSICA HABANA</t>
        </is>
      </c>
      <c r="H15">
        <f>IF(G15="","",IFERROR(VLOOKUP(G15,$A$4:$C$17,3,FALSE),""))</f>
        <v/>
      </c>
      <c r="I15" t="inlineStr"/>
    </row>
    <row r="16">
      <c r="A16" s="4" t="inlineStr">
        <is>
          <t>X DISTANTE</t>
        </is>
      </c>
      <c r="B16" s="4" t="n">
        <v>90</v>
      </c>
      <c r="C16" s="4" t="inlineStr">
        <is>
          <t>animacion</t>
        </is>
      </c>
      <c r="D16" t="inlineStr"/>
      <c r="E16" s="4">
        <f>IF(G16="","",F15)</f>
        <v/>
      </c>
      <c r="F16" s="4">
        <f>IF(G16="","",TEXT(TIMEVALUE(E16) + IFERROR(VLOOKUP(G16,$A$4:$C$17,2,FALSE),0)/1440,"hh:mm"))</f>
        <v/>
      </c>
      <c r="G16" s="4" t="inlineStr">
        <is>
          <t>X DISTANTE</t>
        </is>
      </c>
      <c r="H16">
        <f>IF(G16="","",IFERROR(VLOOKUP(G16,$A$4:$C$17,3,FALSE),""))</f>
        <v/>
      </c>
      <c r="I16" t="inlineStr"/>
    </row>
    <row r="17">
      <c r="A17" s="4" t="inlineStr">
        <is>
          <t>MÚSICA SI</t>
        </is>
      </c>
      <c r="B17" s="4" t="n">
        <v>90</v>
      </c>
      <c r="C17" s="4" t="inlineStr">
        <is>
          <t>musical</t>
        </is>
      </c>
      <c r="D17" t="inlineStr"/>
      <c r="E17" s="4">
        <f>IF(G17="","",F16)</f>
        <v/>
      </c>
      <c r="F17" s="4">
        <f>IF(G17="","",TEXT(TIMEVALUE(E17) + IFERROR(VLOOKUP(G17,$A$4:$C$17,2,FALSE),0)/1440,"hh:mm"))</f>
        <v/>
      </c>
      <c r="G17" s="4" t="inlineStr">
        <is>
          <t>MÚSICA SI</t>
        </is>
      </c>
      <c r="H17">
        <f>IF(G17="","",IFERROR(VLOOKUP(G17,$A$4:$C$17,3,FALSE),""))</f>
        <v/>
      </c>
      <c r="I17" t="inlineStr"/>
    </row>
  </sheetData>
  <conditionalFormatting sqref="E4">
    <cfRule type="expression" priority="1" dxfId="0" stopIfTrue="1">
      <formula>AND($H4&lt;&gt;"", $H4=IFERROR(INDEX($H:$H,4-1),""), $H4=IFERROR(INDEX($H:$H,4+1),""))</formula>
    </cfRule>
    <cfRule type="expression" priority="43" dxfId="1" stopIfTrue="1">
      <formula>AND($H4&lt;&gt;"", $H4=IFERROR(INDEX($H:$H,4-1),""), NOT($H4=IFERROR(INDEX($H:$H,4+1),"")))</formula>
    </cfRule>
    <cfRule type="expression" priority="85" dxfId="1" stopIfTrue="1">
      <formula>AND($H4&lt;&gt;"", $H4=IFERROR(INDEX($H:$H,4+1),""), NOT($H4=IFERROR(INDEX($H:$H,4-1),"")))</formula>
    </cfRule>
  </conditionalFormatting>
  <conditionalFormatting sqref="F4">
    <cfRule type="expression" priority="2" dxfId="0" stopIfTrue="1">
      <formula>AND($H4&lt;&gt;"", $H4=IFERROR(INDEX($H:$H,4-1),""), $H4=IFERROR(INDEX($H:$H,4+1),""))</formula>
    </cfRule>
    <cfRule type="expression" priority="44" dxfId="1" stopIfTrue="1">
      <formula>AND($H4&lt;&gt;"", $H4=IFERROR(INDEX($H:$H,4-1),""), NOT($H4=IFERROR(INDEX($H:$H,4+1),"")))</formula>
    </cfRule>
    <cfRule type="expression" priority="86" dxfId="1" stopIfTrue="1">
      <formula>AND($H4&lt;&gt;"", $H4=IFERROR(INDEX($H:$H,4+1),""), NOT($H4=IFERROR(INDEX($H:$H,4-1),"")))</formula>
    </cfRule>
  </conditionalFormatting>
  <conditionalFormatting sqref="G4">
    <cfRule type="expression" priority="3" dxfId="0" stopIfTrue="1">
      <formula>AND($H4&lt;&gt;"", $H4=IFERROR(INDEX($H:$H,4-1),""), $H4=IFERROR(INDEX($H:$H,4+1),""))</formula>
    </cfRule>
    <cfRule type="expression" priority="45" dxfId="1" stopIfTrue="1">
      <formula>AND($H4&lt;&gt;"", $H4=IFERROR(INDEX($H:$H,4-1),""), NOT($H4=IFERROR(INDEX($H:$H,4+1),"")))</formula>
    </cfRule>
    <cfRule type="expression" priority="87" dxfId="1" stopIfTrue="1">
      <formula>AND($H4&lt;&gt;"", $H4=IFERROR(INDEX($H:$H,4+1),""), NOT($H4=IFERROR(INDEX($H:$H,4-1),"")))</formula>
    </cfRule>
  </conditionalFormatting>
  <conditionalFormatting sqref="E5">
    <cfRule type="expression" priority="4" dxfId="0" stopIfTrue="1">
      <formula>AND($H5&lt;&gt;"", $H5=IFERROR(INDEX($H:$H,5-1),""), $H5=IFERROR(INDEX($H:$H,5+1),""))</formula>
    </cfRule>
    <cfRule type="expression" priority="46" dxfId="1" stopIfTrue="1">
      <formula>AND($H5&lt;&gt;"", $H5=IFERROR(INDEX($H:$H,5-1),""), NOT($H5=IFERROR(INDEX($H:$H,5+1),"")))</formula>
    </cfRule>
    <cfRule type="expression" priority="88" dxfId="1" stopIfTrue="1">
      <formula>AND($H5&lt;&gt;"", $H5=IFERROR(INDEX($H:$H,5+1),""), NOT($H5=IFERROR(INDEX($H:$H,5-1),"")))</formula>
    </cfRule>
  </conditionalFormatting>
  <conditionalFormatting sqref="F5">
    <cfRule type="expression" priority="5" dxfId="0" stopIfTrue="1">
      <formula>AND($H5&lt;&gt;"", $H5=IFERROR(INDEX($H:$H,5-1),""), $H5=IFERROR(INDEX($H:$H,5+1),""))</formula>
    </cfRule>
    <cfRule type="expression" priority="47" dxfId="1" stopIfTrue="1">
      <formula>AND($H5&lt;&gt;"", $H5=IFERROR(INDEX($H:$H,5-1),""), NOT($H5=IFERROR(INDEX($H:$H,5+1),"")))</formula>
    </cfRule>
    <cfRule type="expression" priority="89" dxfId="1" stopIfTrue="1">
      <formula>AND($H5&lt;&gt;"", $H5=IFERROR(INDEX($H:$H,5+1),""), NOT($H5=IFERROR(INDEX($H:$H,5-1),"")))</formula>
    </cfRule>
  </conditionalFormatting>
  <conditionalFormatting sqref="G5">
    <cfRule type="expression" priority="6" dxfId="0" stopIfTrue="1">
      <formula>AND($H5&lt;&gt;"", $H5=IFERROR(INDEX($H:$H,5-1),""), $H5=IFERROR(INDEX($H:$H,5+1),""))</formula>
    </cfRule>
    <cfRule type="expression" priority="48" dxfId="1" stopIfTrue="1">
      <formula>AND($H5&lt;&gt;"", $H5=IFERROR(INDEX($H:$H,5-1),""), NOT($H5=IFERROR(INDEX($H:$H,5+1),"")))</formula>
    </cfRule>
    <cfRule type="expression" priority="90" dxfId="1" stopIfTrue="1">
      <formula>AND($H5&lt;&gt;"", $H5=IFERROR(INDEX($H:$H,5+1),""), NOT($H5=IFERROR(INDEX($H:$H,5-1),"")))</formula>
    </cfRule>
  </conditionalFormatting>
  <conditionalFormatting sqref="E6">
    <cfRule type="expression" priority="7" dxfId="0" stopIfTrue="1">
      <formula>AND($H6&lt;&gt;"", $H6=IFERROR(INDEX($H:$H,6-1),""), $H6=IFERROR(INDEX($H:$H,6+1),""))</formula>
    </cfRule>
    <cfRule type="expression" priority="49" dxfId="1" stopIfTrue="1">
      <formula>AND($H6&lt;&gt;"", $H6=IFERROR(INDEX($H:$H,6-1),""), NOT($H6=IFERROR(INDEX($H:$H,6+1),"")))</formula>
    </cfRule>
    <cfRule type="expression" priority="91" dxfId="1" stopIfTrue="1">
      <formula>AND($H6&lt;&gt;"", $H6=IFERROR(INDEX($H:$H,6+1),""), NOT($H6=IFERROR(INDEX($H:$H,6-1),"")))</formula>
    </cfRule>
  </conditionalFormatting>
  <conditionalFormatting sqref="F6">
    <cfRule type="expression" priority="8" dxfId="0" stopIfTrue="1">
      <formula>AND($H6&lt;&gt;"", $H6=IFERROR(INDEX($H:$H,6-1),""), $H6=IFERROR(INDEX($H:$H,6+1),""))</formula>
    </cfRule>
    <cfRule type="expression" priority="50" dxfId="1" stopIfTrue="1">
      <formula>AND($H6&lt;&gt;"", $H6=IFERROR(INDEX($H:$H,6-1),""), NOT($H6=IFERROR(INDEX($H:$H,6+1),"")))</formula>
    </cfRule>
    <cfRule type="expression" priority="92" dxfId="1" stopIfTrue="1">
      <formula>AND($H6&lt;&gt;"", $H6=IFERROR(INDEX($H:$H,6+1),""), NOT($H6=IFERROR(INDEX($H:$H,6-1),"")))</formula>
    </cfRule>
  </conditionalFormatting>
  <conditionalFormatting sqref="G6">
    <cfRule type="expression" priority="9" dxfId="0" stopIfTrue="1">
      <formula>AND($H6&lt;&gt;"", $H6=IFERROR(INDEX($H:$H,6-1),""), $H6=IFERROR(INDEX($H:$H,6+1),""))</formula>
    </cfRule>
    <cfRule type="expression" priority="51" dxfId="1" stopIfTrue="1">
      <formula>AND($H6&lt;&gt;"", $H6=IFERROR(INDEX($H:$H,6-1),""), NOT($H6=IFERROR(INDEX($H:$H,6+1),"")))</formula>
    </cfRule>
    <cfRule type="expression" priority="93" dxfId="1" stopIfTrue="1">
      <formula>AND($H6&lt;&gt;"", $H6=IFERROR(INDEX($H:$H,6+1),""), NOT($H6=IFERROR(INDEX($H:$H,6-1),"")))</formula>
    </cfRule>
  </conditionalFormatting>
  <conditionalFormatting sqref="E7">
    <cfRule type="expression" priority="10" dxfId="0" stopIfTrue="1">
      <formula>AND($H7&lt;&gt;"", $H7=IFERROR(INDEX($H:$H,7-1),""), $H7=IFERROR(INDEX($H:$H,7+1),""))</formula>
    </cfRule>
    <cfRule type="expression" priority="52" dxfId="1" stopIfTrue="1">
      <formula>AND($H7&lt;&gt;"", $H7=IFERROR(INDEX($H:$H,7-1),""), NOT($H7=IFERROR(INDEX($H:$H,7+1),"")))</formula>
    </cfRule>
    <cfRule type="expression" priority="94" dxfId="1" stopIfTrue="1">
      <formula>AND($H7&lt;&gt;"", $H7=IFERROR(INDEX($H:$H,7+1),""), NOT($H7=IFERROR(INDEX($H:$H,7-1),"")))</formula>
    </cfRule>
  </conditionalFormatting>
  <conditionalFormatting sqref="F7">
    <cfRule type="expression" priority="11" dxfId="0" stopIfTrue="1">
      <formula>AND($H7&lt;&gt;"", $H7=IFERROR(INDEX($H:$H,7-1),""), $H7=IFERROR(INDEX($H:$H,7+1),""))</formula>
    </cfRule>
    <cfRule type="expression" priority="53" dxfId="1" stopIfTrue="1">
      <formula>AND($H7&lt;&gt;"", $H7=IFERROR(INDEX($H:$H,7-1),""), NOT($H7=IFERROR(INDEX($H:$H,7+1),"")))</formula>
    </cfRule>
    <cfRule type="expression" priority="95" dxfId="1" stopIfTrue="1">
      <formula>AND($H7&lt;&gt;"", $H7=IFERROR(INDEX($H:$H,7+1),""), NOT($H7=IFERROR(INDEX($H:$H,7-1),"")))</formula>
    </cfRule>
  </conditionalFormatting>
  <conditionalFormatting sqref="G7">
    <cfRule type="expression" priority="12" dxfId="0" stopIfTrue="1">
      <formula>AND($H7&lt;&gt;"", $H7=IFERROR(INDEX($H:$H,7-1),""), $H7=IFERROR(INDEX($H:$H,7+1),""))</formula>
    </cfRule>
    <cfRule type="expression" priority="54" dxfId="1" stopIfTrue="1">
      <formula>AND($H7&lt;&gt;"", $H7=IFERROR(INDEX($H:$H,7-1),""), NOT($H7=IFERROR(INDEX($H:$H,7+1),"")))</formula>
    </cfRule>
    <cfRule type="expression" priority="96" dxfId="1" stopIfTrue="1">
      <formula>AND($H7&lt;&gt;"", $H7=IFERROR(INDEX($H:$H,7+1),""), NOT($H7=IFERROR(INDEX($H:$H,7-1),"")))</formula>
    </cfRule>
  </conditionalFormatting>
  <conditionalFormatting sqref="E8">
    <cfRule type="expression" priority="13" dxfId="0" stopIfTrue="1">
      <formula>AND($H8&lt;&gt;"", $H8=IFERROR(INDEX($H:$H,8-1),""), $H8=IFERROR(INDEX($H:$H,8+1),""))</formula>
    </cfRule>
    <cfRule type="expression" priority="55" dxfId="1" stopIfTrue="1">
      <formula>AND($H8&lt;&gt;"", $H8=IFERROR(INDEX($H:$H,8-1),""), NOT($H8=IFERROR(INDEX($H:$H,8+1),"")))</formula>
    </cfRule>
    <cfRule type="expression" priority="97" dxfId="1" stopIfTrue="1">
      <formula>AND($H8&lt;&gt;"", $H8=IFERROR(INDEX($H:$H,8+1),""), NOT($H8=IFERROR(INDEX($H:$H,8-1),"")))</formula>
    </cfRule>
  </conditionalFormatting>
  <conditionalFormatting sqref="F8">
    <cfRule type="expression" priority="14" dxfId="0" stopIfTrue="1">
      <formula>AND($H8&lt;&gt;"", $H8=IFERROR(INDEX($H:$H,8-1),""), $H8=IFERROR(INDEX($H:$H,8+1),""))</formula>
    </cfRule>
    <cfRule type="expression" priority="56" dxfId="1" stopIfTrue="1">
      <formula>AND($H8&lt;&gt;"", $H8=IFERROR(INDEX($H:$H,8-1),""), NOT($H8=IFERROR(INDEX($H:$H,8+1),"")))</formula>
    </cfRule>
    <cfRule type="expression" priority="98" dxfId="1" stopIfTrue="1">
      <formula>AND($H8&lt;&gt;"", $H8=IFERROR(INDEX($H:$H,8+1),""), NOT($H8=IFERROR(INDEX($H:$H,8-1),"")))</formula>
    </cfRule>
  </conditionalFormatting>
  <conditionalFormatting sqref="G8">
    <cfRule type="expression" priority="15" dxfId="0" stopIfTrue="1">
      <formula>AND($H8&lt;&gt;"", $H8=IFERROR(INDEX($H:$H,8-1),""), $H8=IFERROR(INDEX($H:$H,8+1),""))</formula>
    </cfRule>
    <cfRule type="expression" priority="57" dxfId="1" stopIfTrue="1">
      <formula>AND($H8&lt;&gt;"", $H8=IFERROR(INDEX($H:$H,8-1),""), NOT($H8=IFERROR(INDEX($H:$H,8+1),"")))</formula>
    </cfRule>
    <cfRule type="expression" priority="99" dxfId="1" stopIfTrue="1">
      <formula>AND($H8&lt;&gt;"", $H8=IFERROR(INDEX($H:$H,8+1),""), NOT($H8=IFERROR(INDEX($H:$H,8-1),"")))</formula>
    </cfRule>
  </conditionalFormatting>
  <conditionalFormatting sqref="E9">
    <cfRule type="expression" priority="16" dxfId="0" stopIfTrue="1">
      <formula>AND($H9&lt;&gt;"", $H9=IFERROR(INDEX($H:$H,9-1),""), $H9=IFERROR(INDEX($H:$H,9+1),""))</formula>
    </cfRule>
    <cfRule type="expression" priority="58" dxfId="1" stopIfTrue="1">
      <formula>AND($H9&lt;&gt;"", $H9=IFERROR(INDEX($H:$H,9-1),""), NOT($H9=IFERROR(INDEX($H:$H,9+1),"")))</formula>
    </cfRule>
    <cfRule type="expression" priority="100" dxfId="1" stopIfTrue="1">
      <formula>AND($H9&lt;&gt;"", $H9=IFERROR(INDEX($H:$H,9+1),""), NOT($H9=IFERROR(INDEX($H:$H,9-1),"")))</formula>
    </cfRule>
  </conditionalFormatting>
  <conditionalFormatting sqref="F9">
    <cfRule type="expression" priority="17" dxfId="0" stopIfTrue="1">
      <formula>AND($H9&lt;&gt;"", $H9=IFERROR(INDEX($H:$H,9-1),""), $H9=IFERROR(INDEX($H:$H,9+1),""))</formula>
    </cfRule>
    <cfRule type="expression" priority="59" dxfId="1" stopIfTrue="1">
      <formula>AND($H9&lt;&gt;"", $H9=IFERROR(INDEX($H:$H,9-1),""), NOT($H9=IFERROR(INDEX($H:$H,9+1),"")))</formula>
    </cfRule>
    <cfRule type="expression" priority="101" dxfId="1" stopIfTrue="1">
      <formula>AND($H9&lt;&gt;"", $H9=IFERROR(INDEX($H:$H,9+1),""), NOT($H9=IFERROR(INDEX($H:$H,9-1),"")))</formula>
    </cfRule>
  </conditionalFormatting>
  <conditionalFormatting sqref="G9">
    <cfRule type="expression" priority="18" dxfId="0" stopIfTrue="1">
      <formula>AND($H9&lt;&gt;"", $H9=IFERROR(INDEX($H:$H,9-1),""), $H9=IFERROR(INDEX($H:$H,9+1),""))</formula>
    </cfRule>
    <cfRule type="expression" priority="60" dxfId="1" stopIfTrue="1">
      <formula>AND($H9&lt;&gt;"", $H9=IFERROR(INDEX($H:$H,9-1),""), NOT($H9=IFERROR(INDEX($H:$H,9+1),"")))</formula>
    </cfRule>
    <cfRule type="expression" priority="102" dxfId="1" stopIfTrue="1">
      <formula>AND($H9&lt;&gt;"", $H9=IFERROR(INDEX($H:$H,9+1),""), NOT($H9=IFERROR(INDEX($H:$H,9-1),"")))</formula>
    </cfRule>
  </conditionalFormatting>
  <conditionalFormatting sqref="E10">
    <cfRule type="expression" priority="19" dxfId="0" stopIfTrue="1">
      <formula>AND($H10&lt;&gt;"", $H10=IFERROR(INDEX($H:$H,10-1),""), $H10=IFERROR(INDEX($H:$H,10+1),""))</formula>
    </cfRule>
    <cfRule type="expression" priority="61" dxfId="1" stopIfTrue="1">
      <formula>AND($H10&lt;&gt;"", $H10=IFERROR(INDEX($H:$H,10-1),""), NOT($H10=IFERROR(INDEX($H:$H,10+1),"")))</formula>
    </cfRule>
    <cfRule type="expression" priority="103" dxfId="1" stopIfTrue="1">
      <formula>AND($H10&lt;&gt;"", $H10=IFERROR(INDEX($H:$H,10+1),""), NOT($H10=IFERROR(INDEX($H:$H,10-1),"")))</formula>
    </cfRule>
  </conditionalFormatting>
  <conditionalFormatting sqref="F10">
    <cfRule type="expression" priority="20" dxfId="0" stopIfTrue="1">
      <formula>AND($H10&lt;&gt;"", $H10=IFERROR(INDEX($H:$H,10-1),""), $H10=IFERROR(INDEX($H:$H,10+1),""))</formula>
    </cfRule>
    <cfRule type="expression" priority="62" dxfId="1" stopIfTrue="1">
      <formula>AND($H10&lt;&gt;"", $H10=IFERROR(INDEX($H:$H,10-1),""), NOT($H10=IFERROR(INDEX($H:$H,10+1),"")))</formula>
    </cfRule>
    <cfRule type="expression" priority="104" dxfId="1" stopIfTrue="1">
      <formula>AND($H10&lt;&gt;"", $H10=IFERROR(INDEX($H:$H,10+1),""), NOT($H10=IFERROR(INDEX($H:$H,10-1),"")))</formula>
    </cfRule>
  </conditionalFormatting>
  <conditionalFormatting sqref="G10">
    <cfRule type="expression" priority="21" dxfId="0" stopIfTrue="1">
      <formula>AND($H10&lt;&gt;"", $H10=IFERROR(INDEX($H:$H,10-1),""), $H10=IFERROR(INDEX($H:$H,10+1),""))</formula>
    </cfRule>
    <cfRule type="expression" priority="63" dxfId="1" stopIfTrue="1">
      <formula>AND($H10&lt;&gt;"", $H10=IFERROR(INDEX($H:$H,10-1),""), NOT($H10=IFERROR(INDEX($H:$H,10+1),"")))</formula>
    </cfRule>
    <cfRule type="expression" priority="105" dxfId="1" stopIfTrue="1">
      <formula>AND($H10&lt;&gt;"", $H10=IFERROR(INDEX($H:$H,10+1),""), NOT($H10=IFERROR(INDEX($H:$H,10-1),"")))</formula>
    </cfRule>
  </conditionalFormatting>
  <conditionalFormatting sqref="E11">
    <cfRule type="expression" priority="22" dxfId="0" stopIfTrue="1">
      <formula>AND($H11&lt;&gt;"", $H11=IFERROR(INDEX($H:$H,11-1),""), $H11=IFERROR(INDEX($H:$H,11+1),""))</formula>
    </cfRule>
    <cfRule type="expression" priority="64" dxfId="1" stopIfTrue="1">
      <formula>AND($H11&lt;&gt;"", $H11=IFERROR(INDEX($H:$H,11-1),""), NOT($H11=IFERROR(INDEX($H:$H,11+1),"")))</formula>
    </cfRule>
    <cfRule type="expression" priority="106" dxfId="1" stopIfTrue="1">
      <formula>AND($H11&lt;&gt;"", $H11=IFERROR(INDEX($H:$H,11+1),""), NOT($H11=IFERROR(INDEX($H:$H,11-1),"")))</formula>
    </cfRule>
  </conditionalFormatting>
  <conditionalFormatting sqref="F11">
    <cfRule type="expression" priority="23" dxfId="0" stopIfTrue="1">
      <formula>AND($H11&lt;&gt;"", $H11=IFERROR(INDEX($H:$H,11-1),""), $H11=IFERROR(INDEX($H:$H,11+1),""))</formula>
    </cfRule>
    <cfRule type="expression" priority="65" dxfId="1" stopIfTrue="1">
      <formula>AND($H11&lt;&gt;"", $H11=IFERROR(INDEX($H:$H,11-1),""), NOT($H11=IFERROR(INDEX($H:$H,11+1),"")))</formula>
    </cfRule>
    <cfRule type="expression" priority="107" dxfId="1" stopIfTrue="1">
      <formula>AND($H11&lt;&gt;"", $H11=IFERROR(INDEX($H:$H,11+1),""), NOT($H11=IFERROR(INDEX($H:$H,11-1),"")))</formula>
    </cfRule>
  </conditionalFormatting>
  <conditionalFormatting sqref="G11">
    <cfRule type="expression" priority="24" dxfId="0" stopIfTrue="1">
      <formula>AND($H11&lt;&gt;"", $H11=IFERROR(INDEX($H:$H,11-1),""), $H11=IFERROR(INDEX($H:$H,11+1),""))</formula>
    </cfRule>
    <cfRule type="expression" priority="66" dxfId="1" stopIfTrue="1">
      <formula>AND($H11&lt;&gt;"", $H11=IFERROR(INDEX($H:$H,11-1),""), NOT($H11=IFERROR(INDEX($H:$H,11+1),"")))</formula>
    </cfRule>
    <cfRule type="expression" priority="108" dxfId="1" stopIfTrue="1">
      <formula>AND($H11&lt;&gt;"", $H11=IFERROR(INDEX($H:$H,11+1),""), NOT($H11=IFERROR(INDEX($H:$H,11-1),"")))</formula>
    </cfRule>
  </conditionalFormatting>
  <conditionalFormatting sqref="E12">
    <cfRule type="expression" priority="25" dxfId="0" stopIfTrue="1">
      <formula>AND($H12&lt;&gt;"", $H12=IFERROR(INDEX($H:$H,12-1),""), $H12=IFERROR(INDEX($H:$H,12+1),""))</formula>
    </cfRule>
    <cfRule type="expression" priority="67" dxfId="1" stopIfTrue="1">
      <formula>AND($H12&lt;&gt;"", $H12=IFERROR(INDEX($H:$H,12-1),""), NOT($H12=IFERROR(INDEX($H:$H,12+1),"")))</formula>
    </cfRule>
    <cfRule type="expression" priority="109" dxfId="1" stopIfTrue="1">
      <formula>AND($H12&lt;&gt;"", $H12=IFERROR(INDEX($H:$H,12+1),""), NOT($H12=IFERROR(INDEX($H:$H,12-1),"")))</formula>
    </cfRule>
  </conditionalFormatting>
  <conditionalFormatting sqref="F12">
    <cfRule type="expression" priority="26" dxfId="0" stopIfTrue="1">
      <formula>AND($H12&lt;&gt;"", $H12=IFERROR(INDEX($H:$H,12-1),""), $H12=IFERROR(INDEX($H:$H,12+1),""))</formula>
    </cfRule>
    <cfRule type="expression" priority="68" dxfId="1" stopIfTrue="1">
      <formula>AND($H12&lt;&gt;"", $H12=IFERROR(INDEX($H:$H,12-1),""), NOT($H12=IFERROR(INDEX($H:$H,12+1),"")))</formula>
    </cfRule>
    <cfRule type="expression" priority="110" dxfId="1" stopIfTrue="1">
      <formula>AND($H12&lt;&gt;"", $H12=IFERROR(INDEX($H:$H,12+1),""), NOT($H12=IFERROR(INDEX($H:$H,12-1),"")))</formula>
    </cfRule>
  </conditionalFormatting>
  <conditionalFormatting sqref="G12">
    <cfRule type="expression" priority="27" dxfId="0" stopIfTrue="1">
      <formula>AND($H12&lt;&gt;"", $H12=IFERROR(INDEX($H:$H,12-1),""), $H12=IFERROR(INDEX($H:$H,12+1),""))</formula>
    </cfRule>
    <cfRule type="expression" priority="69" dxfId="1" stopIfTrue="1">
      <formula>AND($H12&lt;&gt;"", $H12=IFERROR(INDEX($H:$H,12-1),""), NOT($H12=IFERROR(INDEX($H:$H,12+1),"")))</formula>
    </cfRule>
    <cfRule type="expression" priority="111" dxfId="1" stopIfTrue="1">
      <formula>AND($H12&lt;&gt;"", $H12=IFERROR(INDEX($H:$H,12+1),""), NOT($H12=IFERROR(INDEX($H:$H,12-1),"")))</formula>
    </cfRule>
  </conditionalFormatting>
  <conditionalFormatting sqref="E13">
    <cfRule type="expression" priority="28" dxfId="0" stopIfTrue="1">
      <formula>AND($H13&lt;&gt;"", $H13=IFERROR(INDEX($H:$H,13-1),""), $H13=IFERROR(INDEX($H:$H,13+1),""))</formula>
    </cfRule>
    <cfRule type="expression" priority="70" dxfId="1" stopIfTrue="1">
      <formula>AND($H13&lt;&gt;"", $H13=IFERROR(INDEX($H:$H,13-1),""), NOT($H13=IFERROR(INDEX($H:$H,13+1),"")))</formula>
    </cfRule>
    <cfRule type="expression" priority="112" dxfId="1" stopIfTrue="1">
      <formula>AND($H13&lt;&gt;"", $H13=IFERROR(INDEX($H:$H,13+1),""), NOT($H13=IFERROR(INDEX($H:$H,13-1),"")))</formula>
    </cfRule>
  </conditionalFormatting>
  <conditionalFormatting sqref="F13">
    <cfRule type="expression" priority="29" dxfId="0" stopIfTrue="1">
      <formula>AND($H13&lt;&gt;"", $H13=IFERROR(INDEX($H:$H,13-1),""), $H13=IFERROR(INDEX($H:$H,13+1),""))</formula>
    </cfRule>
    <cfRule type="expression" priority="71" dxfId="1" stopIfTrue="1">
      <formula>AND($H13&lt;&gt;"", $H13=IFERROR(INDEX($H:$H,13-1),""), NOT($H13=IFERROR(INDEX($H:$H,13+1),"")))</formula>
    </cfRule>
    <cfRule type="expression" priority="113" dxfId="1" stopIfTrue="1">
      <formula>AND($H13&lt;&gt;"", $H13=IFERROR(INDEX($H:$H,13+1),""), NOT($H13=IFERROR(INDEX($H:$H,13-1),"")))</formula>
    </cfRule>
  </conditionalFormatting>
  <conditionalFormatting sqref="G13">
    <cfRule type="expression" priority="30" dxfId="0" stopIfTrue="1">
      <formula>AND($H13&lt;&gt;"", $H13=IFERROR(INDEX($H:$H,13-1),""), $H13=IFERROR(INDEX($H:$H,13+1),""))</formula>
    </cfRule>
    <cfRule type="expression" priority="72" dxfId="1" stopIfTrue="1">
      <formula>AND($H13&lt;&gt;"", $H13=IFERROR(INDEX($H:$H,13-1),""), NOT($H13=IFERROR(INDEX($H:$H,13+1),"")))</formula>
    </cfRule>
    <cfRule type="expression" priority="114" dxfId="1" stopIfTrue="1">
      <formula>AND($H13&lt;&gt;"", $H13=IFERROR(INDEX($H:$H,13+1),""), NOT($H13=IFERROR(INDEX($H:$H,13-1),"")))</formula>
    </cfRule>
  </conditionalFormatting>
  <conditionalFormatting sqref="E14">
    <cfRule type="expression" priority="31" dxfId="0" stopIfTrue="1">
      <formula>AND($H14&lt;&gt;"", $H14=IFERROR(INDEX($H:$H,14-1),""), $H14=IFERROR(INDEX($H:$H,14+1),""))</formula>
    </cfRule>
    <cfRule type="expression" priority="73" dxfId="1" stopIfTrue="1">
      <formula>AND($H14&lt;&gt;"", $H14=IFERROR(INDEX($H:$H,14-1),""), NOT($H14=IFERROR(INDEX($H:$H,14+1),"")))</formula>
    </cfRule>
    <cfRule type="expression" priority="115" dxfId="1" stopIfTrue="1">
      <formula>AND($H14&lt;&gt;"", $H14=IFERROR(INDEX($H:$H,14+1),""), NOT($H14=IFERROR(INDEX($H:$H,14-1),"")))</formula>
    </cfRule>
  </conditionalFormatting>
  <conditionalFormatting sqref="F14">
    <cfRule type="expression" priority="32" dxfId="0" stopIfTrue="1">
      <formula>AND($H14&lt;&gt;"", $H14=IFERROR(INDEX($H:$H,14-1),""), $H14=IFERROR(INDEX($H:$H,14+1),""))</formula>
    </cfRule>
    <cfRule type="expression" priority="74" dxfId="1" stopIfTrue="1">
      <formula>AND($H14&lt;&gt;"", $H14=IFERROR(INDEX($H:$H,14-1),""), NOT($H14=IFERROR(INDEX($H:$H,14+1),"")))</formula>
    </cfRule>
    <cfRule type="expression" priority="116" dxfId="1" stopIfTrue="1">
      <formula>AND($H14&lt;&gt;"", $H14=IFERROR(INDEX($H:$H,14+1),""), NOT($H14=IFERROR(INDEX($H:$H,14-1),"")))</formula>
    </cfRule>
  </conditionalFormatting>
  <conditionalFormatting sqref="G14">
    <cfRule type="expression" priority="33" dxfId="0" stopIfTrue="1">
      <formula>AND($H14&lt;&gt;"", $H14=IFERROR(INDEX($H:$H,14-1),""), $H14=IFERROR(INDEX($H:$H,14+1),""))</formula>
    </cfRule>
    <cfRule type="expression" priority="75" dxfId="1" stopIfTrue="1">
      <formula>AND($H14&lt;&gt;"", $H14=IFERROR(INDEX($H:$H,14-1),""), NOT($H14=IFERROR(INDEX($H:$H,14+1),"")))</formula>
    </cfRule>
    <cfRule type="expression" priority="117" dxfId="1" stopIfTrue="1">
      <formula>AND($H14&lt;&gt;"", $H14=IFERROR(INDEX($H:$H,14+1),""), NOT($H14=IFERROR(INDEX($H:$H,14-1),"")))</formula>
    </cfRule>
  </conditionalFormatting>
  <conditionalFormatting sqref="E15">
    <cfRule type="expression" priority="34" dxfId="0" stopIfTrue="1">
      <formula>AND($H15&lt;&gt;"", $H15=IFERROR(INDEX($H:$H,15-1),""), $H15=IFERROR(INDEX($H:$H,15+1),""))</formula>
    </cfRule>
    <cfRule type="expression" priority="76" dxfId="1" stopIfTrue="1">
      <formula>AND($H15&lt;&gt;"", $H15=IFERROR(INDEX($H:$H,15-1),""), NOT($H15=IFERROR(INDEX($H:$H,15+1),"")))</formula>
    </cfRule>
    <cfRule type="expression" priority="118" dxfId="1" stopIfTrue="1">
      <formula>AND($H15&lt;&gt;"", $H15=IFERROR(INDEX($H:$H,15+1),""), NOT($H15=IFERROR(INDEX($H:$H,15-1),"")))</formula>
    </cfRule>
  </conditionalFormatting>
  <conditionalFormatting sqref="F15">
    <cfRule type="expression" priority="35" dxfId="0" stopIfTrue="1">
      <formula>AND($H15&lt;&gt;"", $H15=IFERROR(INDEX($H:$H,15-1),""), $H15=IFERROR(INDEX($H:$H,15+1),""))</formula>
    </cfRule>
    <cfRule type="expression" priority="77" dxfId="1" stopIfTrue="1">
      <formula>AND($H15&lt;&gt;"", $H15=IFERROR(INDEX($H:$H,15-1),""), NOT($H15=IFERROR(INDEX($H:$H,15+1),"")))</formula>
    </cfRule>
    <cfRule type="expression" priority="119" dxfId="1" stopIfTrue="1">
      <formula>AND($H15&lt;&gt;"", $H15=IFERROR(INDEX($H:$H,15+1),""), NOT($H15=IFERROR(INDEX($H:$H,15-1),"")))</formula>
    </cfRule>
  </conditionalFormatting>
  <conditionalFormatting sqref="G15">
    <cfRule type="expression" priority="36" dxfId="0" stopIfTrue="1">
      <formula>AND($H15&lt;&gt;"", $H15=IFERROR(INDEX($H:$H,15-1),""), $H15=IFERROR(INDEX($H:$H,15+1),""))</formula>
    </cfRule>
    <cfRule type="expression" priority="78" dxfId="1" stopIfTrue="1">
      <formula>AND($H15&lt;&gt;"", $H15=IFERROR(INDEX($H:$H,15-1),""), NOT($H15=IFERROR(INDEX($H:$H,15+1),"")))</formula>
    </cfRule>
    <cfRule type="expression" priority="120" dxfId="1" stopIfTrue="1">
      <formula>AND($H15&lt;&gt;"", $H15=IFERROR(INDEX($H:$H,15+1),""), NOT($H15=IFERROR(INDEX($H:$H,15-1),"")))</formula>
    </cfRule>
  </conditionalFormatting>
  <conditionalFormatting sqref="E16">
    <cfRule type="expression" priority="37" dxfId="0" stopIfTrue="1">
      <formula>AND($H16&lt;&gt;"", $H16=IFERROR(INDEX($H:$H,16-1),""), $H16=IFERROR(INDEX($H:$H,16+1),""))</formula>
    </cfRule>
    <cfRule type="expression" priority="79" dxfId="1" stopIfTrue="1">
      <formula>AND($H16&lt;&gt;"", $H16=IFERROR(INDEX($H:$H,16-1),""), NOT($H16=IFERROR(INDEX($H:$H,16+1),"")))</formula>
    </cfRule>
    <cfRule type="expression" priority="121" dxfId="1" stopIfTrue="1">
      <formula>AND($H16&lt;&gt;"", $H16=IFERROR(INDEX($H:$H,16+1),""), NOT($H16=IFERROR(INDEX($H:$H,16-1),"")))</formula>
    </cfRule>
  </conditionalFormatting>
  <conditionalFormatting sqref="F16">
    <cfRule type="expression" priority="38" dxfId="0" stopIfTrue="1">
      <formula>AND($H16&lt;&gt;"", $H16=IFERROR(INDEX($H:$H,16-1),""), $H16=IFERROR(INDEX($H:$H,16+1),""))</formula>
    </cfRule>
    <cfRule type="expression" priority="80" dxfId="1" stopIfTrue="1">
      <formula>AND($H16&lt;&gt;"", $H16=IFERROR(INDEX($H:$H,16-1),""), NOT($H16=IFERROR(INDEX($H:$H,16+1),"")))</formula>
    </cfRule>
    <cfRule type="expression" priority="122" dxfId="1" stopIfTrue="1">
      <formula>AND($H16&lt;&gt;"", $H16=IFERROR(INDEX($H:$H,16+1),""), NOT($H16=IFERROR(INDEX($H:$H,16-1),"")))</formula>
    </cfRule>
  </conditionalFormatting>
  <conditionalFormatting sqref="G16">
    <cfRule type="expression" priority="39" dxfId="0" stopIfTrue="1">
      <formula>AND($H16&lt;&gt;"", $H16=IFERROR(INDEX($H:$H,16-1),""), $H16=IFERROR(INDEX($H:$H,16+1),""))</formula>
    </cfRule>
    <cfRule type="expression" priority="81" dxfId="1" stopIfTrue="1">
      <formula>AND($H16&lt;&gt;"", $H16=IFERROR(INDEX($H:$H,16-1),""), NOT($H16=IFERROR(INDEX($H:$H,16+1),"")))</formula>
    </cfRule>
    <cfRule type="expression" priority="123" dxfId="1" stopIfTrue="1">
      <formula>AND($H16&lt;&gt;"", $H16=IFERROR(INDEX($H:$H,16+1),""), NOT($H16=IFERROR(INDEX($H:$H,16-1),"")))</formula>
    </cfRule>
  </conditionalFormatting>
  <conditionalFormatting sqref="E17">
    <cfRule type="expression" priority="40" dxfId="0" stopIfTrue="1">
      <formula>AND($H17&lt;&gt;"", $H17=IFERROR(INDEX($H:$H,17-1),""), $H17=IFERROR(INDEX($H:$H,17+1),""))</formula>
    </cfRule>
    <cfRule type="expression" priority="82" dxfId="1" stopIfTrue="1">
      <formula>AND($H17&lt;&gt;"", $H17=IFERROR(INDEX($H:$H,17-1),""), NOT($H17=IFERROR(INDEX($H:$H,17+1),"")))</formula>
    </cfRule>
    <cfRule type="expression" priority="124" dxfId="1" stopIfTrue="1">
      <formula>AND($H17&lt;&gt;"", $H17=IFERROR(INDEX($H:$H,17+1),""), NOT($H17=IFERROR(INDEX($H:$H,17-1),"")))</formula>
    </cfRule>
  </conditionalFormatting>
  <conditionalFormatting sqref="F17">
    <cfRule type="expression" priority="41" dxfId="0" stopIfTrue="1">
      <formula>AND($H17&lt;&gt;"", $H17=IFERROR(INDEX($H:$H,17-1),""), $H17=IFERROR(INDEX($H:$H,17+1),""))</formula>
    </cfRule>
    <cfRule type="expression" priority="83" dxfId="1" stopIfTrue="1">
      <formula>AND($H17&lt;&gt;"", $H17=IFERROR(INDEX($H:$H,17-1),""), NOT($H17=IFERROR(INDEX($H:$H,17+1),"")))</formula>
    </cfRule>
    <cfRule type="expression" priority="125" dxfId="1" stopIfTrue="1">
      <formula>AND($H17&lt;&gt;"", $H17=IFERROR(INDEX($H:$H,17+1),""), NOT($H17=IFERROR(INDEX($H:$H,17-1),"")))</formula>
    </cfRule>
  </conditionalFormatting>
  <conditionalFormatting sqref="G17">
    <cfRule type="expression" priority="42" dxfId="0" stopIfTrue="1">
      <formula>AND($H17&lt;&gt;"", $H17=IFERROR(INDEX($H:$H,17-1),""), $H17=IFERROR(INDEX($H:$H,17+1),""))</formula>
    </cfRule>
    <cfRule type="expression" priority="84" dxfId="1" stopIfTrue="1">
      <formula>AND($H17&lt;&gt;"", $H17=IFERROR(INDEX($H:$H,17-1),""), NOT($H17=IFERROR(INDEX($H:$H,17+1),"")))</formula>
    </cfRule>
    <cfRule type="expression" priority="126" dxfId="1" stopIfTrue="1">
      <formula>AND($H17&lt;&gt;"", $H17=IFERROR(INDEX($H:$H,17+1),""), NOT($H17=IFERROR(INDEX($H:$H,17-1),"")))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6" customWidth="1" min="3" max="3"/>
    <col width="3" customWidth="1" min="4" max="4"/>
    <col width="16" customWidth="1" min="5" max="5"/>
    <col width="18" customWidth="1" min="6" max="6"/>
    <col width="42" customWidth="1" min="7" max="7"/>
    <col width="12" customWidth="1" min="8" max="8"/>
    <col width="18" customWidth="1" min="9" max="9"/>
  </cols>
  <sheetData>
    <row r="1">
      <c r="A1" t="inlineStr">
        <is>
          <t>Programacion Domingo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s="1" t="inlineStr">
        <is>
          <t>Hora inicio 1ra fila</t>
        </is>
      </c>
      <c r="I2" s="1" t="inlineStr">
        <is>
          <t>02:00</t>
        </is>
      </c>
    </row>
    <row r="3">
      <c r="A3" s="2" t="inlineStr">
        <is>
          <t>Programa</t>
        </is>
      </c>
      <c r="B3" s="2" t="inlineStr">
        <is>
          <t>Duracion (min)</t>
        </is>
      </c>
      <c r="C3" s="2" t="inlineStr">
        <is>
          <t>Tipo</t>
        </is>
      </c>
      <c r="D3" t="inlineStr"/>
      <c r="E3" s="3" t="inlineStr">
        <is>
          <t>Hora de inicio</t>
        </is>
      </c>
      <c r="F3" s="3" t="inlineStr">
        <is>
          <t>Hora de terminacion</t>
        </is>
      </c>
      <c r="G3" s="3" t="inlineStr">
        <is>
          <t>Programa</t>
        </is>
      </c>
      <c r="H3" t="inlineStr">
        <is>
          <t>Tipo calc</t>
        </is>
      </c>
      <c r="I3" t="inlineStr"/>
    </row>
    <row r="4">
      <c r="A4" s="4" t="inlineStr">
        <is>
          <t>EL TIEMPO Y LA MEMORIA</t>
        </is>
      </c>
      <c r="B4" s="4" t="n">
        <v>5</v>
      </c>
      <c r="C4" s="4" t="inlineStr">
        <is>
          <t>informativo</t>
        </is>
      </c>
      <c r="D4" t="inlineStr"/>
      <c r="E4" s="4">
        <f>IF(G4="","",$I2)</f>
        <v/>
      </c>
      <c r="F4" s="4">
        <f>IF(G4="","",TEXT(TIMEVALUE(E4) + IFERROR(VLOOKUP(G4,$A$4:$C$14,2,FALSE),0)/1440,"hh:mm"))</f>
        <v/>
      </c>
      <c r="G4" s="4" t="inlineStr">
        <is>
          <t>EL TIEMPO Y LA MEMORIA</t>
        </is>
      </c>
      <c r="H4">
        <f>IF(G4="","",IFERROR(VLOOKUP(G4,$A$4:$C$14,3,FALSE),""))</f>
        <v/>
      </c>
      <c r="I4" t="inlineStr"/>
    </row>
    <row r="5">
      <c r="A5" s="4" t="inlineStr">
        <is>
          <t>COORDENADAS</t>
        </is>
      </c>
      <c r="B5" s="4" t="n">
        <v>5</v>
      </c>
      <c r="C5" s="4" t="inlineStr">
        <is>
          <t>informativo</t>
        </is>
      </c>
      <c r="D5" t="inlineStr"/>
      <c r="E5" s="4">
        <f>IF(G5="","",F4)</f>
        <v/>
      </c>
      <c r="F5" s="4">
        <f>IF(G5="","",TEXT(TIMEVALUE(E5) + IFERROR(VLOOKUP(G5,$A$4:$C$14,2,FALSE),0)/1440,"hh:mm"))</f>
        <v/>
      </c>
      <c r="G5" s="4" t="inlineStr">
        <is>
          <t>COORDENADAS</t>
        </is>
      </c>
      <c r="H5">
        <f>IF(G5="","",IFERROR(VLOOKUP(G5,$A$4:$C$14,3,FALSE),""))</f>
        <v/>
      </c>
      <c r="I5" t="inlineStr"/>
    </row>
    <row r="6">
      <c r="A6" s="4" t="inlineStr">
        <is>
          <t>CANAL HABANA DEPORTES</t>
        </is>
      </c>
      <c r="B6" s="4" t="n">
        <v>890</v>
      </c>
      <c r="C6" s="4" t="inlineStr">
        <is>
          <t>deporte</t>
        </is>
      </c>
      <c r="D6" t="inlineStr"/>
      <c r="E6" s="4">
        <f>IF(G6="","",F5)</f>
        <v/>
      </c>
      <c r="F6" s="4">
        <f>IF(G6="","",TEXT(TIMEVALUE(E6) + IFERROR(VLOOKUP(G6,$A$4:$C$14,2,FALSE),0)/1440,"hh:mm"))</f>
        <v/>
      </c>
      <c r="G6" s="4" t="inlineStr">
        <is>
          <t>CANAL HABANA DEPORTES</t>
        </is>
      </c>
      <c r="H6">
        <f>IF(G6="","",IFERROR(VLOOKUP(G6,$A$4:$C$14,3,FALSE),""))</f>
        <v/>
      </c>
      <c r="I6" t="inlineStr"/>
    </row>
    <row r="7">
      <c r="A7" s="4" t="inlineStr">
        <is>
          <t>LATINOS</t>
        </is>
      </c>
      <c r="B7" s="4" t="n">
        <v>60</v>
      </c>
      <c r="C7" s="4" t="inlineStr">
        <is>
          <t>musical</t>
        </is>
      </c>
      <c r="D7" t="inlineStr"/>
      <c r="E7" s="4">
        <f>IF(G7="","",F6)</f>
        <v/>
      </c>
      <c r="F7" s="4">
        <f>IF(G7="","",TEXT(TIMEVALUE(E7) + IFERROR(VLOOKUP(G7,$A$4:$C$14,2,FALSE),0)/1440,"hh:mm"))</f>
        <v/>
      </c>
      <c r="G7" s="4" t="inlineStr">
        <is>
          <t>LATINOS</t>
        </is>
      </c>
      <c r="H7">
        <f>IF(G7="","",IFERROR(VLOOKUP(G7,$A$4:$C$14,3,FALSE),""))</f>
        <v/>
      </c>
      <c r="I7" t="inlineStr"/>
    </row>
    <row r="8">
      <c r="A8" s="4" t="inlineStr">
        <is>
          <t>PAPEL EN BLANCO</t>
        </is>
      </c>
      <c r="B8" s="4" t="n">
        <v>30</v>
      </c>
      <c r="C8" s="4" t="inlineStr">
        <is>
          <t>cultural</t>
        </is>
      </c>
      <c r="D8" t="inlineStr"/>
      <c r="E8" s="4">
        <f>IF(G8="","",F7)</f>
        <v/>
      </c>
      <c r="F8" s="4">
        <f>IF(G8="","",TEXT(TIMEVALUE(E8) + IFERROR(VLOOKUP(G8,$A$4:$C$14,2,FALSE),0)/1440,"hh:mm"))</f>
        <v/>
      </c>
      <c r="G8" s="4" t="inlineStr">
        <is>
          <t>PAPEL EN BLANCO</t>
        </is>
      </c>
      <c r="H8">
        <f>IF(G8="","",IFERROR(VLOOKUP(G8,$A$4:$C$14,3,FALSE),""))</f>
        <v/>
      </c>
      <c r="I8" t="inlineStr"/>
    </row>
    <row r="9">
      <c r="A9" s="4" t="inlineStr">
        <is>
          <t>ALGO ENTRE MANOS</t>
        </is>
      </c>
      <c r="B9" s="4" t="n">
        <v>30</v>
      </c>
      <c r="C9" s="4" t="inlineStr">
        <is>
          <t>cultural</t>
        </is>
      </c>
      <c r="D9" t="inlineStr"/>
      <c r="E9" s="4">
        <f>IF(G9="","",F8)</f>
        <v/>
      </c>
      <c r="F9" s="4">
        <f>IF(G9="","",TEXT(TIMEVALUE(E9) + IFERROR(VLOOKUP(G9,$A$4:$C$14,2,FALSE),0)/1440,"hh:mm"))</f>
        <v/>
      </c>
      <c r="G9" s="4" t="inlineStr">
        <is>
          <t>ALGO ENTRE MANOS</t>
        </is>
      </c>
      <c r="H9">
        <f>IF(G9="","",IFERROR(VLOOKUP(G9,$A$4:$C$14,3,FALSE),""))</f>
        <v/>
      </c>
      <c r="I9" t="inlineStr"/>
    </row>
    <row r="10">
      <c r="A10" s="4" t="inlineStr">
        <is>
          <t>VERDE HABANA</t>
        </is>
      </c>
      <c r="B10" s="4" t="n">
        <v>15</v>
      </c>
      <c r="C10" s="4" t="inlineStr">
        <is>
          <t>documental</t>
        </is>
      </c>
      <c r="D10" t="inlineStr"/>
      <c r="E10" s="4">
        <f>IF(G10="","",F9)</f>
        <v/>
      </c>
      <c r="F10" s="4">
        <f>IF(G10="","",TEXT(TIMEVALUE(E10) + IFERROR(VLOOKUP(G10,$A$4:$C$14,2,FALSE),0)/1440,"hh:mm"))</f>
        <v/>
      </c>
      <c r="G10" s="4" t="inlineStr">
        <is>
          <t>VERDE HABANA</t>
        </is>
      </c>
      <c r="H10">
        <f>IF(G10="","",IFERROR(VLOOKUP(G10,$A$4:$C$14,3,FALSE),""))</f>
        <v/>
      </c>
      <c r="I10" t="inlineStr"/>
    </row>
    <row r="11">
      <c r="A11" s="4" t="inlineStr">
        <is>
          <t>GEN HABANERO</t>
        </is>
      </c>
      <c r="B11" s="4" t="n">
        <v>15</v>
      </c>
      <c r="C11" s="4" t="inlineStr">
        <is>
          <t>documental</t>
        </is>
      </c>
      <c r="D11" t="inlineStr"/>
      <c r="E11" s="4">
        <f>IF(G11="","",F10)</f>
        <v/>
      </c>
      <c r="F11" s="4">
        <f>IF(G11="","",TEXT(TIMEVALUE(E11) + IFERROR(VLOOKUP(G11,$A$4:$C$14,2,FALSE),0)/1440,"hh:mm"))</f>
        <v/>
      </c>
      <c r="G11" s="4" t="inlineStr">
        <is>
          <t>GEN HABANERO</t>
        </is>
      </c>
      <c r="H11">
        <f>IF(G11="","",IFERROR(VLOOKUP(G11,$A$4:$C$14,3,FALSE),""))</f>
        <v/>
      </c>
      <c r="I11" t="inlineStr"/>
    </row>
    <row r="12">
      <c r="A12" s="4" t="inlineStr">
        <is>
          <t>TRIANGULO DE LA CONFIANZA</t>
        </is>
      </c>
      <c r="B12" s="4" t="n">
        <v>30</v>
      </c>
      <c r="C12" s="4" t="inlineStr">
        <is>
          <t>entrevista</t>
        </is>
      </c>
      <c r="D12" t="inlineStr"/>
      <c r="E12" s="4">
        <f>IF(G12="","",F11)</f>
        <v/>
      </c>
      <c r="F12" s="4">
        <f>IF(G12="","",TEXT(TIMEVALUE(E12) + IFERROR(VLOOKUP(G12,$A$4:$C$14,2,FALSE),0)/1440,"hh:mm"))</f>
        <v/>
      </c>
      <c r="G12" s="4" t="inlineStr">
        <is>
          <t>TRIANGULO DE LA CONFIANZA</t>
        </is>
      </c>
      <c r="H12">
        <f>IF(G12="","",IFERROR(VLOOKUP(G12,$A$4:$C$14,3,FALSE),""))</f>
        <v/>
      </c>
      <c r="I12" t="inlineStr"/>
    </row>
    <row r="13">
      <c r="A13" s="4" t="inlineStr">
        <is>
          <t>BANDA SONORA</t>
        </is>
      </c>
      <c r="B13" s="4" t="n">
        <v>30</v>
      </c>
      <c r="C13" s="4" t="inlineStr">
        <is>
          <t>musical</t>
        </is>
      </c>
      <c r="D13" t="inlineStr"/>
      <c r="E13" s="4">
        <f>IF(G13="","",F12)</f>
        <v/>
      </c>
      <c r="F13" s="4">
        <f>IF(G13="","",TEXT(TIMEVALUE(E13) + IFERROR(VLOOKUP(G13,$A$4:$C$14,2,FALSE),0)/1440,"hh:mm"))</f>
        <v/>
      </c>
      <c r="G13" s="4" t="inlineStr">
        <is>
          <t>BANDA SONORA</t>
        </is>
      </c>
      <c r="H13">
        <f>IF(G13="","",IFERROR(VLOOKUP(G13,$A$4:$C$14,3,FALSE),""))</f>
        <v/>
      </c>
      <c r="I13" t="inlineStr"/>
    </row>
    <row r="14">
      <c r="A14" s="4" t="inlineStr">
        <is>
          <t>CINE +</t>
        </is>
      </c>
      <c r="B14" s="4" t="n">
        <v>205</v>
      </c>
      <c r="C14" s="4" t="inlineStr">
        <is>
          <t>cine</t>
        </is>
      </c>
      <c r="D14" t="inlineStr"/>
      <c r="E14" s="4">
        <f>IF(G14="","",F13)</f>
        <v/>
      </c>
      <c r="F14" s="4">
        <f>IF(G14="","",TEXT(TIMEVALUE(E14) + IFERROR(VLOOKUP(G14,$A$4:$C$14,2,FALSE),0)/1440,"hh:mm"))</f>
        <v/>
      </c>
      <c r="G14" s="4" t="inlineStr">
        <is>
          <t>CINE +</t>
        </is>
      </c>
      <c r="H14">
        <f>IF(G14="","",IFERROR(VLOOKUP(G14,$A$4:$C$14,3,FALSE),""))</f>
        <v/>
      </c>
      <c r="I14" t="inlineStr"/>
    </row>
  </sheetData>
  <conditionalFormatting sqref="E4">
    <cfRule type="expression" priority="1" dxfId="0" stopIfTrue="1">
      <formula>AND($H4&lt;&gt;"", $H4=IFERROR(INDEX($H:$H,4-1),""), $H4=IFERROR(INDEX($H:$H,4+1),""))</formula>
    </cfRule>
    <cfRule type="expression" priority="34" dxfId="1" stopIfTrue="1">
      <formula>AND($H4&lt;&gt;"", $H4=IFERROR(INDEX($H:$H,4-1),""), NOT($H4=IFERROR(INDEX($H:$H,4+1),"")))</formula>
    </cfRule>
    <cfRule type="expression" priority="67" dxfId="1" stopIfTrue="1">
      <formula>AND($H4&lt;&gt;"", $H4=IFERROR(INDEX($H:$H,4+1),""), NOT($H4=IFERROR(INDEX($H:$H,4-1),"")))</formula>
    </cfRule>
  </conditionalFormatting>
  <conditionalFormatting sqref="F4">
    <cfRule type="expression" priority="2" dxfId="0" stopIfTrue="1">
      <formula>AND($H4&lt;&gt;"", $H4=IFERROR(INDEX($H:$H,4-1),""), $H4=IFERROR(INDEX($H:$H,4+1),""))</formula>
    </cfRule>
    <cfRule type="expression" priority="35" dxfId="1" stopIfTrue="1">
      <formula>AND($H4&lt;&gt;"", $H4=IFERROR(INDEX($H:$H,4-1),""), NOT($H4=IFERROR(INDEX($H:$H,4+1),"")))</formula>
    </cfRule>
    <cfRule type="expression" priority="68" dxfId="1" stopIfTrue="1">
      <formula>AND($H4&lt;&gt;"", $H4=IFERROR(INDEX($H:$H,4+1),""), NOT($H4=IFERROR(INDEX($H:$H,4-1),"")))</formula>
    </cfRule>
  </conditionalFormatting>
  <conditionalFormatting sqref="G4">
    <cfRule type="expression" priority="3" dxfId="0" stopIfTrue="1">
      <formula>AND($H4&lt;&gt;"", $H4=IFERROR(INDEX($H:$H,4-1),""), $H4=IFERROR(INDEX($H:$H,4+1),""))</formula>
    </cfRule>
    <cfRule type="expression" priority="36" dxfId="1" stopIfTrue="1">
      <formula>AND($H4&lt;&gt;"", $H4=IFERROR(INDEX($H:$H,4-1),""), NOT($H4=IFERROR(INDEX($H:$H,4+1),"")))</formula>
    </cfRule>
    <cfRule type="expression" priority="69" dxfId="1" stopIfTrue="1">
      <formula>AND($H4&lt;&gt;"", $H4=IFERROR(INDEX($H:$H,4+1),""), NOT($H4=IFERROR(INDEX($H:$H,4-1),"")))</formula>
    </cfRule>
  </conditionalFormatting>
  <conditionalFormatting sqref="E5">
    <cfRule type="expression" priority="4" dxfId="0" stopIfTrue="1">
      <formula>AND($H5&lt;&gt;"", $H5=IFERROR(INDEX($H:$H,5-1),""), $H5=IFERROR(INDEX($H:$H,5+1),""))</formula>
    </cfRule>
    <cfRule type="expression" priority="37" dxfId="1" stopIfTrue="1">
      <formula>AND($H5&lt;&gt;"", $H5=IFERROR(INDEX($H:$H,5-1),""), NOT($H5=IFERROR(INDEX($H:$H,5+1),"")))</formula>
    </cfRule>
    <cfRule type="expression" priority="70" dxfId="1" stopIfTrue="1">
      <formula>AND($H5&lt;&gt;"", $H5=IFERROR(INDEX($H:$H,5+1),""), NOT($H5=IFERROR(INDEX($H:$H,5-1),"")))</formula>
    </cfRule>
  </conditionalFormatting>
  <conditionalFormatting sqref="F5">
    <cfRule type="expression" priority="5" dxfId="0" stopIfTrue="1">
      <formula>AND($H5&lt;&gt;"", $H5=IFERROR(INDEX($H:$H,5-1),""), $H5=IFERROR(INDEX($H:$H,5+1),""))</formula>
    </cfRule>
    <cfRule type="expression" priority="38" dxfId="1" stopIfTrue="1">
      <formula>AND($H5&lt;&gt;"", $H5=IFERROR(INDEX($H:$H,5-1),""), NOT($H5=IFERROR(INDEX($H:$H,5+1),"")))</formula>
    </cfRule>
    <cfRule type="expression" priority="71" dxfId="1" stopIfTrue="1">
      <formula>AND($H5&lt;&gt;"", $H5=IFERROR(INDEX($H:$H,5+1),""), NOT($H5=IFERROR(INDEX($H:$H,5-1),"")))</formula>
    </cfRule>
  </conditionalFormatting>
  <conditionalFormatting sqref="G5">
    <cfRule type="expression" priority="6" dxfId="0" stopIfTrue="1">
      <formula>AND($H5&lt;&gt;"", $H5=IFERROR(INDEX($H:$H,5-1),""), $H5=IFERROR(INDEX($H:$H,5+1),""))</formula>
    </cfRule>
    <cfRule type="expression" priority="39" dxfId="1" stopIfTrue="1">
      <formula>AND($H5&lt;&gt;"", $H5=IFERROR(INDEX($H:$H,5-1),""), NOT($H5=IFERROR(INDEX($H:$H,5+1),"")))</formula>
    </cfRule>
    <cfRule type="expression" priority="72" dxfId="1" stopIfTrue="1">
      <formula>AND($H5&lt;&gt;"", $H5=IFERROR(INDEX($H:$H,5+1),""), NOT($H5=IFERROR(INDEX($H:$H,5-1),"")))</formula>
    </cfRule>
  </conditionalFormatting>
  <conditionalFormatting sqref="E6">
    <cfRule type="expression" priority="7" dxfId="0" stopIfTrue="1">
      <formula>AND($H6&lt;&gt;"", $H6=IFERROR(INDEX($H:$H,6-1),""), $H6=IFERROR(INDEX($H:$H,6+1),""))</formula>
    </cfRule>
    <cfRule type="expression" priority="40" dxfId="1" stopIfTrue="1">
      <formula>AND($H6&lt;&gt;"", $H6=IFERROR(INDEX($H:$H,6-1),""), NOT($H6=IFERROR(INDEX($H:$H,6+1),"")))</formula>
    </cfRule>
    <cfRule type="expression" priority="73" dxfId="1" stopIfTrue="1">
      <formula>AND($H6&lt;&gt;"", $H6=IFERROR(INDEX($H:$H,6+1),""), NOT($H6=IFERROR(INDEX($H:$H,6-1),"")))</formula>
    </cfRule>
  </conditionalFormatting>
  <conditionalFormatting sqref="F6">
    <cfRule type="expression" priority="8" dxfId="0" stopIfTrue="1">
      <formula>AND($H6&lt;&gt;"", $H6=IFERROR(INDEX($H:$H,6-1),""), $H6=IFERROR(INDEX($H:$H,6+1),""))</formula>
    </cfRule>
    <cfRule type="expression" priority="41" dxfId="1" stopIfTrue="1">
      <formula>AND($H6&lt;&gt;"", $H6=IFERROR(INDEX($H:$H,6-1),""), NOT($H6=IFERROR(INDEX($H:$H,6+1),"")))</formula>
    </cfRule>
    <cfRule type="expression" priority="74" dxfId="1" stopIfTrue="1">
      <formula>AND($H6&lt;&gt;"", $H6=IFERROR(INDEX($H:$H,6+1),""), NOT($H6=IFERROR(INDEX($H:$H,6-1),"")))</formula>
    </cfRule>
  </conditionalFormatting>
  <conditionalFormatting sqref="G6">
    <cfRule type="expression" priority="9" dxfId="0" stopIfTrue="1">
      <formula>AND($H6&lt;&gt;"", $H6=IFERROR(INDEX($H:$H,6-1),""), $H6=IFERROR(INDEX($H:$H,6+1),""))</formula>
    </cfRule>
    <cfRule type="expression" priority="42" dxfId="1" stopIfTrue="1">
      <formula>AND($H6&lt;&gt;"", $H6=IFERROR(INDEX($H:$H,6-1),""), NOT($H6=IFERROR(INDEX($H:$H,6+1),"")))</formula>
    </cfRule>
    <cfRule type="expression" priority="75" dxfId="1" stopIfTrue="1">
      <formula>AND($H6&lt;&gt;"", $H6=IFERROR(INDEX($H:$H,6+1),""), NOT($H6=IFERROR(INDEX($H:$H,6-1),"")))</formula>
    </cfRule>
  </conditionalFormatting>
  <conditionalFormatting sqref="E7">
    <cfRule type="expression" priority="10" dxfId="0" stopIfTrue="1">
      <formula>AND($H7&lt;&gt;"", $H7=IFERROR(INDEX($H:$H,7-1),""), $H7=IFERROR(INDEX($H:$H,7+1),""))</formula>
    </cfRule>
    <cfRule type="expression" priority="43" dxfId="1" stopIfTrue="1">
      <formula>AND($H7&lt;&gt;"", $H7=IFERROR(INDEX($H:$H,7-1),""), NOT($H7=IFERROR(INDEX($H:$H,7+1),"")))</formula>
    </cfRule>
    <cfRule type="expression" priority="76" dxfId="1" stopIfTrue="1">
      <formula>AND($H7&lt;&gt;"", $H7=IFERROR(INDEX($H:$H,7+1),""), NOT($H7=IFERROR(INDEX($H:$H,7-1),"")))</formula>
    </cfRule>
  </conditionalFormatting>
  <conditionalFormatting sqref="F7">
    <cfRule type="expression" priority="11" dxfId="0" stopIfTrue="1">
      <formula>AND($H7&lt;&gt;"", $H7=IFERROR(INDEX($H:$H,7-1),""), $H7=IFERROR(INDEX($H:$H,7+1),""))</formula>
    </cfRule>
    <cfRule type="expression" priority="44" dxfId="1" stopIfTrue="1">
      <formula>AND($H7&lt;&gt;"", $H7=IFERROR(INDEX($H:$H,7-1),""), NOT($H7=IFERROR(INDEX($H:$H,7+1),"")))</formula>
    </cfRule>
    <cfRule type="expression" priority="77" dxfId="1" stopIfTrue="1">
      <formula>AND($H7&lt;&gt;"", $H7=IFERROR(INDEX($H:$H,7+1),""), NOT($H7=IFERROR(INDEX($H:$H,7-1),"")))</formula>
    </cfRule>
  </conditionalFormatting>
  <conditionalFormatting sqref="G7">
    <cfRule type="expression" priority="12" dxfId="0" stopIfTrue="1">
      <formula>AND($H7&lt;&gt;"", $H7=IFERROR(INDEX($H:$H,7-1),""), $H7=IFERROR(INDEX($H:$H,7+1),""))</formula>
    </cfRule>
    <cfRule type="expression" priority="45" dxfId="1" stopIfTrue="1">
      <formula>AND($H7&lt;&gt;"", $H7=IFERROR(INDEX($H:$H,7-1),""), NOT($H7=IFERROR(INDEX($H:$H,7+1),"")))</formula>
    </cfRule>
    <cfRule type="expression" priority="78" dxfId="1" stopIfTrue="1">
      <formula>AND($H7&lt;&gt;"", $H7=IFERROR(INDEX($H:$H,7+1),""), NOT($H7=IFERROR(INDEX($H:$H,7-1),"")))</formula>
    </cfRule>
  </conditionalFormatting>
  <conditionalFormatting sqref="E8">
    <cfRule type="expression" priority="13" dxfId="0" stopIfTrue="1">
      <formula>AND($H8&lt;&gt;"", $H8=IFERROR(INDEX($H:$H,8-1),""), $H8=IFERROR(INDEX($H:$H,8+1),""))</formula>
    </cfRule>
    <cfRule type="expression" priority="46" dxfId="1" stopIfTrue="1">
      <formula>AND($H8&lt;&gt;"", $H8=IFERROR(INDEX($H:$H,8-1),""), NOT($H8=IFERROR(INDEX($H:$H,8+1),"")))</formula>
    </cfRule>
    <cfRule type="expression" priority="79" dxfId="1" stopIfTrue="1">
      <formula>AND($H8&lt;&gt;"", $H8=IFERROR(INDEX($H:$H,8+1),""), NOT($H8=IFERROR(INDEX($H:$H,8-1),"")))</formula>
    </cfRule>
  </conditionalFormatting>
  <conditionalFormatting sqref="F8">
    <cfRule type="expression" priority="14" dxfId="0" stopIfTrue="1">
      <formula>AND($H8&lt;&gt;"", $H8=IFERROR(INDEX($H:$H,8-1),""), $H8=IFERROR(INDEX($H:$H,8+1),""))</formula>
    </cfRule>
    <cfRule type="expression" priority="47" dxfId="1" stopIfTrue="1">
      <formula>AND($H8&lt;&gt;"", $H8=IFERROR(INDEX($H:$H,8-1),""), NOT($H8=IFERROR(INDEX($H:$H,8+1),"")))</formula>
    </cfRule>
    <cfRule type="expression" priority="80" dxfId="1" stopIfTrue="1">
      <formula>AND($H8&lt;&gt;"", $H8=IFERROR(INDEX($H:$H,8+1),""), NOT($H8=IFERROR(INDEX($H:$H,8-1),"")))</formula>
    </cfRule>
  </conditionalFormatting>
  <conditionalFormatting sqref="G8">
    <cfRule type="expression" priority="15" dxfId="0" stopIfTrue="1">
      <formula>AND($H8&lt;&gt;"", $H8=IFERROR(INDEX($H:$H,8-1),""), $H8=IFERROR(INDEX($H:$H,8+1),""))</formula>
    </cfRule>
    <cfRule type="expression" priority="48" dxfId="1" stopIfTrue="1">
      <formula>AND($H8&lt;&gt;"", $H8=IFERROR(INDEX($H:$H,8-1),""), NOT($H8=IFERROR(INDEX($H:$H,8+1),"")))</formula>
    </cfRule>
    <cfRule type="expression" priority="81" dxfId="1" stopIfTrue="1">
      <formula>AND($H8&lt;&gt;"", $H8=IFERROR(INDEX($H:$H,8+1),""), NOT($H8=IFERROR(INDEX($H:$H,8-1),"")))</formula>
    </cfRule>
  </conditionalFormatting>
  <conditionalFormatting sqref="E9">
    <cfRule type="expression" priority="16" dxfId="0" stopIfTrue="1">
      <formula>AND($H9&lt;&gt;"", $H9=IFERROR(INDEX($H:$H,9-1),""), $H9=IFERROR(INDEX($H:$H,9+1),""))</formula>
    </cfRule>
    <cfRule type="expression" priority="49" dxfId="1" stopIfTrue="1">
      <formula>AND($H9&lt;&gt;"", $H9=IFERROR(INDEX($H:$H,9-1),""), NOT($H9=IFERROR(INDEX($H:$H,9+1),"")))</formula>
    </cfRule>
    <cfRule type="expression" priority="82" dxfId="1" stopIfTrue="1">
      <formula>AND($H9&lt;&gt;"", $H9=IFERROR(INDEX($H:$H,9+1),""), NOT($H9=IFERROR(INDEX($H:$H,9-1),"")))</formula>
    </cfRule>
  </conditionalFormatting>
  <conditionalFormatting sqref="F9">
    <cfRule type="expression" priority="17" dxfId="0" stopIfTrue="1">
      <formula>AND($H9&lt;&gt;"", $H9=IFERROR(INDEX($H:$H,9-1),""), $H9=IFERROR(INDEX($H:$H,9+1),""))</formula>
    </cfRule>
    <cfRule type="expression" priority="50" dxfId="1" stopIfTrue="1">
      <formula>AND($H9&lt;&gt;"", $H9=IFERROR(INDEX($H:$H,9-1),""), NOT($H9=IFERROR(INDEX($H:$H,9+1),"")))</formula>
    </cfRule>
    <cfRule type="expression" priority="83" dxfId="1" stopIfTrue="1">
      <formula>AND($H9&lt;&gt;"", $H9=IFERROR(INDEX($H:$H,9+1),""), NOT($H9=IFERROR(INDEX($H:$H,9-1),"")))</formula>
    </cfRule>
  </conditionalFormatting>
  <conditionalFormatting sqref="G9">
    <cfRule type="expression" priority="18" dxfId="0" stopIfTrue="1">
      <formula>AND($H9&lt;&gt;"", $H9=IFERROR(INDEX($H:$H,9-1),""), $H9=IFERROR(INDEX($H:$H,9+1),""))</formula>
    </cfRule>
    <cfRule type="expression" priority="51" dxfId="1" stopIfTrue="1">
      <formula>AND($H9&lt;&gt;"", $H9=IFERROR(INDEX($H:$H,9-1),""), NOT($H9=IFERROR(INDEX($H:$H,9+1),"")))</formula>
    </cfRule>
    <cfRule type="expression" priority="84" dxfId="1" stopIfTrue="1">
      <formula>AND($H9&lt;&gt;"", $H9=IFERROR(INDEX($H:$H,9+1),""), NOT($H9=IFERROR(INDEX($H:$H,9-1),"")))</formula>
    </cfRule>
  </conditionalFormatting>
  <conditionalFormatting sqref="E10">
    <cfRule type="expression" priority="19" dxfId="0" stopIfTrue="1">
      <formula>AND($H10&lt;&gt;"", $H10=IFERROR(INDEX($H:$H,10-1),""), $H10=IFERROR(INDEX($H:$H,10+1),""))</formula>
    </cfRule>
    <cfRule type="expression" priority="52" dxfId="1" stopIfTrue="1">
      <formula>AND($H10&lt;&gt;"", $H10=IFERROR(INDEX($H:$H,10-1),""), NOT($H10=IFERROR(INDEX($H:$H,10+1),"")))</formula>
    </cfRule>
    <cfRule type="expression" priority="85" dxfId="1" stopIfTrue="1">
      <formula>AND($H10&lt;&gt;"", $H10=IFERROR(INDEX($H:$H,10+1),""), NOT($H10=IFERROR(INDEX($H:$H,10-1),"")))</formula>
    </cfRule>
  </conditionalFormatting>
  <conditionalFormatting sqref="F10">
    <cfRule type="expression" priority="20" dxfId="0" stopIfTrue="1">
      <formula>AND($H10&lt;&gt;"", $H10=IFERROR(INDEX($H:$H,10-1),""), $H10=IFERROR(INDEX($H:$H,10+1),""))</formula>
    </cfRule>
    <cfRule type="expression" priority="53" dxfId="1" stopIfTrue="1">
      <formula>AND($H10&lt;&gt;"", $H10=IFERROR(INDEX($H:$H,10-1),""), NOT($H10=IFERROR(INDEX($H:$H,10+1),"")))</formula>
    </cfRule>
    <cfRule type="expression" priority="86" dxfId="1" stopIfTrue="1">
      <formula>AND($H10&lt;&gt;"", $H10=IFERROR(INDEX($H:$H,10+1),""), NOT($H10=IFERROR(INDEX($H:$H,10-1),"")))</formula>
    </cfRule>
  </conditionalFormatting>
  <conditionalFormatting sqref="G10">
    <cfRule type="expression" priority="21" dxfId="0" stopIfTrue="1">
      <formula>AND($H10&lt;&gt;"", $H10=IFERROR(INDEX($H:$H,10-1),""), $H10=IFERROR(INDEX($H:$H,10+1),""))</formula>
    </cfRule>
    <cfRule type="expression" priority="54" dxfId="1" stopIfTrue="1">
      <formula>AND($H10&lt;&gt;"", $H10=IFERROR(INDEX($H:$H,10-1),""), NOT($H10=IFERROR(INDEX($H:$H,10+1),"")))</formula>
    </cfRule>
    <cfRule type="expression" priority="87" dxfId="1" stopIfTrue="1">
      <formula>AND($H10&lt;&gt;"", $H10=IFERROR(INDEX($H:$H,10+1),""), NOT($H10=IFERROR(INDEX($H:$H,10-1),"")))</formula>
    </cfRule>
  </conditionalFormatting>
  <conditionalFormatting sqref="E11">
    <cfRule type="expression" priority="22" dxfId="0" stopIfTrue="1">
      <formula>AND($H11&lt;&gt;"", $H11=IFERROR(INDEX($H:$H,11-1),""), $H11=IFERROR(INDEX($H:$H,11+1),""))</formula>
    </cfRule>
    <cfRule type="expression" priority="55" dxfId="1" stopIfTrue="1">
      <formula>AND($H11&lt;&gt;"", $H11=IFERROR(INDEX($H:$H,11-1),""), NOT($H11=IFERROR(INDEX($H:$H,11+1),"")))</formula>
    </cfRule>
    <cfRule type="expression" priority="88" dxfId="1" stopIfTrue="1">
      <formula>AND($H11&lt;&gt;"", $H11=IFERROR(INDEX($H:$H,11+1),""), NOT($H11=IFERROR(INDEX($H:$H,11-1),"")))</formula>
    </cfRule>
  </conditionalFormatting>
  <conditionalFormatting sqref="F11">
    <cfRule type="expression" priority="23" dxfId="0" stopIfTrue="1">
      <formula>AND($H11&lt;&gt;"", $H11=IFERROR(INDEX($H:$H,11-1),""), $H11=IFERROR(INDEX($H:$H,11+1),""))</formula>
    </cfRule>
    <cfRule type="expression" priority="56" dxfId="1" stopIfTrue="1">
      <formula>AND($H11&lt;&gt;"", $H11=IFERROR(INDEX($H:$H,11-1),""), NOT($H11=IFERROR(INDEX($H:$H,11+1),"")))</formula>
    </cfRule>
    <cfRule type="expression" priority="89" dxfId="1" stopIfTrue="1">
      <formula>AND($H11&lt;&gt;"", $H11=IFERROR(INDEX($H:$H,11+1),""), NOT($H11=IFERROR(INDEX($H:$H,11-1),"")))</formula>
    </cfRule>
  </conditionalFormatting>
  <conditionalFormatting sqref="G11">
    <cfRule type="expression" priority="24" dxfId="0" stopIfTrue="1">
      <formula>AND($H11&lt;&gt;"", $H11=IFERROR(INDEX($H:$H,11-1),""), $H11=IFERROR(INDEX($H:$H,11+1),""))</formula>
    </cfRule>
    <cfRule type="expression" priority="57" dxfId="1" stopIfTrue="1">
      <formula>AND($H11&lt;&gt;"", $H11=IFERROR(INDEX($H:$H,11-1),""), NOT($H11=IFERROR(INDEX($H:$H,11+1),"")))</formula>
    </cfRule>
    <cfRule type="expression" priority="90" dxfId="1" stopIfTrue="1">
      <formula>AND($H11&lt;&gt;"", $H11=IFERROR(INDEX($H:$H,11+1),""), NOT($H11=IFERROR(INDEX($H:$H,11-1),"")))</formula>
    </cfRule>
  </conditionalFormatting>
  <conditionalFormatting sqref="E12">
    <cfRule type="expression" priority="25" dxfId="0" stopIfTrue="1">
      <formula>AND($H12&lt;&gt;"", $H12=IFERROR(INDEX($H:$H,12-1),""), $H12=IFERROR(INDEX($H:$H,12+1),""))</formula>
    </cfRule>
    <cfRule type="expression" priority="58" dxfId="1" stopIfTrue="1">
      <formula>AND($H12&lt;&gt;"", $H12=IFERROR(INDEX($H:$H,12-1),""), NOT($H12=IFERROR(INDEX($H:$H,12+1),"")))</formula>
    </cfRule>
    <cfRule type="expression" priority="91" dxfId="1" stopIfTrue="1">
      <formula>AND($H12&lt;&gt;"", $H12=IFERROR(INDEX($H:$H,12+1),""), NOT($H12=IFERROR(INDEX($H:$H,12-1),"")))</formula>
    </cfRule>
  </conditionalFormatting>
  <conditionalFormatting sqref="F12">
    <cfRule type="expression" priority="26" dxfId="0" stopIfTrue="1">
      <formula>AND($H12&lt;&gt;"", $H12=IFERROR(INDEX($H:$H,12-1),""), $H12=IFERROR(INDEX($H:$H,12+1),""))</formula>
    </cfRule>
    <cfRule type="expression" priority="59" dxfId="1" stopIfTrue="1">
      <formula>AND($H12&lt;&gt;"", $H12=IFERROR(INDEX($H:$H,12-1),""), NOT($H12=IFERROR(INDEX($H:$H,12+1),"")))</formula>
    </cfRule>
    <cfRule type="expression" priority="92" dxfId="1" stopIfTrue="1">
      <formula>AND($H12&lt;&gt;"", $H12=IFERROR(INDEX($H:$H,12+1),""), NOT($H12=IFERROR(INDEX($H:$H,12-1),"")))</formula>
    </cfRule>
  </conditionalFormatting>
  <conditionalFormatting sqref="G12">
    <cfRule type="expression" priority="27" dxfId="0" stopIfTrue="1">
      <formula>AND($H12&lt;&gt;"", $H12=IFERROR(INDEX($H:$H,12-1),""), $H12=IFERROR(INDEX($H:$H,12+1),""))</formula>
    </cfRule>
    <cfRule type="expression" priority="60" dxfId="1" stopIfTrue="1">
      <formula>AND($H12&lt;&gt;"", $H12=IFERROR(INDEX($H:$H,12-1),""), NOT($H12=IFERROR(INDEX($H:$H,12+1),"")))</formula>
    </cfRule>
    <cfRule type="expression" priority="93" dxfId="1" stopIfTrue="1">
      <formula>AND($H12&lt;&gt;"", $H12=IFERROR(INDEX($H:$H,12+1),""), NOT($H12=IFERROR(INDEX($H:$H,12-1),"")))</formula>
    </cfRule>
  </conditionalFormatting>
  <conditionalFormatting sqref="E13">
    <cfRule type="expression" priority="28" dxfId="0" stopIfTrue="1">
      <formula>AND($H13&lt;&gt;"", $H13=IFERROR(INDEX($H:$H,13-1),""), $H13=IFERROR(INDEX($H:$H,13+1),""))</formula>
    </cfRule>
    <cfRule type="expression" priority="61" dxfId="1" stopIfTrue="1">
      <formula>AND($H13&lt;&gt;"", $H13=IFERROR(INDEX($H:$H,13-1),""), NOT($H13=IFERROR(INDEX($H:$H,13+1),"")))</formula>
    </cfRule>
    <cfRule type="expression" priority="94" dxfId="1" stopIfTrue="1">
      <formula>AND($H13&lt;&gt;"", $H13=IFERROR(INDEX($H:$H,13+1),""), NOT($H13=IFERROR(INDEX($H:$H,13-1),"")))</formula>
    </cfRule>
  </conditionalFormatting>
  <conditionalFormatting sqref="F13">
    <cfRule type="expression" priority="29" dxfId="0" stopIfTrue="1">
      <formula>AND($H13&lt;&gt;"", $H13=IFERROR(INDEX($H:$H,13-1),""), $H13=IFERROR(INDEX($H:$H,13+1),""))</formula>
    </cfRule>
    <cfRule type="expression" priority="62" dxfId="1" stopIfTrue="1">
      <formula>AND($H13&lt;&gt;"", $H13=IFERROR(INDEX($H:$H,13-1),""), NOT($H13=IFERROR(INDEX($H:$H,13+1),"")))</formula>
    </cfRule>
    <cfRule type="expression" priority="95" dxfId="1" stopIfTrue="1">
      <formula>AND($H13&lt;&gt;"", $H13=IFERROR(INDEX($H:$H,13+1),""), NOT($H13=IFERROR(INDEX($H:$H,13-1),"")))</formula>
    </cfRule>
  </conditionalFormatting>
  <conditionalFormatting sqref="G13">
    <cfRule type="expression" priority="30" dxfId="0" stopIfTrue="1">
      <formula>AND($H13&lt;&gt;"", $H13=IFERROR(INDEX($H:$H,13-1),""), $H13=IFERROR(INDEX($H:$H,13+1),""))</formula>
    </cfRule>
    <cfRule type="expression" priority="63" dxfId="1" stopIfTrue="1">
      <formula>AND($H13&lt;&gt;"", $H13=IFERROR(INDEX($H:$H,13-1),""), NOT($H13=IFERROR(INDEX($H:$H,13+1),"")))</formula>
    </cfRule>
    <cfRule type="expression" priority="96" dxfId="1" stopIfTrue="1">
      <formula>AND($H13&lt;&gt;"", $H13=IFERROR(INDEX($H:$H,13+1),""), NOT($H13=IFERROR(INDEX($H:$H,13-1),"")))</formula>
    </cfRule>
  </conditionalFormatting>
  <conditionalFormatting sqref="E14">
    <cfRule type="expression" priority="31" dxfId="0" stopIfTrue="1">
      <formula>AND($H14&lt;&gt;"", $H14=IFERROR(INDEX($H:$H,14-1),""), $H14=IFERROR(INDEX($H:$H,14+1),""))</formula>
    </cfRule>
    <cfRule type="expression" priority="64" dxfId="1" stopIfTrue="1">
      <formula>AND($H14&lt;&gt;"", $H14=IFERROR(INDEX($H:$H,14-1),""), NOT($H14=IFERROR(INDEX($H:$H,14+1),"")))</formula>
    </cfRule>
    <cfRule type="expression" priority="97" dxfId="1" stopIfTrue="1">
      <formula>AND($H14&lt;&gt;"", $H14=IFERROR(INDEX($H:$H,14+1),""), NOT($H14=IFERROR(INDEX($H:$H,14-1),"")))</formula>
    </cfRule>
  </conditionalFormatting>
  <conditionalFormatting sqref="F14">
    <cfRule type="expression" priority="32" dxfId="0" stopIfTrue="1">
      <formula>AND($H14&lt;&gt;"", $H14=IFERROR(INDEX($H:$H,14-1),""), $H14=IFERROR(INDEX($H:$H,14+1),""))</formula>
    </cfRule>
    <cfRule type="expression" priority="65" dxfId="1" stopIfTrue="1">
      <formula>AND($H14&lt;&gt;"", $H14=IFERROR(INDEX($H:$H,14-1),""), NOT($H14=IFERROR(INDEX($H:$H,14+1),"")))</formula>
    </cfRule>
    <cfRule type="expression" priority="98" dxfId="1" stopIfTrue="1">
      <formula>AND($H14&lt;&gt;"", $H14=IFERROR(INDEX($H:$H,14+1),""), NOT($H14=IFERROR(INDEX($H:$H,14-1),"")))</formula>
    </cfRule>
  </conditionalFormatting>
  <conditionalFormatting sqref="G14">
    <cfRule type="expression" priority="33" dxfId="0" stopIfTrue="1">
      <formula>AND($H14&lt;&gt;"", $H14=IFERROR(INDEX($H:$H,14-1),""), $H14=IFERROR(INDEX($H:$H,14+1),""))</formula>
    </cfRule>
    <cfRule type="expression" priority="66" dxfId="1" stopIfTrue="1">
      <formula>AND($H14&lt;&gt;"", $H14=IFERROR(INDEX($H:$H,14-1),""), NOT($H14=IFERROR(INDEX($H:$H,14+1),"")))</formula>
    </cfRule>
    <cfRule type="expression" priority="99" dxfId="1" stopIfTrue="1">
      <formula>AND($H14&lt;&gt;"", $H14=IFERROR(INDEX($H:$H,14+1),""), NOT($H14=IFERROR(INDEX($H:$H,14-1),"")))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0" customWidth="1" min="4" max="4"/>
    <col width="10" customWidth="1" min="5" max="5"/>
    <col width="36" customWidth="1" min="6" max="6"/>
    <col width="28" customWidth="1" min="7" max="7"/>
  </cols>
  <sheetData>
    <row r="1">
      <c r="A1" s="5" t="inlineStr">
        <is>
          <t>Día</t>
        </is>
      </c>
      <c r="B1" s="5" t="inlineStr">
        <is>
          <t>Programas</t>
        </is>
      </c>
      <c r="C1" s="5" t="inlineStr">
        <is>
          <t>Minutos</t>
        </is>
      </c>
      <c r="D1" s="5" t="inlineStr">
        <is>
          <t>Inicio</t>
        </is>
      </c>
      <c r="E1" s="5" t="inlineStr">
        <is>
          <t>Fin</t>
        </is>
      </c>
      <c r="F1" s="5" t="inlineStr">
        <is>
          <t>Tipos</t>
        </is>
      </c>
      <c r="G1" s="5" t="inlineStr">
        <is>
          <t>Públicos</t>
        </is>
      </c>
    </row>
    <row r="2">
      <c r="A2" s="4" t="inlineStr">
        <is>
          <t>Lunes</t>
        </is>
      </c>
      <c r="B2" s="4" t="n">
        <v>17</v>
      </c>
      <c r="C2" s="4" t="n">
        <v>480</v>
      </c>
      <c r="D2" s="4" t="inlineStr">
        <is>
          <t>16:00</t>
        </is>
      </c>
      <c r="E2" s="4" t="inlineStr">
        <is>
          <t>00:00</t>
        </is>
      </c>
      <c r="F2" s="4" t="inlineStr">
        <is>
          <t>cine, cultural, entrevista, ficción, infantil, informativo, musical, revista</t>
        </is>
      </c>
      <c r="G2" s="4" t="inlineStr">
        <is>
          <t>adulto, infantil, juvenil</t>
        </is>
      </c>
    </row>
    <row r="3">
      <c r="A3" s="4" t="inlineStr">
        <is>
          <t>Martes</t>
        </is>
      </c>
      <c r="B3" s="4" t="n">
        <v>9</v>
      </c>
      <c r="C3" s="4" t="n">
        <v>270</v>
      </c>
      <c r="D3" s="4" t="inlineStr">
        <is>
          <t>19:30</t>
        </is>
      </c>
      <c r="E3" s="4" t="inlineStr">
        <is>
          <t>00:00</t>
        </is>
      </c>
      <c r="F3" s="4" t="inlineStr">
        <is>
          <t>cultural, entrevista, ficción, informativo, musical, salud</t>
        </is>
      </c>
      <c r="G3" s="4" t="inlineStr">
        <is>
          <t>adulto, juvenil</t>
        </is>
      </c>
    </row>
    <row r="4">
      <c r="A4" s="4" t="inlineStr">
        <is>
          <t>Miércoles</t>
        </is>
      </c>
      <c r="B4" s="4" t="n">
        <v>7</v>
      </c>
      <c r="C4" s="4" t="n">
        <v>242</v>
      </c>
      <c r="D4" s="4" t="inlineStr">
        <is>
          <t>19:45</t>
        </is>
      </c>
      <c r="E4" s="4" t="inlineStr">
        <is>
          <t>23:47</t>
        </is>
      </c>
      <c r="F4" s="4" t="inlineStr">
        <is>
          <t>cine, cultural, informativo, musical</t>
        </is>
      </c>
      <c r="G4" s="4" t="inlineStr">
        <is>
          <t>adulto, juvenil</t>
        </is>
      </c>
    </row>
    <row r="5">
      <c r="A5" s="4" t="inlineStr">
        <is>
          <t>Jueves</t>
        </is>
      </c>
      <c r="B5" s="4" t="n">
        <v>18</v>
      </c>
      <c r="C5" s="4" t="n">
        <v>480</v>
      </c>
      <c r="D5" s="4" t="inlineStr">
        <is>
          <t>16:00</t>
        </is>
      </c>
      <c r="E5" s="4" t="inlineStr">
        <is>
          <t>00:00</t>
        </is>
      </c>
      <c r="F5" s="4" t="inlineStr">
        <is>
          <t>animacion, cultural, ficción, infantil, informativo, musical, revista, salud</t>
        </is>
      </c>
      <c r="G5" s="4" t="inlineStr">
        <is>
          <t>adulto, infantil, juvenil</t>
        </is>
      </c>
    </row>
    <row r="6">
      <c r="A6" s="4" t="inlineStr">
        <is>
          <t>Viernes</t>
        </is>
      </c>
      <c r="B6" s="4" t="n">
        <v>12</v>
      </c>
      <c r="C6" s="4" t="n">
        <v>450</v>
      </c>
      <c r="D6" s="4" t="inlineStr">
        <is>
          <t>16:30</t>
        </is>
      </c>
      <c r="E6" s="4" t="inlineStr">
        <is>
          <t>00:00</t>
        </is>
      </c>
      <c r="F6" s="4" t="inlineStr">
        <is>
          <t>cine, cultural, documental, entrevista, ficción, informativo, musical</t>
        </is>
      </c>
      <c r="G6" s="4" t="inlineStr">
        <is>
          <t>adulto, infantil, toda-la-familia</t>
        </is>
      </c>
    </row>
    <row r="7">
      <c r="A7" s="4" t="inlineStr">
        <is>
          <t>Sábado</t>
        </is>
      </c>
      <c r="B7" s="4" t="n">
        <v>14</v>
      </c>
      <c r="C7" s="4" t="n">
        <v>480</v>
      </c>
      <c r="D7" s="4" t="inlineStr">
        <is>
          <t>16:00</t>
        </is>
      </c>
      <c r="E7" s="4" t="inlineStr">
        <is>
          <t>00:00</t>
        </is>
      </c>
      <c r="F7" s="4" t="inlineStr">
        <is>
          <t>animacion, cine, cultural, deporte, ficción, infantil, informativo, musical</t>
        </is>
      </c>
      <c r="G7" s="4" t="inlineStr">
        <is>
          <t>adulto, infantil, juvenil, toda-la-familia</t>
        </is>
      </c>
    </row>
    <row r="8">
      <c r="A8" s="4" t="inlineStr">
        <is>
          <t>Domingo</t>
        </is>
      </c>
      <c r="B8" s="4" t="n">
        <v>11</v>
      </c>
      <c r="C8" s="4" t="n">
        <v>1315</v>
      </c>
      <c r="D8" s="4" t="inlineStr">
        <is>
          <t>02:00</t>
        </is>
      </c>
      <c r="E8" s="4" t="inlineStr">
        <is>
          <t>23:55</t>
        </is>
      </c>
      <c r="F8" s="4" t="inlineStr">
        <is>
          <t>cine, cultural, deporte, documental, entrevista, informativo, musical</t>
        </is>
      </c>
      <c r="G8" s="4" t="inlineStr">
        <is>
          <t>adulto, toda-la-familia</t>
        </is>
      </c>
    </row>
    <row r="9">
      <c r="A9" s="6" t="inlineStr">
        <is>
          <t>TOTAL</t>
        </is>
      </c>
      <c r="B9" s="6" t="n">
        <v>88</v>
      </c>
      <c r="C9" s="6" t="n">
        <v>3717</v>
      </c>
      <c r="D9" s="6" t="inlineStr"/>
      <c r="E9" s="6" t="inlineStr"/>
      <c r="F9" s="6" t="inlineStr"/>
      <c r="G9" s="6" t="inlineStr">
        <is>
          <t>Canal Habana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2026-04-16T00:10:05Z</dcterms:created>
  <dcterms:modified xmlns:dcterms="http://purl.org/dc/terms/" xmlns:xsi="http://www.w3.org/2001/XMLSchema-instance" xsi:type="dcterms:W3CDTF">2026-04-16T00:10:06Z</dcterms:modified>
</cp:coreProperties>
</file>