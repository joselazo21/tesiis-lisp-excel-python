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111" sheetId="1" state="visible" r:id="rId1"/>
    <sheet xmlns:r="http://schemas.openxmlformats.org/officeDocument/2006/relationships" name="D211" sheetId="2" state="visible" r:id="rId2"/>
    <sheet xmlns:r="http://schemas.openxmlformats.org/officeDocument/2006/relationships" name="D311" sheetId="3" state="visible" r:id="rId3"/>
    <sheet xmlns:r="http://schemas.openxmlformats.org/officeDocument/2006/relationships" name="D411" sheetId="4" state="visible" r:id="rId4"/>
    <sheet xmlns:r="http://schemas.openxmlformats.org/officeDocument/2006/relationships" name="C111" sheetId="5" state="visible" r:id="rId5"/>
    <sheet xmlns:r="http://schemas.openxmlformats.org/officeDocument/2006/relationships" name="C121" sheetId="6" state="visible" r:id="rId6"/>
    <sheet xmlns:r="http://schemas.openxmlformats.org/officeDocument/2006/relationships" name="C122" sheetId="7" state="visible" r:id="rId7"/>
    <sheet xmlns:r="http://schemas.openxmlformats.org/officeDocument/2006/relationships" name="C211" sheetId="8" state="visible" r:id="rId8"/>
    <sheet xmlns:r="http://schemas.openxmlformats.org/officeDocument/2006/relationships" name="C212" sheetId="9" state="visible" r:id="rId9"/>
    <sheet xmlns:r="http://schemas.openxmlformats.org/officeDocument/2006/relationships" name="C311" sheetId="10" state="visible" r:id="rId10"/>
    <sheet xmlns:r="http://schemas.openxmlformats.org/officeDocument/2006/relationships" name="C312" sheetId="11" state="visible" r:id="rId11"/>
    <sheet xmlns:r="http://schemas.openxmlformats.org/officeDocument/2006/relationships" name="C411" sheetId="12" state="visible" r:id="rId12"/>
    <sheet xmlns:r="http://schemas.openxmlformats.org/officeDocument/2006/relationships" name="C412" sheetId="13" state="visible" r:id="rId13"/>
    <sheet xmlns:r="http://schemas.openxmlformats.org/officeDocument/2006/relationships" name="M111" sheetId="14" state="visible" r:id="rId14"/>
    <sheet xmlns:r="http://schemas.openxmlformats.org/officeDocument/2006/relationships" name="M211" sheetId="15" state="visible" r:id="rId15"/>
    <sheet xmlns:r="http://schemas.openxmlformats.org/officeDocument/2006/relationships" name="M311" sheetId="16" state="visible" r:id="rId16"/>
    <sheet xmlns:r="http://schemas.openxmlformats.org/officeDocument/2006/relationships" name="M411" sheetId="17" state="visible" r:id="rId17"/>
    <sheet xmlns:r="http://schemas.openxmlformats.org/officeDocument/2006/relationships" name="Aula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ck">
        <color rgb="FF4F81BD"/>
      </left>
      <right style="thick">
        <color rgb="FF4F81BD"/>
      </right>
      <top style="thick">
        <color rgb="FF4F81BD"/>
      </top>
    </border>
    <border>
      <left style="thick">
        <color rgb="FF4F81BD"/>
      </left>
      <right style="thick">
        <color rgb="FF4F81BD"/>
      </right>
      <bottom style="thick">
        <color rgb="FF4F81BD"/>
      </bottom>
    </border>
    <border>
      <left style="thick">
        <color rgb="FF4F81BD"/>
      </left>
      <right style="thick">
        <color rgb="FF4F81BD"/>
      </right>
      <top style="thick">
        <color rgb="FF4F81BD"/>
      </top>
      <bottom style="thick">
        <color rgb="FF4F81BD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1" pivotButton="0" quotePrefix="0" xfId="0"/>
    <xf numFmtId="0" fontId="0" fillId="0" borderId="3" pivotButton="0" quotePrefix="0" xfId="0"/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D111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F</t>
        </is>
      </c>
      <c r="C4" s="1" t="inlineStr">
        <is>
          <t>ICD</t>
        </is>
      </c>
      <c r="D4" s="1" t="inlineStr">
        <is>
          <t>AL</t>
        </is>
      </c>
      <c r="E4" s="1" t="inlineStr">
        <is>
          <t>AM I</t>
        </is>
      </c>
      <c r="F4" s="1" t="inlineStr">
        <is>
          <t>AL</t>
        </is>
      </c>
      <c r="G4" t="inlineStr"/>
      <c r="H4" s="2" t="inlineStr">
        <is>
          <t>AL</t>
        </is>
      </c>
      <c r="I4" s="2" t="inlineStr">
        <is>
          <t>Álgebra Lineal</t>
        </is>
      </c>
      <c r="J4" s="2" t="inlineStr">
        <is>
          <t>3</t>
        </is>
      </c>
      <c r="K4" s="2">
        <f>(J4-L4)</f>
        <v/>
      </c>
      <c r="L4" s="2">
        <f>COUNTIF($B$4:$F$15,H4)</f>
        <v/>
      </c>
      <c r="M4" t="inlineStr"/>
      <c r="N4" s="2" t="inlineStr">
        <is>
          <t>Aula 8</t>
        </is>
      </c>
      <c r="O4" t="inlineStr"/>
    </row>
    <row r="5">
      <c r="A5" s="3" t="inlineStr"/>
      <c r="B5" s="3" t="inlineStr">
        <is>
          <t>Aula 8</t>
        </is>
      </c>
      <c r="C5" s="3" t="inlineStr">
        <is>
          <t>Aula 7</t>
        </is>
      </c>
      <c r="D5" s="3" t="inlineStr">
        <is>
          <t>Aula 7*</t>
        </is>
      </c>
      <c r="E5" s="3" t="inlineStr">
        <is>
          <t>Aula 7*</t>
        </is>
      </c>
      <c r="F5" s="3" t="inlineStr">
        <is>
          <t>Aula 7*</t>
        </is>
      </c>
      <c r="G5" t="inlineStr"/>
      <c r="H5" s="2" t="inlineStr">
        <is>
          <t>L</t>
        </is>
      </c>
      <c r="I5" s="2" t="inlineStr">
        <is>
          <t>Lógica</t>
        </is>
      </c>
      <c r="J5" s="2" t="inlineStr">
        <is>
          <t>2</t>
        </is>
      </c>
      <c r="K5" s="2">
        <f>(J5-L5)</f>
        <v/>
      </c>
      <c r="L5" s="2">
        <f>COUNTIF($B$4:$F$15,H5)</f>
        <v/>
      </c>
      <c r="M5" t="inlineStr"/>
      <c r="N5" s="2" t="inlineStr">
        <is>
          <t>Aula 7</t>
        </is>
      </c>
      <c r="O5" t="inlineStr"/>
    </row>
    <row r="6">
      <c r="A6" s="1" t="inlineStr">
        <is>
          <t>Turno 2</t>
        </is>
      </c>
      <c r="B6" s="1" t="inlineStr">
        <is>
          <t>L</t>
        </is>
      </c>
      <c r="C6" s="1" t="inlineStr">
        <is>
          <t>AL</t>
        </is>
      </c>
      <c r="D6" s="1" t="inlineStr">
        <is>
          <t>EF</t>
        </is>
      </c>
      <c r="E6" s="1" t="inlineStr">
        <is>
          <t>L</t>
        </is>
      </c>
      <c r="F6" s="1" t="inlineStr"/>
      <c r="G6" t="inlineStr"/>
      <c r="H6" s="2" t="inlineStr">
        <is>
          <t>IP</t>
        </is>
      </c>
      <c r="I6" s="2" t="inlineStr">
        <is>
          <t>Introducción a la Programación</t>
        </is>
      </c>
      <c r="J6" s="2" t="inlineStr">
        <is>
          <t>2</t>
        </is>
      </c>
      <c r="K6" s="2">
        <f>(J6-L6)</f>
        <v/>
      </c>
      <c r="L6" s="2">
        <f>COUNTIF($B$4:$F$15,H6)</f>
        <v/>
      </c>
      <c r="M6" t="inlineStr"/>
      <c r="N6" s="2" t="inlineStr">
        <is>
          <t>Aula 7*</t>
        </is>
      </c>
      <c r="O6" t="inlineStr"/>
    </row>
    <row r="7">
      <c r="A7" s="3" t="inlineStr"/>
      <c r="B7" s="3" t="inlineStr">
        <is>
          <t>Aula 6*</t>
        </is>
      </c>
      <c r="C7" s="3" t="inlineStr">
        <is>
          <t>Aula 6*</t>
        </is>
      </c>
      <c r="D7" s="3" t="inlineStr">
        <is>
          <t>SEDER</t>
        </is>
      </c>
      <c r="E7" s="3" t="inlineStr">
        <is>
          <t>Aula 7</t>
        </is>
      </c>
      <c r="F7" s="3" t="inlineStr"/>
      <c r="G7" t="inlineStr"/>
      <c r="H7" s="2" t="inlineStr">
        <is>
          <t>AM I</t>
        </is>
      </c>
      <c r="I7" s="2" t="inlineStr">
        <is>
          <t>Análisis Matemático I</t>
        </is>
      </c>
      <c r="J7" s="2" t="inlineStr">
        <is>
          <t>2</t>
        </is>
      </c>
      <c r="K7" s="2">
        <f>(J7-L7)</f>
        <v/>
      </c>
      <c r="L7" s="2">
        <f>COUNTIF($B$4:$F$15,H7)</f>
        <v/>
      </c>
      <c r="M7" t="inlineStr"/>
      <c r="N7" s="2" t="inlineStr">
        <is>
          <t>Aula 7*</t>
        </is>
      </c>
      <c r="O7" t="inlineStr"/>
    </row>
    <row r="8">
      <c r="A8" s="1" t="inlineStr">
        <is>
          <t>Turno 3</t>
        </is>
      </c>
      <c r="B8" s="1" t="inlineStr">
        <is>
          <t>IP</t>
        </is>
      </c>
      <c r="C8" s="1" t="inlineStr">
        <is>
          <t>AM I</t>
        </is>
      </c>
      <c r="D8" s="1" t="inlineStr">
        <is>
          <t>AM I</t>
        </is>
      </c>
      <c r="E8" s="1" t="inlineStr">
        <is>
          <t>IP</t>
        </is>
      </c>
      <c r="F8" s="1" t="inlineStr"/>
      <c r="G8" t="inlineStr"/>
      <c r="H8" s="2" t="inlineStr">
        <is>
          <t>ICD</t>
        </is>
      </c>
      <c r="I8" s="2" t="inlineStr">
        <is>
          <t>Introducción a la Ciencia de Datos</t>
        </is>
      </c>
      <c r="J8" s="2" t="inlineStr">
        <is>
          <t>2</t>
        </is>
      </c>
      <c r="K8" s="2">
        <f>(J8-L8)</f>
        <v/>
      </c>
      <c r="L8" s="2">
        <f>COUNTIF($B$4:$F$15,H8)</f>
        <v/>
      </c>
      <c r="M8" t="inlineStr"/>
      <c r="N8" s="2" t="inlineStr">
        <is>
          <t>Aula 7*</t>
        </is>
      </c>
      <c r="O8" t="inlineStr"/>
    </row>
    <row r="9">
      <c r="A9" s="3" t="inlineStr"/>
      <c r="B9" s="3" t="inlineStr">
        <is>
          <t>Aula 7</t>
        </is>
      </c>
      <c r="C9" s="3" t="inlineStr">
        <is>
          <t>Aula 6*</t>
        </is>
      </c>
      <c r="D9" s="3" t="inlineStr">
        <is>
          <t>Aula 7*</t>
        </is>
      </c>
      <c r="E9" s="3" t="inlineStr">
        <is>
          <t>Lab</t>
        </is>
      </c>
      <c r="F9" s="3" t="inlineStr"/>
      <c r="G9" t="inlineStr"/>
      <c r="H9" s="2" t="inlineStr">
        <is>
          <t>F</t>
        </is>
      </c>
      <c r="I9" s="2" t="inlineStr">
        <is>
          <t>Filosofía</t>
        </is>
      </c>
      <c r="J9" s="2" t="inlineStr">
        <is>
          <t>2</t>
        </is>
      </c>
      <c r="K9" s="2">
        <f>(J9-L9)</f>
        <v/>
      </c>
      <c r="L9" s="2">
        <f>COUNTIF($B$4:$F$15,H9)</f>
        <v/>
      </c>
      <c r="M9" t="inlineStr"/>
      <c r="N9" s="2" t="inlineStr">
        <is>
          <t>Aula 6*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 t="inlineStr"/>
      <c r="L10" s="2" t="inlineStr"/>
      <c r="M10" t="inlineStr"/>
      <c r="N10" s="2" t="inlineStr">
        <is>
          <t>Aula 6*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SEDER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7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7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6*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7*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>
        <f>"Total:"</f>
        <v/>
      </c>
      <c r="H16">
        <f>COUNTA($H$4:$H$15)</f>
        <v/>
      </c>
      <c r="I16" t="inlineStr"/>
      <c r="J16" t="inlineStr"/>
      <c r="K16" t="inlineStr"/>
      <c r="L16" t="inlineStr"/>
      <c r="M16" t="inlineStr"/>
      <c r="N16" t="inlineStr">
        <is>
          <t>Lab</t>
        </is>
      </c>
      <c r="O16" t="inlineStr"/>
    </row>
    <row r="17">
      <c r="F17">
        <f>"Σ Frec:"</f>
        <v/>
      </c>
      <c r="G17">
        <f>SUM($J$4:$J$15)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D211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MA</t>
        </is>
      </c>
      <c r="I4" s="2" t="inlineStr">
        <is>
          <t>Matemática y Aplicaciones</t>
        </is>
      </c>
      <c r="J4" s="2" t="inlineStr">
        <is>
          <t>2</t>
        </is>
      </c>
      <c r="K4" s="2">
        <f>(J4-L4)</f>
        <v/>
      </c>
      <c r="L4" s="2">
        <f>COUNTIF($B$4:$F$15,H4)</f>
        <v/>
      </c>
      <c r="M4" t="inlineStr"/>
      <c r="N4" s="2" t="inlineStr">
        <is>
          <t>c 7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Prb</t>
        </is>
      </c>
      <c r="I5" s="2" t="inlineStr">
        <is>
          <t>Probabilidades</t>
        </is>
      </c>
      <c r="J5" s="2" t="inlineStr">
        <is>
          <t>2</t>
        </is>
      </c>
      <c r="K5" s="2">
        <f>(J5-L5)</f>
        <v/>
      </c>
      <c r="L5" s="2">
        <f>COUNTIF($B$4:$F$15,H5)</f>
        <v/>
      </c>
      <c r="M5" t="inlineStr"/>
      <c r="N5" s="2" t="inlineStr">
        <is>
          <t>c 7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BD</t>
        </is>
      </c>
      <c r="I6" s="2" t="inlineStr">
        <is>
          <t>Bases de Datos</t>
        </is>
      </c>
      <c r="J6" s="2" t="inlineStr">
        <is>
          <t>2</t>
        </is>
      </c>
      <c r="K6" s="2">
        <f>(J6-L6)</f>
        <v/>
      </c>
      <c r="L6" s="2">
        <f>COUNTIF($B$4:$F$15,H6)</f>
        <v/>
      </c>
      <c r="M6" t="inlineStr"/>
      <c r="N6" s="2" t="inlineStr">
        <is>
          <t>C211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ED</t>
        </is>
      </c>
      <c r="I7" s="2" t="inlineStr">
        <is>
          <t>Estructura de Datos</t>
        </is>
      </c>
      <c r="J7" s="2" t="inlineStr">
        <is>
          <t>2</t>
        </is>
      </c>
      <c r="K7" s="2">
        <f>(J7-L7)</f>
        <v/>
      </c>
      <c r="L7" s="2">
        <f>COUNTIF($B$4:$F$15,H7)</f>
        <v/>
      </c>
      <c r="M7" t="inlineStr"/>
      <c r="N7" s="2" t="inlineStr">
        <is>
          <t>cp 7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VD</t>
        </is>
      </c>
      <c r="I8" s="2" t="inlineStr">
        <is>
          <t>Visualización de Datos</t>
        </is>
      </c>
      <c r="J8" s="2" t="inlineStr">
        <is>
          <t>2</t>
        </is>
      </c>
      <c r="K8" s="2">
        <f>(J8-L8)</f>
        <v/>
      </c>
      <c r="L8" s="2">
        <f>COUNTIF($B$4:$F$15,H8)</f>
        <v/>
      </c>
      <c r="M8" t="inlineStr"/>
      <c r="N8" s="2" t="inlineStr">
        <is>
          <t>c 7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EP</t>
        </is>
      </c>
      <c r="I9" s="2" t="inlineStr">
        <is>
          <t>Economía Política</t>
        </is>
      </c>
      <c r="J9" s="2" t="inlineStr">
        <is>
          <t>2</t>
        </is>
      </c>
      <c r="K9" s="2">
        <f>(J9-L9)</f>
        <v/>
      </c>
      <c r="L9" s="2">
        <f>COUNTIF($B$4:$F$15,H9)</f>
        <v/>
      </c>
      <c r="M9" t="inlineStr"/>
      <c r="N9" s="2" t="inlineStr">
        <is>
          <t>c 7</t>
        </is>
      </c>
      <c r="O9" t="inlineStr"/>
    </row>
    <row r="10">
      <c r="A10" s="1" t="inlineStr">
        <is>
          <t>Turno 4</t>
        </is>
      </c>
      <c r="B10" s="1" t="inlineStr">
        <is>
          <t>ED</t>
        </is>
      </c>
      <c r="C10" s="1" t="inlineStr">
        <is>
          <t>BD</t>
        </is>
      </c>
      <c r="D10" s="1" t="inlineStr">
        <is>
          <t>MA (EDO) cp 6 (con</t>
        </is>
      </c>
      <c r="E10" s="1" t="inlineStr">
        <is>
          <t>BD</t>
        </is>
      </c>
      <c r="F10" s="1" t="inlineStr"/>
      <c r="G10" t="inlineStr"/>
      <c r="H10" s="2" t="inlineStr"/>
      <c r="I10" s="2" t="inlineStr"/>
      <c r="J10" s="2" t="inlineStr"/>
      <c r="K10" s="2" t="inlineStr"/>
      <c r="L10" s="2" t="inlineStr"/>
      <c r="M10" t="inlineStr"/>
      <c r="N10" s="2" t="inlineStr">
        <is>
          <t>c 7</t>
        </is>
      </c>
      <c r="O10" t="inlineStr"/>
    </row>
    <row r="11">
      <c r="A11" s="3" t="inlineStr"/>
      <c r="B11" s="3" t="inlineStr">
        <is>
          <t>c 7</t>
        </is>
      </c>
      <c r="C11" s="3" t="inlineStr">
        <is>
          <t>c 7</t>
        </is>
      </c>
      <c r="D11" s="3" t="inlineStr">
        <is>
          <t>C211</t>
        </is>
      </c>
      <c r="E11" s="3" t="inlineStr">
        <is>
          <t>cp 7</t>
        </is>
      </c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cp 7</t>
        </is>
      </c>
      <c r="O11" t="inlineStr"/>
    </row>
    <row r="12">
      <c r="A12" s="1" t="inlineStr">
        <is>
          <t>Turno 5</t>
        </is>
      </c>
      <c r="B12" s="1" t="inlineStr">
        <is>
          <t>VD</t>
        </is>
      </c>
      <c r="C12" s="1" t="inlineStr">
        <is>
          <t>EP</t>
        </is>
      </c>
      <c r="D12" s="1" t="inlineStr">
        <is>
          <t>EP</t>
        </is>
      </c>
      <c r="E12" s="1" t="inlineStr">
        <is>
          <t>Prb</t>
        </is>
      </c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 6</t>
        </is>
      </c>
      <c r="O12" t="inlineStr"/>
    </row>
    <row r="13">
      <c r="A13" s="3" t="inlineStr"/>
      <c r="B13" s="3" t="inlineStr">
        <is>
          <t>c 7</t>
        </is>
      </c>
      <c r="C13" s="3" t="inlineStr">
        <is>
          <t>c 7</t>
        </is>
      </c>
      <c r="D13" s="3" t="inlineStr">
        <is>
          <t>c 7</t>
        </is>
      </c>
      <c r="E13" s="3" t="inlineStr">
        <is>
          <t>cp 7</t>
        </is>
      </c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c 7</t>
        </is>
      </c>
      <c r="O13" t="inlineStr"/>
    </row>
    <row r="14">
      <c r="A14" s="1" t="inlineStr">
        <is>
          <t>Turno 6</t>
        </is>
      </c>
      <c r="B14" s="1" t="inlineStr">
        <is>
          <t>MA</t>
        </is>
      </c>
      <c r="C14" s="1" t="inlineStr">
        <is>
          <t>Prb</t>
        </is>
      </c>
      <c r="D14" s="1" t="inlineStr">
        <is>
          <t>EF 4:45pm a 5:35pm</t>
        </is>
      </c>
      <c r="E14" s="1" t="inlineStr">
        <is>
          <t>ED</t>
        </is>
      </c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cp 7</t>
        </is>
      </c>
      <c r="O14" t="inlineStr"/>
    </row>
    <row r="15">
      <c r="A15" s="3" t="inlineStr"/>
      <c r="B15" s="3" t="inlineStr">
        <is>
          <t>c 6</t>
        </is>
      </c>
      <c r="C15" s="3" t="inlineStr">
        <is>
          <t>c 7</t>
        </is>
      </c>
      <c r="D15" s="3" t="inlineStr"/>
      <c r="E15" s="3" t="inlineStr">
        <is>
          <t>cp 7</t>
        </is>
      </c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G16">
        <f>"Total:"</f>
        <v/>
      </c>
      <c r="H16">
        <f>COUNTA($H$4:$H$15)</f>
        <v/>
      </c>
    </row>
    <row r="17">
      <c r="F17">
        <f>"Σ Frec:"</f>
        <v/>
      </c>
      <c r="G17">
        <f>SUM($J$4:$J$15)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D311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AE2</t>
        </is>
      </c>
      <c r="C4" s="1" t="inlineStr">
        <is>
          <t>RN</t>
        </is>
      </c>
      <c r="D4" s="1" t="inlineStr">
        <is>
          <t>TP 4</t>
        </is>
      </c>
      <c r="E4" s="1" t="inlineStr"/>
      <c r="F4" s="1" t="inlineStr"/>
      <c r="G4" t="inlineStr"/>
      <c r="H4" s="2" t="inlineStr">
        <is>
          <t>AE2</t>
        </is>
      </c>
      <c r="I4" s="2" t="inlineStr">
        <is>
          <t>Análisis Estadístico II</t>
        </is>
      </c>
      <c r="J4" s="2" t="inlineStr">
        <is>
          <t>2</t>
        </is>
      </c>
      <c r="K4" s="2">
        <f>(J4-L4)</f>
        <v/>
      </c>
      <c r="L4" s="2">
        <f>COUNTIF($B$4:$F$15,H4)</f>
        <v/>
      </c>
      <c r="M4" t="inlineStr"/>
      <c r="N4" s="2" t="inlineStr">
        <is>
          <t>c 2</t>
        </is>
      </c>
      <c r="O4" t="inlineStr"/>
    </row>
    <row r="5">
      <c r="A5" s="3" t="inlineStr"/>
      <c r="B5" s="3" t="inlineStr">
        <is>
          <t>c 2</t>
        </is>
      </c>
      <c r="C5" s="3" t="inlineStr">
        <is>
          <t>c 2</t>
        </is>
      </c>
      <c r="D5" s="3" t="inlineStr"/>
      <c r="E5" s="3" t="inlineStr"/>
      <c r="F5" s="3" t="inlineStr"/>
      <c r="G5" t="inlineStr"/>
      <c r="H5" s="2" t="inlineStr">
        <is>
          <t>MDE</t>
        </is>
      </c>
      <c r="I5" s="2" t="inlineStr">
        <is>
          <t>Muestreo y Diseño de Experimentos</t>
        </is>
      </c>
      <c r="J5" s="2" t="inlineStr">
        <is>
          <t>2</t>
        </is>
      </c>
      <c r="K5" s="2">
        <f>(J5-L5)</f>
        <v/>
      </c>
      <c r="L5" s="2">
        <f>COUNTIF($B$4:$F$15,H5)</f>
        <v/>
      </c>
      <c r="M5" t="inlineStr"/>
      <c r="N5" s="2" t="inlineStr">
        <is>
          <t>c 2</t>
        </is>
      </c>
      <c r="O5" t="inlineStr"/>
    </row>
    <row r="6">
      <c r="A6" s="1" t="inlineStr">
        <is>
          <t>Turno 2</t>
        </is>
      </c>
      <c r="B6" s="1" t="inlineStr">
        <is>
          <t>MDE</t>
        </is>
      </c>
      <c r="C6" s="1" t="inlineStr">
        <is>
          <t>PL</t>
        </is>
      </c>
      <c r="D6" s="1" t="inlineStr">
        <is>
          <t>MDE</t>
        </is>
      </c>
      <c r="E6" s="1" t="inlineStr">
        <is>
          <t>RN</t>
        </is>
      </c>
      <c r="F6" s="1" t="inlineStr"/>
      <c r="G6" t="inlineStr"/>
      <c r="H6" s="2" t="inlineStr">
        <is>
          <t>RN</t>
        </is>
      </c>
      <c r="I6" s="2" t="inlineStr">
        <is>
          <t>Redes Neuronales</t>
        </is>
      </c>
      <c r="J6" s="2" t="inlineStr">
        <is>
          <t>2</t>
        </is>
      </c>
      <c r="K6" s="2">
        <f>(J6-L6)</f>
        <v/>
      </c>
      <c r="L6" s="2">
        <f>COUNTIF($B$4:$F$15,H6)</f>
        <v/>
      </c>
      <c r="M6" t="inlineStr"/>
      <c r="N6" s="2" t="inlineStr">
        <is>
          <t>c 2</t>
        </is>
      </c>
      <c r="O6" t="inlineStr"/>
    </row>
    <row r="7">
      <c r="A7" s="3" t="inlineStr"/>
      <c r="B7" s="3" t="inlineStr">
        <is>
          <t>c 2</t>
        </is>
      </c>
      <c r="C7" s="3" t="inlineStr">
        <is>
          <t>c 2</t>
        </is>
      </c>
      <c r="D7" s="3" t="inlineStr">
        <is>
          <t>cp 2</t>
        </is>
      </c>
      <c r="E7" s="3" t="inlineStr">
        <is>
          <t>cp Lab2</t>
        </is>
      </c>
      <c r="F7" s="3" t="inlineStr"/>
      <c r="G7" t="inlineStr"/>
      <c r="H7" s="2" t="inlineStr">
        <is>
          <t>PL</t>
        </is>
      </c>
      <c r="I7" s="2" t="inlineStr">
        <is>
          <t>Procesamiento del Lenguaje</t>
        </is>
      </c>
      <c r="J7" s="2" t="inlineStr">
        <is>
          <t>2</t>
        </is>
      </c>
      <c r="K7" s="2">
        <f>(J7-L7)</f>
        <v/>
      </c>
      <c r="L7" s="2">
        <f>COUNTIF($B$4:$F$15,H7)</f>
        <v/>
      </c>
      <c r="M7" t="inlineStr"/>
      <c r="N7" s="2" t="inlineStr">
        <is>
          <t>c 2</t>
        </is>
      </c>
      <c r="O7" t="inlineStr"/>
    </row>
    <row r="8">
      <c r="A8" s="1" t="inlineStr">
        <is>
          <t>Turno 3</t>
        </is>
      </c>
      <c r="B8" s="1" t="inlineStr">
        <is>
          <t>PGVD</t>
        </is>
      </c>
      <c r="C8" s="1" t="inlineStr">
        <is>
          <t>TP</t>
        </is>
      </c>
      <c r="D8" s="1" t="inlineStr">
        <is>
          <t>AE2</t>
        </is>
      </c>
      <c r="E8" s="1" t="inlineStr">
        <is>
          <t>PGVD</t>
        </is>
      </c>
      <c r="F8" s="1" t="inlineStr"/>
      <c r="G8" t="inlineStr"/>
      <c r="H8" s="2" t="inlineStr">
        <is>
          <t>PGVD</t>
        </is>
      </c>
      <c r="I8" s="2" t="inlineStr">
        <is>
          <t>Procesamiento de Grandes Volúmenes de Datos</t>
        </is>
      </c>
      <c r="J8" s="2" t="inlineStr">
        <is>
          <t>2</t>
        </is>
      </c>
      <c r="K8" s="2">
        <f>(J8-L8)</f>
        <v/>
      </c>
      <c r="L8" s="2">
        <f>COUNTIF($B$4:$F$15,H8)</f>
        <v/>
      </c>
      <c r="M8" t="inlineStr"/>
      <c r="N8" s="2" t="inlineStr">
        <is>
          <t>cp 2</t>
        </is>
      </c>
      <c r="O8" t="inlineStr"/>
    </row>
    <row r="9">
      <c r="A9" s="3" t="inlineStr"/>
      <c r="B9" s="3" t="inlineStr">
        <is>
          <t>c 2</t>
        </is>
      </c>
      <c r="C9" s="3" t="inlineStr">
        <is>
          <t>c 4</t>
        </is>
      </c>
      <c r="D9" s="3" t="inlineStr">
        <is>
          <t>cp Lab2</t>
        </is>
      </c>
      <c r="E9" s="3" t="inlineStr">
        <is>
          <t>cp 7</t>
        </is>
      </c>
      <c r="F9" s="3" t="inlineStr"/>
      <c r="G9" t="inlineStr"/>
      <c r="H9" s="2" t="inlineStr">
        <is>
          <t>TP</t>
        </is>
      </c>
      <c r="I9" s="2" t="inlineStr">
        <is>
          <t>Teoría Política</t>
        </is>
      </c>
      <c r="J9" s="2" t="inlineStr">
        <is>
          <t>2</t>
        </is>
      </c>
      <c r="K9" s="2">
        <f>(J9-L9)</f>
        <v/>
      </c>
      <c r="L9" s="2">
        <f>COUNTIF($B$4:$F$15,H9)</f>
        <v/>
      </c>
      <c r="M9" t="inlineStr"/>
      <c r="N9" s="2" t="inlineStr">
        <is>
          <t>cp Lab2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 t="inlineStr"/>
      <c r="L10" s="2" t="inlineStr"/>
      <c r="M10" t="inlineStr"/>
      <c r="N10" s="2" t="inlineStr">
        <is>
          <t>c 2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 4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cp Lab2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cp 7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G16">
        <f>"Total:"</f>
        <v/>
      </c>
      <c r="H16">
        <f>COUNTA($H$4:$H$15)</f>
        <v/>
      </c>
    </row>
    <row r="17">
      <c r="F17">
        <f>"Σ Frec:"</f>
        <v/>
      </c>
      <c r="G17">
        <f>SUM($J$4:$J$15)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D411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>
        <is>
          <t>EIA</t>
        </is>
      </c>
      <c r="D4" s="1" t="inlineStr"/>
      <c r="E4" s="1" t="inlineStr">
        <is>
          <t>SN</t>
        </is>
      </c>
      <c r="F4" s="1" t="inlineStr"/>
      <c r="G4" t="inlineStr"/>
      <c r="H4" s="2" t="inlineStr">
        <is>
          <t>IN</t>
        </is>
      </c>
      <c r="I4" s="2" t="inlineStr">
        <is>
          <t>Inteligencia de Negocios</t>
        </is>
      </c>
      <c r="J4" s="2" t="inlineStr">
        <is>
          <t>2</t>
        </is>
      </c>
      <c r="K4" s="2">
        <f>(J4-L4)</f>
        <v/>
      </c>
      <c r="L4" s="2">
        <f>COUNTIF($B$4:$F$15,H4)</f>
        <v/>
      </c>
      <c r="M4" t="inlineStr"/>
      <c r="N4" s="2" t="inlineStr">
        <is>
          <t>CP 2</t>
        </is>
      </c>
      <c r="O4" t="inlineStr"/>
    </row>
    <row r="5">
      <c r="A5" s="3" t="inlineStr"/>
      <c r="B5" s="3" t="inlineStr">
        <is>
          <t>CP 2</t>
        </is>
      </c>
      <c r="C5" s="3" t="inlineStr">
        <is>
          <t>2</t>
        </is>
      </c>
      <c r="D5" s="3" t="inlineStr">
        <is>
          <t>CP 2</t>
        </is>
      </c>
      <c r="E5" s="3" t="inlineStr">
        <is>
          <t>C4</t>
        </is>
      </c>
      <c r="F5" s="3" t="inlineStr"/>
      <c r="G5" t="inlineStr"/>
      <c r="H5" s="2" t="inlineStr">
        <is>
          <t>EIA</t>
        </is>
      </c>
      <c r="I5" s="2" t="inlineStr">
        <is>
          <t>Elementos de Inteligencia Artificial</t>
        </is>
      </c>
      <c r="J5" s="2" t="inlineStr">
        <is>
          <t>2</t>
        </is>
      </c>
      <c r="K5" s="2">
        <f>(J5-L5)</f>
        <v/>
      </c>
      <c r="L5" s="2">
        <f>COUNTIF($B$4:$F$15,H5)</f>
        <v/>
      </c>
      <c r="M5" t="inlineStr"/>
      <c r="N5" s="2" t="inlineStr">
        <is>
          <t>2</t>
        </is>
      </c>
      <c r="O5" t="inlineStr"/>
    </row>
    <row r="6">
      <c r="A6" s="1" t="inlineStr">
        <is>
          <t>Turno 2</t>
        </is>
      </c>
      <c r="B6" s="1" t="inlineStr">
        <is>
          <t>IN</t>
        </is>
      </c>
      <c r="C6" s="1" t="inlineStr">
        <is>
          <t>SN</t>
        </is>
      </c>
      <c r="D6" s="1" t="inlineStr">
        <is>
          <t>IN</t>
        </is>
      </c>
      <c r="E6" s="1" t="inlineStr">
        <is>
          <t>SN</t>
        </is>
      </c>
      <c r="F6" s="1" t="inlineStr"/>
      <c r="G6" t="inlineStr"/>
      <c r="H6" s="2" t="inlineStr">
        <is>
          <t>CP</t>
        </is>
      </c>
      <c r="I6" s="2" t="inlineStr">
        <is>
          <t>Ciberseguridad y Privacidad</t>
        </is>
      </c>
      <c r="J6" s="2" t="inlineStr">
        <is>
          <t>2</t>
        </is>
      </c>
      <c r="K6" s="2">
        <f>(J6-L6)</f>
        <v/>
      </c>
      <c r="L6" s="2">
        <f>COUNTIF($B$4:$F$15,H6)</f>
        <v/>
      </c>
      <c r="M6" t="inlineStr"/>
      <c r="N6" s="2" t="inlineStr">
        <is>
          <t>CP 2</t>
        </is>
      </c>
      <c r="O6" t="inlineStr"/>
    </row>
    <row r="7">
      <c r="A7" s="3" t="inlineStr"/>
      <c r="B7" s="3" t="inlineStr">
        <is>
          <t>2</t>
        </is>
      </c>
      <c r="C7" s="3" t="inlineStr">
        <is>
          <t>C4</t>
        </is>
      </c>
      <c r="D7" s="3" t="inlineStr">
        <is>
          <t>2</t>
        </is>
      </c>
      <c r="E7" s="3" t="inlineStr">
        <is>
          <t>C4</t>
        </is>
      </c>
      <c r="F7" s="3" t="inlineStr"/>
      <c r="G7" t="inlineStr"/>
      <c r="H7" s="2" t="inlineStr">
        <is>
          <t>CO2</t>
        </is>
      </c>
      <c r="I7" s="2" t="inlineStr">
        <is>
          <t>Curso Optativo II</t>
        </is>
      </c>
      <c r="J7" s="2" t="inlineStr">
        <is>
          <t>2</t>
        </is>
      </c>
      <c r="K7" s="2">
        <f>(J7-L7)</f>
        <v/>
      </c>
      <c r="L7" s="2">
        <f>COUNTIF($B$4:$F$15,H7)</f>
        <v/>
      </c>
      <c r="M7" t="inlineStr"/>
      <c r="N7" s="2" t="inlineStr">
        <is>
          <t>C4</t>
        </is>
      </c>
      <c r="O7" t="inlineStr"/>
    </row>
    <row r="8">
      <c r="A8" s="1" t="inlineStr">
        <is>
          <t>Turno 3</t>
        </is>
      </c>
      <c r="B8" s="1" t="inlineStr">
        <is>
          <t>ECTS 9 (con</t>
        </is>
      </c>
      <c r="C8" s="1" t="inlineStr">
        <is>
          <t>CO</t>
        </is>
      </c>
      <c r="D8" s="1" t="inlineStr">
        <is>
          <t>EIA 2</t>
        </is>
      </c>
      <c r="E8" s="1" t="inlineStr"/>
      <c r="F8" s="1" t="inlineStr"/>
      <c r="G8" t="inlineStr"/>
      <c r="H8" s="2" t="inlineStr">
        <is>
          <t>ECTS</t>
        </is>
      </c>
      <c r="I8" s="2" t="inlineStr">
        <is>
          <t>Estudios de Ciencia, Tecnología y Sociedad</t>
        </is>
      </c>
      <c r="J8" s="2" t="inlineStr">
        <is>
          <t>2</t>
        </is>
      </c>
      <c r="K8" s="2">
        <f>(J8-L8)</f>
        <v/>
      </c>
      <c r="L8" s="2">
        <f>COUNTIF($B$4:$F$15,H8)</f>
        <v/>
      </c>
      <c r="M8" t="inlineStr"/>
      <c r="N8" s="2" t="inlineStr">
        <is>
          <t>2</t>
        </is>
      </c>
      <c r="O8" t="inlineStr"/>
    </row>
    <row r="9">
      <c r="A9" s="3" t="inlineStr"/>
      <c r="B9" s="3" t="inlineStr">
        <is>
          <t>C4</t>
        </is>
      </c>
      <c r="C9" s="3" t="inlineStr">
        <is>
          <t>2</t>
        </is>
      </c>
      <c r="D9" s="3" t="inlineStr"/>
      <c r="E9" s="3" t="inlineStr"/>
      <c r="F9" s="3" t="inlineStr"/>
      <c r="G9" t="inlineStr"/>
      <c r="H9" s="2" t="inlineStr">
        <is>
          <t>SN/DN</t>
        </is>
      </c>
      <c r="I9" s="2" t="inlineStr">
        <is>
          <t>Seguridad Nacional / Defensa Nacional</t>
        </is>
      </c>
      <c r="J9" s="2" t="inlineStr">
        <is>
          <t>2</t>
        </is>
      </c>
      <c r="K9" s="2">
        <f>(J9-L9)</f>
        <v/>
      </c>
      <c r="L9" s="2">
        <f>COUNTIF($B$4:$F$15,H9)</f>
        <v/>
      </c>
      <c r="M9" t="inlineStr"/>
      <c r="N9" s="2" t="inlineStr">
        <is>
          <t>C4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 t="inlineStr"/>
      <c r="L10" s="2" t="inlineStr"/>
      <c r="M10" t="inlineStr"/>
      <c r="N10" s="2" t="inlineStr">
        <is>
          <t>2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C4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C4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2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G16">
        <f>"Total:"</f>
        <v/>
      </c>
      <c r="H16">
        <f>COUNTA($H$4:$H$15)</f>
        <v/>
      </c>
    </row>
    <row r="17">
      <c r="F17">
        <f>"Σ Frec:"</f>
        <v/>
      </c>
      <c r="G17">
        <f>SUM($J$4:$J$15)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C111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F</t>
        </is>
      </c>
      <c r="C4" s="1" t="inlineStr">
        <is>
          <t>A I</t>
        </is>
      </c>
      <c r="D4" s="1" t="inlineStr">
        <is>
          <t>AM I</t>
        </is>
      </c>
      <c r="E4" s="1" t="inlineStr">
        <is>
          <t>F</t>
        </is>
      </c>
      <c r="F4" s="1" t="inlineStr"/>
      <c r="G4" t="inlineStr"/>
      <c r="H4" s="2" t="inlineStr">
        <is>
          <t>A I</t>
        </is>
      </c>
      <c r="I4" s="2" t="inlineStr">
        <is>
          <t>Álgebra I</t>
        </is>
      </c>
      <c r="J4" s="2" t="inlineStr">
        <is>
          <t>3</t>
        </is>
      </c>
      <c r="K4" s="2">
        <f>(J4-L4)</f>
        <v/>
      </c>
      <c r="L4" s="2">
        <f>COUNTIF($B$4:$F$15,H4)</f>
        <v/>
      </c>
      <c r="M4" t="inlineStr"/>
      <c r="N4" s="2" t="inlineStr">
        <is>
          <t>Aula 6</t>
        </is>
      </c>
      <c r="O4" t="inlineStr"/>
    </row>
    <row r="5">
      <c r="A5" s="3" t="inlineStr"/>
      <c r="B5" s="3" t="inlineStr">
        <is>
          <t>Aula 6</t>
        </is>
      </c>
      <c r="C5" s="3" t="inlineStr">
        <is>
          <t>Aula 6*</t>
        </is>
      </c>
      <c r="D5" s="3" t="inlineStr">
        <is>
          <t>Aula 6*</t>
        </is>
      </c>
      <c r="E5" s="3" t="inlineStr">
        <is>
          <t>Aula 6</t>
        </is>
      </c>
      <c r="F5" s="3" t="inlineStr"/>
      <c r="G5" t="inlineStr"/>
      <c r="H5" s="2" t="inlineStr">
        <is>
          <t>L</t>
        </is>
      </c>
      <c r="I5" s="2" t="inlineStr">
        <is>
          <t>Lógica</t>
        </is>
      </c>
      <c r="J5" s="2" t="inlineStr">
        <is>
          <t>2</t>
        </is>
      </c>
      <c r="K5" s="2">
        <f>(J5-L5)</f>
        <v/>
      </c>
      <c r="L5" s="2">
        <f>COUNTIF($B$4:$F$15,H5)</f>
        <v/>
      </c>
      <c r="M5" t="inlineStr"/>
      <c r="N5" s="2" t="inlineStr">
        <is>
          <t>Aula 6*</t>
        </is>
      </c>
      <c r="O5" t="inlineStr"/>
    </row>
    <row r="6">
      <c r="A6" s="1" t="inlineStr">
        <is>
          <t>Turno 2</t>
        </is>
      </c>
      <c r="B6" s="1" t="inlineStr">
        <is>
          <t>L</t>
        </is>
      </c>
      <c r="C6" s="1" t="inlineStr">
        <is>
          <t>A I</t>
        </is>
      </c>
      <c r="D6" s="1" t="inlineStr">
        <is>
          <t>EF</t>
        </is>
      </c>
      <c r="E6" s="1" t="inlineStr">
        <is>
          <t>L</t>
        </is>
      </c>
      <c r="F6" s="1" t="inlineStr">
        <is>
          <t>A I</t>
        </is>
      </c>
      <c r="G6" t="inlineStr"/>
      <c r="H6" s="2" t="inlineStr">
        <is>
          <t>P</t>
        </is>
      </c>
      <c r="I6" s="2" t="inlineStr">
        <is>
          <t>Programación</t>
        </is>
      </c>
      <c r="J6" s="2" t="inlineStr">
        <is>
          <t>3</t>
        </is>
      </c>
      <c r="K6" s="2">
        <f>(J6-L6)</f>
        <v/>
      </c>
      <c r="L6" s="2">
        <f>COUNTIF($B$4:$F$15,H6)</f>
        <v/>
      </c>
      <c r="M6" t="inlineStr"/>
      <c r="N6" s="2" t="inlineStr">
        <is>
          <t>Aula 6*</t>
        </is>
      </c>
      <c r="O6" t="inlineStr"/>
    </row>
    <row r="7">
      <c r="A7" s="3" t="inlineStr"/>
      <c r="B7" s="3" t="inlineStr">
        <is>
          <t>Aula 6*</t>
        </is>
      </c>
      <c r="C7" s="3" t="inlineStr">
        <is>
          <t>Aula 6*</t>
        </is>
      </c>
      <c r="D7" s="3" t="inlineStr">
        <is>
          <t>SEDER</t>
        </is>
      </c>
      <c r="E7" s="3" t="inlineStr">
        <is>
          <t>Aula 6*</t>
        </is>
      </c>
      <c r="F7" s="3" t="inlineStr">
        <is>
          <t>Aula 6*</t>
        </is>
      </c>
      <c r="G7" t="inlineStr"/>
      <c r="H7" s="2" t="inlineStr">
        <is>
          <t>AM I</t>
        </is>
      </c>
      <c r="I7" s="2" t="inlineStr">
        <is>
          <t>Análisis Matemático I</t>
        </is>
      </c>
      <c r="J7" s="2" t="inlineStr">
        <is>
          <t>2</t>
        </is>
      </c>
      <c r="K7" s="2">
        <f>(J7-L7)</f>
        <v/>
      </c>
      <c r="L7" s="2">
        <f>COUNTIF($B$4:$F$15,H7)</f>
        <v/>
      </c>
      <c r="M7" t="inlineStr"/>
      <c r="N7" s="2" t="inlineStr">
        <is>
          <t>Aula 6</t>
        </is>
      </c>
      <c r="O7" t="inlineStr"/>
    </row>
    <row r="8">
      <c r="A8" s="1" t="inlineStr">
        <is>
          <t>Turno 3</t>
        </is>
      </c>
      <c r="B8" s="1" t="inlineStr">
        <is>
          <t>P</t>
        </is>
      </c>
      <c r="C8" s="1" t="inlineStr">
        <is>
          <t>AM I</t>
        </is>
      </c>
      <c r="D8" s="1" t="inlineStr">
        <is>
          <t>AM I</t>
        </is>
      </c>
      <c r="E8" s="1" t="inlineStr">
        <is>
          <t>P</t>
        </is>
      </c>
      <c r="F8" s="1" t="inlineStr">
        <is>
          <t>P</t>
        </is>
      </c>
      <c r="G8" t="inlineStr"/>
      <c r="H8" s="2" t="inlineStr">
        <is>
          <t>F</t>
        </is>
      </c>
      <c r="I8" s="2" t="inlineStr">
        <is>
          <t>Filosofía</t>
        </is>
      </c>
      <c r="J8" s="2" t="inlineStr">
        <is>
          <t>2</t>
        </is>
      </c>
      <c r="K8" s="2">
        <f>(J8-L8)</f>
        <v/>
      </c>
      <c r="L8" s="2">
        <f>COUNTIF($B$4:$F$15,H8)</f>
        <v/>
      </c>
      <c r="M8" t="inlineStr"/>
      <c r="N8" s="2" t="inlineStr">
        <is>
          <t>Aula 6*</t>
        </is>
      </c>
      <c r="O8" t="inlineStr"/>
    </row>
    <row r="9">
      <c r="A9" s="3" t="inlineStr"/>
      <c r="B9" s="3" t="inlineStr">
        <is>
          <t>Aula 6</t>
        </is>
      </c>
      <c r="C9" s="3" t="inlineStr">
        <is>
          <t>Aula 6*</t>
        </is>
      </c>
      <c r="D9" s="3" t="inlineStr">
        <is>
          <t>Aula 6*</t>
        </is>
      </c>
      <c r="E9" s="3" t="inlineStr">
        <is>
          <t>Aula 6</t>
        </is>
      </c>
      <c r="F9" s="3" t="inlineStr">
        <is>
          <t>Lab</t>
        </is>
      </c>
      <c r="G9" t="inlineStr"/>
      <c r="H9" s="2" t="inlineStr">
        <is>
          <t>EF</t>
        </is>
      </c>
      <c r="I9" s="2" t="inlineStr">
        <is>
          <t>Educación Física I</t>
        </is>
      </c>
      <c r="J9" s="2" t="inlineStr">
        <is>
          <t>2</t>
        </is>
      </c>
      <c r="K9" s="2">
        <f>(J9-L9)</f>
        <v/>
      </c>
      <c r="L9" s="2">
        <f>COUNTIF($B$4:$F$15,H9)</f>
        <v/>
      </c>
      <c r="M9" t="inlineStr"/>
      <c r="N9" s="2" t="inlineStr">
        <is>
          <t>Aula 6*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 t="inlineStr"/>
      <c r="L10" s="2" t="inlineStr"/>
      <c r="M10" t="inlineStr"/>
      <c r="N10" s="2" t="inlineStr">
        <is>
          <t>SEDER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Aula 6*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6*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6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6*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6*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>
        <f>"Total:"</f>
        <v/>
      </c>
      <c r="H16">
        <f>COUNTA($H$4:$H$15)</f>
        <v/>
      </c>
      <c r="I16" t="inlineStr"/>
      <c r="J16" t="inlineStr"/>
      <c r="K16" t="inlineStr"/>
      <c r="L16" t="inlineStr"/>
      <c r="M16" t="inlineStr"/>
      <c r="N16" t="inlineStr">
        <is>
          <t>Aula 6</t>
        </is>
      </c>
      <c r="O16" t="inlineStr"/>
    </row>
    <row r="17">
      <c r="A17" t="inlineStr"/>
      <c r="B17" t="inlineStr"/>
      <c r="C17" t="inlineStr"/>
      <c r="D17" t="inlineStr"/>
      <c r="E17" t="inlineStr"/>
      <c r="F17">
        <f>"Σ Frec:"</f>
        <v/>
      </c>
      <c r="G17">
        <f>SUM($J$4:$J$15)</f>
        <v/>
      </c>
      <c r="H17" t="inlineStr"/>
      <c r="I17" t="inlineStr"/>
      <c r="J17" t="inlineStr"/>
      <c r="K17" t="inlineStr"/>
      <c r="L17" t="inlineStr"/>
      <c r="M17" t="inlineStr"/>
      <c r="N17" t="inlineStr">
        <is>
          <t>Lab</t>
        </is>
      </c>
      <c r="O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C121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P</t>
        </is>
      </c>
      <c r="C4" s="1" t="inlineStr">
        <is>
          <t>A I</t>
        </is>
      </c>
      <c r="D4" s="1" t="inlineStr">
        <is>
          <t>AM I</t>
        </is>
      </c>
      <c r="E4" s="1" t="inlineStr">
        <is>
          <t>P</t>
        </is>
      </c>
      <c r="F4" s="1" t="inlineStr">
        <is>
          <t>A I</t>
        </is>
      </c>
      <c r="G4" t="inlineStr"/>
      <c r="H4" s="2" t="inlineStr">
        <is>
          <t>A I</t>
        </is>
      </c>
      <c r="I4" s="2" t="inlineStr">
        <is>
          <t>Álgebra I</t>
        </is>
      </c>
      <c r="J4" s="2" t="inlineStr">
        <is>
          <t>3</t>
        </is>
      </c>
      <c r="K4" s="2">
        <f>(J4-L4)</f>
        <v/>
      </c>
      <c r="L4" s="2">
        <f>COUNTIF($B$4:$F$15,H4)</f>
        <v/>
      </c>
      <c r="M4" t="inlineStr"/>
      <c r="N4" s="2" t="inlineStr">
        <is>
          <t>Aula 5</t>
        </is>
      </c>
      <c r="O4" t="inlineStr"/>
    </row>
    <row r="5">
      <c r="A5" s="3" t="inlineStr"/>
      <c r="B5" s="3" t="inlineStr">
        <is>
          <t>Aula 5</t>
        </is>
      </c>
      <c r="C5" s="3" t="inlineStr">
        <is>
          <t>Aula 5</t>
        </is>
      </c>
      <c r="D5" s="3" t="inlineStr">
        <is>
          <t>Aula 5</t>
        </is>
      </c>
      <c r="E5" s="3" t="inlineStr">
        <is>
          <t>Aula 5</t>
        </is>
      </c>
      <c r="F5" s="3" t="inlineStr">
        <is>
          <t>Aula 5</t>
        </is>
      </c>
      <c r="G5" t="inlineStr"/>
      <c r="H5" s="2" t="inlineStr">
        <is>
          <t>L</t>
        </is>
      </c>
      <c r="I5" s="2" t="inlineStr">
        <is>
          <t>Lógica</t>
        </is>
      </c>
      <c r="J5" s="2" t="inlineStr">
        <is>
          <t>2</t>
        </is>
      </c>
      <c r="K5" s="2">
        <f>(J5-L5)</f>
        <v/>
      </c>
      <c r="L5" s="2">
        <f>COUNTIF($B$4:$F$15,H5)</f>
        <v/>
      </c>
      <c r="M5" t="inlineStr"/>
      <c r="N5" s="2" t="inlineStr">
        <is>
          <t>Aula 5</t>
        </is>
      </c>
      <c r="O5" t="inlineStr"/>
    </row>
    <row r="6">
      <c r="A6" s="1" t="inlineStr">
        <is>
          <t>Turno 2</t>
        </is>
      </c>
      <c r="B6" s="1" t="inlineStr">
        <is>
          <t>F</t>
        </is>
      </c>
      <c r="C6" s="1" t="inlineStr">
        <is>
          <t>AM I</t>
        </is>
      </c>
      <c r="D6" s="1" t="inlineStr">
        <is>
          <t>EF</t>
        </is>
      </c>
      <c r="E6" s="1" t="inlineStr">
        <is>
          <t>L</t>
        </is>
      </c>
      <c r="F6" s="1" t="inlineStr">
        <is>
          <t>P</t>
        </is>
      </c>
      <c r="G6" t="inlineStr"/>
      <c r="H6" s="2" t="inlineStr">
        <is>
          <t>P</t>
        </is>
      </c>
      <c r="I6" s="2" t="inlineStr">
        <is>
          <t>Programación</t>
        </is>
      </c>
      <c r="J6" s="2" t="inlineStr">
        <is>
          <t>3</t>
        </is>
      </c>
      <c r="K6" s="2">
        <f>(J6-L6)</f>
        <v/>
      </c>
      <c r="L6" s="2">
        <f>COUNTIF($B$4:$F$15,H6)</f>
        <v/>
      </c>
      <c r="M6" t="inlineStr"/>
      <c r="N6" s="2" t="inlineStr">
        <is>
          <t>Aula 5</t>
        </is>
      </c>
      <c r="O6" t="inlineStr"/>
    </row>
    <row r="7">
      <c r="A7" s="3" t="inlineStr"/>
      <c r="B7" s="3" t="inlineStr">
        <is>
          <t>Aula 5</t>
        </is>
      </c>
      <c r="C7" s="3" t="inlineStr">
        <is>
          <t>Aula 5</t>
        </is>
      </c>
      <c r="D7" s="3" t="inlineStr">
        <is>
          <t>SEDER</t>
        </is>
      </c>
      <c r="E7" s="3" t="inlineStr">
        <is>
          <t>Aula 5</t>
        </is>
      </c>
      <c r="F7" s="3" t="inlineStr">
        <is>
          <t>Lab</t>
        </is>
      </c>
      <c r="G7" t="inlineStr"/>
      <c r="H7" s="2" t="inlineStr">
        <is>
          <t>AM I</t>
        </is>
      </c>
      <c r="I7" s="2" t="inlineStr">
        <is>
          <t>Análisis Matemático I</t>
        </is>
      </c>
      <c r="J7" s="2" t="inlineStr">
        <is>
          <t>2</t>
        </is>
      </c>
      <c r="K7" s="2">
        <f>(J7-L7)</f>
        <v/>
      </c>
      <c r="L7" s="2">
        <f>COUNTIF($B$4:$F$15,H7)</f>
        <v/>
      </c>
      <c r="M7" t="inlineStr"/>
      <c r="N7" s="2" t="inlineStr">
        <is>
          <t>Aula 5</t>
        </is>
      </c>
      <c r="O7" t="inlineStr"/>
    </row>
    <row r="8">
      <c r="A8" s="1" t="inlineStr">
        <is>
          <t>Turno 3</t>
        </is>
      </c>
      <c r="B8" s="1" t="inlineStr">
        <is>
          <t>L</t>
        </is>
      </c>
      <c r="C8" s="1" t="inlineStr">
        <is>
          <t>A I</t>
        </is>
      </c>
      <c r="D8" s="1" t="inlineStr">
        <is>
          <t>AM I</t>
        </is>
      </c>
      <c r="E8" s="1" t="inlineStr">
        <is>
          <t>F</t>
        </is>
      </c>
      <c r="F8" s="1" t="inlineStr"/>
      <c r="G8" t="inlineStr"/>
      <c r="H8" s="2" t="inlineStr">
        <is>
          <t>F</t>
        </is>
      </c>
      <c r="I8" s="2" t="inlineStr">
        <is>
          <t>Filosofía</t>
        </is>
      </c>
      <c r="J8" s="2" t="inlineStr">
        <is>
          <t>2</t>
        </is>
      </c>
      <c r="K8" s="2">
        <f>(J8-L8)</f>
        <v/>
      </c>
      <c r="L8" s="2">
        <f>COUNTIF($B$4:$F$15,H8)</f>
        <v/>
      </c>
      <c r="M8" t="inlineStr"/>
      <c r="N8" s="2" t="inlineStr">
        <is>
          <t>Aula 5</t>
        </is>
      </c>
      <c r="O8" t="inlineStr"/>
    </row>
    <row r="9">
      <c r="A9" s="3" t="inlineStr"/>
      <c r="B9" s="3" t="inlineStr">
        <is>
          <t>Aula 5</t>
        </is>
      </c>
      <c r="C9" s="3" t="inlineStr">
        <is>
          <t>Aula 5</t>
        </is>
      </c>
      <c r="D9" s="3" t="inlineStr">
        <is>
          <t>Aula 5</t>
        </is>
      </c>
      <c r="E9" s="3" t="inlineStr">
        <is>
          <t>Aula 5</t>
        </is>
      </c>
      <c r="F9" s="3" t="inlineStr"/>
      <c r="G9" t="inlineStr"/>
      <c r="H9" s="2" t="inlineStr">
        <is>
          <t>EF</t>
        </is>
      </c>
      <c r="I9" s="2" t="inlineStr">
        <is>
          <t>Educación Física I</t>
        </is>
      </c>
      <c r="J9" s="2" t="inlineStr">
        <is>
          <t>2</t>
        </is>
      </c>
      <c r="K9" s="2">
        <f>(J9-L9)</f>
        <v/>
      </c>
      <c r="L9" s="2">
        <f>COUNTIF($B$4:$F$15,H9)</f>
        <v/>
      </c>
      <c r="M9" t="inlineStr"/>
      <c r="N9" s="2" t="inlineStr">
        <is>
          <t>Aula 5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 t="inlineStr"/>
      <c r="L10" s="2" t="inlineStr"/>
      <c r="M10" t="inlineStr"/>
      <c r="N10" s="2" t="inlineStr">
        <is>
          <t>Aula 5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SEDER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5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Lab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5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5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>
        <f>"Total:"</f>
        <v/>
      </c>
      <c r="H16">
        <f>COUNTA($H$4:$H$15)</f>
        <v/>
      </c>
      <c r="I16" t="inlineStr"/>
      <c r="J16" t="inlineStr"/>
      <c r="K16" t="inlineStr"/>
      <c r="L16" t="inlineStr"/>
      <c r="M16" t="inlineStr"/>
      <c r="N16" t="inlineStr">
        <is>
          <t>Aula 5</t>
        </is>
      </c>
      <c r="O16" t="inlineStr"/>
    </row>
    <row r="17">
      <c r="A17" t="inlineStr"/>
      <c r="B17" t="inlineStr"/>
      <c r="C17" t="inlineStr"/>
      <c r="D17" t="inlineStr"/>
      <c r="E17" t="inlineStr"/>
      <c r="F17">
        <f>"Σ Frec:"</f>
        <v/>
      </c>
      <c r="G17">
        <f>SUM($J$4:$J$15)</f>
        <v/>
      </c>
      <c r="H17" t="inlineStr"/>
      <c r="I17" t="inlineStr"/>
      <c r="J17" t="inlineStr"/>
      <c r="K17" t="inlineStr"/>
      <c r="L17" t="inlineStr"/>
      <c r="M17" t="inlineStr"/>
      <c r="N17" t="inlineStr">
        <is>
          <t>Aula 5</t>
        </is>
      </c>
      <c r="O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C122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P</t>
        </is>
      </c>
      <c r="C4" s="1" t="inlineStr">
        <is>
          <t>A I</t>
        </is>
      </c>
      <c r="D4" s="1" t="inlineStr">
        <is>
          <t>AM I</t>
        </is>
      </c>
      <c r="E4" s="1" t="inlineStr">
        <is>
          <t>L</t>
        </is>
      </c>
      <c r="F4" s="1" t="inlineStr">
        <is>
          <t>P</t>
        </is>
      </c>
      <c r="G4" t="inlineStr"/>
      <c r="H4" s="2" t="inlineStr">
        <is>
          <t>A I</t>
        </is>
      </c>
      <c r="I4" s="2" t="inlineStr">
        <is>
          <t>Álgebra I</t>
        </is>
      </c>
      <c r="J4" s="2" t="inlineStr">
        <is>
          <t>3</t>
        </is>
      </c>
      <c r="K4" s="2">
        <f>(J4-L4)</f>
        <v/>
      </c>
      <c r="L4" s="2">
        <f>COUNTIF($B$4:$F$15,H4)</f>
        <v/>
      </c>
      <c r="M4" t="inlineStr"/>
      <c r="N4" s="2" t="inlineStr">
        <is>
          <t>Aula 5</t>
        </is>
      </c>
      <c r="O4" t="inlineStr"/>
    </row>
    <row r="5">
      <c r="A5" s="3" t="inlineStr"/>
      <c r="B5" s="3" t="inlineStr">
        <is>
          <t>Aula 5</t>
        </is>
      </c>
      <c r="C5" s="3" t="inlineStr">
        <is>
          <t>Aula 5</t>
        </is>
      </c>
      <c r="D5" s="3" t="inlineStr">
        <is>
          <t>Aula 1</t>
        </is>
      </c>
      <c r="E5" s="3" t="inlineStr">
        <is>
          <t>Aula 1</t>
        </is>
      </c>
      <c r="F5" s="3" t="inlineStr">
        <is>
          <t>Lab</t>
        </is>
      </c>
      <c r="G5" t="inlineStr"/>
      <c r="H5" s="2" t="inlineStr">
        <is>
          <t>L</t>
        </is>
      </c>
      <c r="I5" s="2" t="inlineStr">
        <is>
          <t>Lógica</t>
        </is>
      </c>
      <c r="J5" s="2" t="inlineStr">
        <is>
          <t>2</t>
        </is>
      </c>
      <c r="K5" s="2">
        <f>(J5-L5)</f>
        <v/>
      </c>
      <c r="L5" s="2">
        <f>COUNTIF($B$4:$F$15,H5)</f>
        <v/>
      </c>
      <c r="M5" t="inlineStr"/>
      <c r="N5" s="2" t="inlineStr">
        <is>
          <t>Aula 5</t>
        </is>
      </c>
      <c r="O5" t="inlineStr"/>
    </row>
    <row r="6">
      <c r="A6" s="1" t="inlineStr">
        <is>
          <t>Turno 2</t>
        </is>
      </c>
      <c r="B6" s="1" t="inlineStr">
        <is>
          <t>F</t>
        </is>
      </c>
      <c r="C6" s="1" t="inlineStr">
        <is>
          <t>AM I</t>
        </is>
      </c>
      <c r="D6" s="1" t="inlineStr">
        <is>
          <t>EF</t>
        </is>
      </c>
      <c r="E6" s="1" t="inlineStr">
        <is>
          <t>AM I</t>
        </is>
      </c>
      <c r="F6" s="1" t="inlineStr">
        <is>
          <t>A I</t>
        </is>
      </c>
      <c r="G6" t="inlineStr"/>
      <c r="H6" s="2" t="inlineStr">
        <is>
          <t>P</t>
        </is>
      </c>
      <c r="I6" s="2" t="inlineStr">
        <is>
          <t>Programación</t>
        </is>
      </c>
      <c r="J6" s="2" t="inlineStr">
        <is>
          <t>3</t>
        </is>
      </c>
      <c r="K6" s="2">
        <f>(J6-L6)</f>
        <v/>
      </c>
      <c r="L6" s="2">
        <f>COUNTIF($B$4:$F$15,H6)</f>
        <v/>
      </c>
      <c r="M6" t="inlineStr"/>
      <c r="N6" s="2" t="inlineStr">
        <is>
          <t>Aula 1</t>
        </is>
      </c>
      <c r="O6" t="inlineStr"/>
    </row>
    <row r="7">
      <c r="A7" s="3" t="inlineStr"/>
      <c r="B7" s="3" t="inlineStr">
        <is>
          <t>Aula 5</t>
        </is>
      </c>
      <c r="C7" s="3" t="inlineStr">
        <is>
          <t>Aula 5</t>
        </is>
      </c>
      <c r="D7" s="3" t="inlineStr">
        <is>
          <t>SEDER</t>
        </is>
      </c>
      <c r="E7" s="3" t="inlineStr">
        <is>
          <t>Aula 1</t>
        </is>
      </c>
      <c r="F7" s="3" t="inlineStr">
        <is>
          <t>Aula 1</t>
        </is>
      </c>
      <c r="G7" t="inlineStr"/>
      <c r="H7" s="2" t="inlineStr">
        <is>
          <t>AM I</t>
        </is>
      </c>
      <c r="I7" s="2" t="inlineStr">
        <is>
          <t>Análisis Matemático I</t>
        </is>
      </c>
      <c r="J7" s="2" t="inlineStr">
        <is>
          <t>2</t>
        </is>
      </c>
      <c r="K7" s="2">
        <f>(J7-L7)</f>
        <v/>
      </c>
      <c r="L7" s="2">
        <f>COUNTIF($B$4:$F$15,H7)</f>
        <v/>
      </c>
      <c r="M7" t="inlineStr"/>
      <c r="N7" s="2" t="inlineStr">
        <is>
          <t>Aula 1</t>
        </is>
      </c>
      <c r="O7" t="inlineStr"/>
    </row>
    <row r="8">
      <c r="A8" s="1" t="inlineStr">
        <is>
          <t>Turno 3</t>
        </is>
      </c>
      <c r="B8" s="1" t="inlineStr">
        <is>
          <t>L</t>
        </is>
      </c>
      <c r="C8" s="1" t="inlineStr">
        <is>
          <t>A I</t>
        </is>
      </c>
      <c r="D8" s="1" t="inlineStr">
        <is>
          <t>P</t>
        </is>
      </c>
      <c r="E8" s="1" t="inlineStr">
        <is>
          <t>F</t>
        </is>
      </c>
      <c r="F8" s="1" t="inlineStr"/>
      <c r="G8" t="inlineStr"/>
      <c r="H8" s="2" t="inlineStr">
        <is>
          <t>F</t>
        </is>
      </c>
      <c r="I8" s="2" t="inlineStr">
        <is>
          <t>Filosofía</t>
        </is>
      </c>
      <c r="J8" s="2" t="inlineStr">
        <is>
          <t>2</t>
        </is>
      </c>
      <c r="K8" s="2">
        <f>(J8-L8)</f>
        <v/>
      </c>
      <c r="L8" s="2">
        <f>COUNTIF($B$4:$F$15,H8)</f>
        <v/>
      </c>
      <c r="M8" t="inlineStr"/>
      <c r="N8" s="2" t="inlineStr">
        <is>
          <t>Lab</t>
        </is>
      </c>
      <c r="O8" t="inlineStr"/>
    </row>
    <row r="9">
      <c r="A9" s="3" t="inlineStr"/>
      <c r="B9" s="3" t="inlineStr">
        <is>
          <t>Aula 5</t>
        </is>
      </c>
      <c r="C9" s="3" t="inlineStr">
        <is>
          <t>Aula 1</t>
        </is>
      </c>
      <c r="D9" s="3" t="inlineStr">
        <is>
          <t>Aula 1</t>
        </is>
      </c>
      <c r="E9" s="3" t="inlineStr">
        <is>
          <t>Aula 5</t>
        </is>
      </c>
      <c r="F9" s="3" t="inlineStr"/>
      <c r="G9" t="inlineStr"/>
      <c r="H9" s="2" t="inlineStr">
        <is>
          <t>EF</t>
        </is>
      </c>
      <c r="I9" s="2" t="inlineStr">
        <is>
          <t>Educación Física I</t>
        </is>
      </c>
      <c r="J9" s="2" t="inlineStr">
        <is>
          <t>2</t>
        </is>
      </c>
      <c r="K9" s="2">
        <f>(J9-L9)</f>
        <v/>
      </c>
      <c r="L9" s="2">
        <f>COUNTIF($B$4:$F$15,H9)</f>
        <v/>
      </c>
      <c r="M9" t="inlineStr"/>
      <c r="N9" s="2" t="inlineStr">
        <is>
          <t>Aula 5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 t="inlineStr"/>
      <c r="L10" s="2" t="inlineStr"/>
      <c r="M10" t="inlineStr"/>
      <c r="N10" s="2" t="inlineStr">
        <is>
          <t>Aula 5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SEDER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1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1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5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1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>
        <f>"Total:"</f>
        <v/>
      </c>
      <c r="H16">
        <f>COUNTA($H$4:$H$15)</f>
        <v/>
      </c>
      <c r="I16" t="inlineStr"/>
      <c r="J16" t="inlineStr"/>
      <c r="K16" t="inlineStr"/>
      <c r="L16" t="inlineStr"/>
      <c r="M16" t="inlineStr"/>
      <c r="N16" t="inlineStr">
        <is>
          <t>Aula 1</t>
        </is>
      </c>
      <c r="O16" t="inlineStr"/>
    </row>
    <row r="17">
      <c r="A17" t="inlineStr"/>
      <c r="B17" t="inlineStr"/>
      <c r="C17" t="inlineStr"/>
      <c r="D17" t="inlineStr"/>
      <c r="E17" t="inlineStr"/>
      <c r="F17">
        <f>"Σ Frec:"</f>
        <v/>
      </c>
      <c r="G17">
        <f>SUM($J$4:$J$15)</f>
        <v/>
      </c>
      <c r="H17" t="inlineStr"/>
      <c r="I17" t="inlineStr"/>
      <c r="J17" t="inlineStr"/>
      <c r="K17" t="inlineStr"/>
      <c r="L17" t="inlineStr"/>
      <c r="M17" t="inlineStr"/>
      <c r="N17" t="inlineStr">
        <is>
          <t>Aula 5</t>
        </is>
      </c>
      <c r="O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C211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EDA</t>
        </is>
      </c>
      <c r="I4" s="2" t="inlineStr">
        <is>
          <t>Estructuras de Datos y Algoritmos I</t>
        </is>
      </c>
      <c r="J4" s="2" t="inlineStr">
        <is>
          <t>2</t>
        </is>
      </c>
      <c r="K4" s="2">
        <f>(J4-L4)</f>
        <v/>
      </c>
      <c r="L4" s="2">
        <f>COUNTIF($B$4:$F$15,H4)</f>
        <v/>
      </c>
      <c r="M4" t="inlineStr"/>
      <c r="N4" s="2" t="inlineStr">
        <is>
          <t>c 6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MD</t>
        </is>
      </c>
      <c r="I5" s="2" t="inlineStr">
        <is>
          <t>Matemática Discreta I</t>
        </is>
      </c>
      <c r="J5" s="2" t="inlineStr">
        <is>
          <t>2</t>
        </is>
      </c>
      <c r="K5" s="2">
        <f>(J5-L5)</f>
        <v/>
      </c>
      <c r="L5" s="2">
        <f>COUNTIF($B$4:$F$15,H5)</f>
        <v/>
      </c>
      <c r="M5" t="inlineStr"/>
      <c r="N5" s="2" t="inlineStr">
        <is>
          <t>c6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AC</t>
        </is>
      </c>
      <c r="I6" s="2" t="inlineStr">
        <is>
          <t>Arquitectura de computadoras</t>
        </is>
      </c>
      <c r="J6" s="2" t="inlineStr">
        <is>
          <t>2</t>
        </is>
      </c>
      <c r="K6" s="2">
        <f>(J6-L6)</f>
        <v/>
      </c>
      <c r="L6" s="2">
        <f>COUNTIF($B$4:$F$15,H6)</f>
        <v/>
      </c>
      <c r="M6" t="inlineStr"/>
      <c r="N6" s="2" t="inlineStr">
        <is>
          <t>cp 6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EDO</t>
        </is>
      </c>
      <c r="I7" s="2" t="inlineStr">
        <is>
          <t>Ecuaciones Diferenciales Ordinarias</t>
        </is>
      </c>
      <c r="J7" s="2" t="inlineStr">
        <is>
          <t>2</t>
        </is>
      </c>
      <c r="K7" s="2">
        <f>(J7-L7)</f>
        <v/>
      </c>
      <c r="L7" s="2">
        <f>COUNTIF($B$4:$F$15,H7)</f>
        <v/>
      </c>
      <c r="M7" t="inlineStr"/>
      <c r="N7" s="2" t="inlineStr">
        <is>
          <t>cp 6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MN</t>
        </is>
      </c>
      <c r="I8" s="2" t="inlineStr">
        <is>
          <t>Matemática Numérica</t>
        </is>
      </c>
      <c r="J8" s="2" t="inlineStr">
        <is>
          <t>2</t>
        </is>
      </c>
      <c r="K8" s="2">
        <f>(J8-L8)</f>
        <v/>
      </c>
      <c r="L8" s="2">
        <f>COUNTIF($B$4:$F$15,H8)</f>
        <v/>
      </c>
      <c r="M8" t="inlineStr"/>
      <c r="N8" s="2" t="inlineStr">
        <is>
          <t>lab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TP</t>
        </is>
      </c>
      <c r="I9" s="2" t="inlineStr">
        <is>
          <t>Teoría Política</t>
        </is>
      </c>
      <c r="J9" s="2" t="inlineStr">
        <is>
          <t>2</t>
        </is>
      </c>
      <c r="K9" s="2">
        <f>(J9-L9)</f>
        <v/>
      </c>
      <c r="L9" s="2">
        <f>COUNTIF($B$4:$F$15,H9)</f>
        <v/>
      </c>
      <c r="M9" t="inlineStr"/>
      <c r="N9" s="2" t="inlineStr">
        <is>
          <t>c 6</t>
        </is>
      </c>
      <c r="O9" t="inlineStr"/>
    </row>
    <row r="10">
      <c r="A10" s="1" t="inlineStr">
        <is>
          <t>Turno 4</t>
        </is>
      </c>
      <c r="B10" s="1" t="inlineStr">
        <is>
          <t>EDA I</t>
        </is>
      </c>
      <c r="C10" s="1" t="inlineStr">
        <is>
          <t>MD</t>
        </is>
      </c>
      <c r="D10" s="1" t="inlineStr">
        <is>
          <t>EDO</t>
        </is>
      </c>
      <c r="E10" s="1" t="inlineStr">
        <is>
          <t>MN</t>
        </is>
      </c>
      <c r="F10" s="1" t="inlineStr">
        <is>
          <t>AC</t>
        </is>
      </c>
      <c r="G10" t="inlineStr"/>
      <c r="H10" s="2" t="inlineStr"/>
      <c r="I10" s="2" t="inlineStr"/>
      <c r="J10" s="2" t="inlineStr"/>
      <c r="K10" s="2" t="inlineStr"/>
      <c r="L10" s="2" t="inlineStr"/>
      <c r="M10" t="inlineStr"/>
      <c r="N10" s="2" t="inlineStr">
        <is>
          <t>c 6</t>
        </is>
      </c>
      <c r="O10" t="inlineStr"/>
    </row>
    <row r="11">
      <c r="A11" s="3" t="inlineStr"/>
      <c r="B11" s="3" t="inlineStr">
        <is>
          <t>c 6</t>
        </is>
      </c>
      <c r="C11" s="3" t="inlineStr">
        <is>
          <t>c6</t>
        </is>
      </c>
      <c r="D11" s="3" t="inlineStr">
        <is>
          <t>cp 6</t>
        </is>
      </c>
      <c r="E11" s="3" t="inlineStr">
        <is>
          <t>cp 6</t>
        </is>
      </c>
      <c r="F11" s="3" t="inlineStr">
        <is>
          <t>lab</t>
        </is>
      </c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cp 6</t>
        </is>
      </c>
      <c r="O11" t="inlineStr"/>
    </row>
    <row r="12">
      <c r="A12" s="1" t="inlineStr">
        <is>
          <t>Turno 5</t>
        </is>
      </c>
      <c r="B12" s="1" t="inlineStr">
        <is>
          <t>TP</t>
        </is>
      </c>
      <c r="C12" s="1" t="inlineStr">
        <is>
          <t>MN</t>
        </is>
      </c>
      <c r="D12" s="1" t="inlineStr">
        <is>
          <t>EDA I</t>
        </is>
      </c>
      <c r="E12" s="1" t="inlineStr">
        <is>
          <t>TP</t>
        </is>
      </c>
      <c r="F12" s="1" t="inlineStr">
        <is>
          <t>MD</t>
        </is>
      </c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 6</t>
        </is>
      </c>
      <c r="O12" t="inlineStr"/>
    </row>
    <row r="13">
      <c r="A13" s="3" t="inlineStr"/>
      <c r="B13" s="3" t="inlineStr">
        <is>
          <t>c 6</t>
        </is>
      </c>
      <c r="C13" s="3" t="inlineStr">
        <is>
          <t>c 6</t>
        </is>
      </c>
      <c r="D13" s="3" t="inlineStr">
        <is>
          <t>cp 6</t>
        </is>
      </c>
      <c r="E13" s="3" t="inlineStr">
        <is>
          <t>c 6</t>
        </is>
      </c>
      <c r="F13" s="3" t="inlineStr">
        <is>
          <t>cp 6</t>
        </is>
      </c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cp 6</t>
        </is>
      </c>
      <c r="O13" t="inlineStr"/>
    </row>
    <row r="14">
      <c r="A14" s="1" t="inlineStr">
        <is>
          <t>Turno 6</t>
        </is>
      </c>
      <c r="B14" s="1" t="inlineStr">
        <is>
          <t>EDO</t>
        </is>
      </c>
      <c r="C14" s="1" t="inlineStr">
        <is>
          <t>AC</t>
        </is>
      </c>
      <c r="D14" s="1" t="inlineStr">
        <is>
          <t>EF 4:45pm a 5:35pm</t>
        </is>
      </c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c 6</t>
        </is>
      </c>
      <c r="O14" t="inlineStr"/>
    </row>
    <row r="15">
      <c r="A15" s="3" t="inlineStr"/>
      <c r="B15" s="3" t="inlineStr">
        <is>
          <t>c 6</t>
        </is>
      </c>
      <c r="C15" s="3" t="inlineStr">
        <is>
          <t>c 6</t>
        </is>
      </c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c 6</t>
        </is>
      </c>
      <c r="O15" t="inlineStr"/>
    </row>
    <row r="16">
      <c r="G16">
        <f>"Total:"</f>
        <v/>
      </c>
      <c r="H16">
        <f>COUNTA($H$4:$H$15)</f>
        <v/>
      </c>
    </row>
    <row r="17">
      <c r="F17">
        <f>"Σ Frec:"</f>
        <v/>
      </c>
      <c r="G17">
        <f>SUM($J$4:$J$15)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C212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EDA</t>
        </is>
      </c>
      <c r="I4" s="2" t="inlineStr">
        <is>
          <t>Estructuras de Datos y Algoritmos I</t>
        </is>
      </c>
      <c r="J4" s="2" t="inlineStr">
        <is>
          <t>2</t>
        </is>
      </c>
      <c r="K4" s="2">
        <f>(J4-L4)</f>
        <v/>
      </c>
      <c r="L4" s="2">
        <f>COUNTIF($B$4:$F$15,H4)</f>
        <v/>
      </c>
      <c r="M4" t="inlineStr"/>
      <c r="N4" s="2" t="inlineStr">
        <is>
          <t>c 6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MD</t>
        </is>
      </c>
      <c r="I5" s="2" t="inlineStr">
        <is>
          <t>Matemática Discreta I</t>
        </is>
      </c>
      <c r="J5" s="2" t="inlineStr">
        <is>
          <t>2</t>
        </is>
      </c>
      <c r="K5" s="2">
        <f>(J5-L5)</f>
        <v/>
      </c>
      <c r="L5" s="2">
        <f>COUNTIF($B$4:$F$15,H5)</f>
        <v/>
      </c>
      <c r="M5" t="inlineStr"/>
      <c r="N5" s="2" t="inlineStr">
        <is>
          <t>c6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AC</t>
        </is>
      </c>
      <c r="I6" s="2" t="inlineStr">
        <is>
          <t>Arquitectura de computadoras</t>
        </is>
      </c>
      <c r="J6" s="2" t="inlineStr">
        <is>
          <t>2</t>
        </is>
      </c>
      <c r="K6" s="2">
        <f>(J6-L6)</f>
        <v/>
      </c>
      <c r="L6" s="2">
        <f>COUNTIF($B$4:$F$15,H6)</f>
        <v/>
      </c>
      <c r="M6" t="inlineStr"/>
      <c r="N6" s="2" t="inlineStr">
        <is>
          <t>cp 5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EDO</t>
        </is>
      </c>
      <c r="I7" s="2" t="inlineStr">
        <is>
          <t>Ecuaciones Diferenciales Ordinarias</t>
        </is>
      </c>
      <c r="J7" s="2" t="inlineStr">
        <is>
          <t>2</t>
        </is>
      </c>
      <c r="K7" s="2">
        <f>(J7-L7)</f>
        <v/>
      </c>
      <c r="L7" s="2">
        <f>COUNTIF($B$4:$F$15,H7)</f>
        <v/>
      </c>
      <c r="M7" t="inlineStr"/>
      <c r="N7" s="2" t="inlineStr">
        <is>
          <t>cp 5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MN</t>
        </is>
      </c>
      <c r="I8" s="2" t="inlineStr">
        <is>
          <t>Matemática Numérica</t>
        </is>
      </c>
      <c r="J8" s="2" t="inlineStr">
        <is>
          <t>2</t>
        </is>
      </c>
      <c r="K8" s="2">
        <f>(J8-L8)</f>
        <v/>
      </c>
      <c r="L8" s="2">
        <f>COUNTIF($B$4:$F$15,H8)</f>
        <v/>
      </c>
      <c r="M8" t="inlineStr"/>
      <c r="N8" s="2" t="inlineStr">
        <is>
          <t>lab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TP</t>
        </is>
      </c>
      <c r="I9" s="2" t="inlineStr">
        <is>
          <t>Teoría Política</t>
        </is>
      </c>
      <c r="J9" s="2" t="inlineStr">
        <is>
          <t>2</t>
        </is>
      </c>
      <c r="K9" s="2">
        <f>(J9-L9)</f>
        <v/>
      </c>
      <c r="L9" s="2">
        <f>COUNTIF($B$4:$F$15,H9)</f>
        <v/>
      </c>
      <c r="M9" t="inlineStr"/>
      <c r="N9" s="2" t="inlineStr">
        <is>
          <t>c 6</t>
        </is>
      </c>
      <c r="O9" t="inlineStr"/>
    </row>
    <row r="10">
      <c r="A10" s="1" t="inlineStr">
        <is>
          <t>Turno 4</t>
        </is>
      </c>
      <c r="B10" s="1" t="inlineStr">
        <is>
          <t>EDA I</t>
        </is>
      </c>
      <c r="C10" s="1" t="inlineStr">
        <is>
          <t>MD</t>
        </is>
      </c>
      <c r="D10" s="1" t="inlineStr">
        <is>
          <t>EDO I</t>
        </is>
      </c>
      <c r="E10" s="1" t="inlineStr">
        <is>
          <t>MN</t>
        </is>
      </c>
      <c r="F10" s="1" t="inlineStr">
        <is>
          <t>AC</t>
        </is>
      </c>
      <c r="G10" t="inlineStr"/>
      <c r="H10" s="2" t="inlineStr"/>
      <c r="I10" s="2" t="inlineStr"/>
      <c r="J10" s="2" t="inlineStr"/>
      <c r="K10" s="2" t="inlineStr"/>
      <c r="L10" s="2" t="inlineStr"/>
      <c r="M10" t="inlineStr"/>
      <c r="N10" s="2" t="inlineStr">
        <is>
          <t>c 6</t>
        </is>
      </c>
      <c r="O10" t="inlineStr"/>
    </row>
    <row r="11">
      <c r="A11" s="3" t="inlineStr"/>
      <c r="B11" s="3" t="inlineStr">
        <is>
          <t>c 6</t>
        </is>
      </c>
      <c r="C11" s="3" t="inlineStr">
        <is>
          <t>c6</t>
        </is>
      </c>
      <c r="D11" s="3" t="inlineStr">
        <is>
          <t>cp 5</t>
        </is>
      </c>
      <c r="E11" s="3" t="inlineStr">
        <is>
          <t>cp 5</t>
        </is>
      </c>
      <c r="F11" s="3" t="inlineStr">
        <is>
          <t>lab</t>
        </is>
      </c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cp 5</t>
        </is>
      </c>
      <c r="O11" t="inlineStr"/>
    </row>
    <row r="12">
      <c r="A12" s="1" t="inlineStr">
        <is>
          <t>Turno 5</t>
        </is>
      </c>
      <c r="B12" s="1" t="inlineStr">
        <is>
          <t>TP</t>
        </is>
      </c>
      <c r="C12" s="1" t="inlineStr">
        <is>
          <t>MN</t>
        </is>
      </c>
      <c r="D12" s="1" t="inlineStr">
        <is>
          <t>EDA I</t>
        </is>
      </c>
      <c r="E12" s="1" t="inlineStr">
        <is>
          <t>TP</t>
        </is>
      </c>
      <c r="F12" s="1" t="inlineStr">
        <is>
          <t>MD</t>
        </is>
      </c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 6</t>
        </is>
      </c>
      <c r="O12" t="inlineStr"/>
    </row>
    <row r="13">
      <c r="A13" s="3" t="inlineStr"/>
      <c r="B13" s="3" t="inlineStr">
        <is>
          <t>c 6</t>
        </is>
      </c>
      <c r="C13" s="3" t="inlineStr">
        <is>
          <t>c 6</t>
        </is>
      </c>
      <c r="D13" s="3" t="inlineStr">
        <is>
          <t>cp 5</t>
        </is>
      </c>
      <c r="E13" s="3" t="inlineStr">
        <is>
          <t>c 6</t>
        </is>
      </c>
      <c r="F13" s="3" t="inlineStr">
        <is>
          <t>cp 5</t>
        </is>
      </c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cp 5</t>
        </is>
      </c>
      <c r="O13" t="inlineStr"/>
    </row>
    <row r="14">
      <c r="A14" s="1" t="inlineStr">
        <is>
          <t>Turno 6</t>
        </is>
      </c>
      <c r="B14" s="1" t="inlineStr">
        <is>
          <t>EDO</t>
        </is>
      </c>
      <c r="C14" s="1" t="inlineStr">
        <is>
          <t>AC</t>
        </is>
      </c>
      <c r="D14" s="1" t="inlineStr">
        <is>
          <t>EF 4:45pm a 5:35pm</t>
        </is>
      </c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c 6</t>
        </is>
      </c>
      <c r="O14" t="inlineStr"/>
    </row>
    <row r="15">
      <c r="A15" s="3" t="inlineStr"/>
      <c r="B15" s="3" t="inlineStr">
        <is>
          <t>c 6</t>
        </is>
      </c>
      <c r="C15" s="3" t="inlineStr">
        <is>
          <t>c 6</t>
        </is>
      </c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c 6</t>
        </is>
      </c>
      <c r="O15" t="inlineStr"/>
    </row>
    <row r="16">
      <c r="G16">
        <f>"Total:"</f>
        <v/>
      </c>
      <c r="H16">
        <f>COUNTA($H$4:$H$15)</f>
        <v/>
      </c>
    </row>
    <row r="17">
      <c r="F17">
        <f>"Σ Frec:"</f>
        <v/>
      </c>
      <c r="G17">
        <f>SUM($J$4:$J$15)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C311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BD2</t>
        </is>
      </c>
      <c r="C4" s="1" t="inlineStr">
        <is>
          <t>Est</t>
        </is>
      </c>
      <c r="D4" s="1" t="inlineStr">
        <is>
          <t>BD2 cp</t>
        </is>
      </c>
      <c r="E4" s="1" t="inlineStr">
        <is>
          <t>MO</t>
        </is>
      </c>
      <c r="F4" s="1" t="inlineStr"/>
      <c r="G4" t="inlineStr"/>
      <c r="H4" s="2" t="inlineStr">
        <is>
          <t>RC</t>
        </is>
      </c>
      <c r="I4" s="2" t="inlineStr">
        <is>
          <t>Redes de Computadoras</t>
        </is>
      </c>
      <c r="J4" s="2" t="inlineStr">
        <is>
          <t>2</t>
        </is>
      </c>
      <c r="K4" s="2">
        <f>(J4-L4)</f>
        <v/>
      </c>
      <c r="L4" s="2">
        <f>COUNTIF($B$4:$F$15,H4)</f>
        <v/>
      </c>
      <c r="M4" t="inlineStr"/>
      <c r="N4" s="2" t="inlineStr">
        <is>
          <t>Aula 9</t>
        </is>
      </c>
      <c r="O4" t="inlineStr"/>
    </row>
    <row r="5">
      <c r="A5" s="3" t="inlineStr"/>
      <c r="B5" s="3" t="inlineStr">
        <is>
          <t>Aula 9</t>
        </is>
      </c>
      <c r="C5" s="3" t="inlineStr">
        <is>
          <t>Aula 9</t>
        </is>
      </c>
      <c r="D5" s="3" t="inlineStr">
        <is>
          <t>Aula 9</t>
        </is>
      </c>
      <c r="E5" s="3" t="inlineStr">
        <is>
          <t>Aula 9</t>
        </is>
      </c>
      <c r="F5" s="3" t="inlineStr"/>
      <c r="G5" t="inlineStr"/>
      <c r="H5" s="2" t="inlineStr">
        <is>
          <t>IS</t>
        </is>
      </c>
      <c r="I5" s="2" t="inlineStr">
        <is>
          <t>Ingeniería de Software</t>
        </is>
      </c>
      <c r="J5" s="2" t="inlineStr">
        <is>
          <t>2</t>
        </is>
      </c>
      <c r="K5" s="2">
        <f>(J5-L5)</f>
        <v/>
      </c>
      <c r="L5" s="2">
        <f>COUNTIF($B$4:$F$15,H5)</f>
        <v/>
      </c>
      <c r="M5" t="inlineStr"/>
      <c r="N5" s="2" t="inlineStr">
        <is>
          <t>Aula 9</t>
        </is>
      </c>
      <c r="O5" t="inlineStr"/>
    </row>
    <row r="6">
      <c r="A6" s="1" t="inlineStr">
        <is>
          <t>Turno 2</t>
        </is>
      </c>
      <c r="B6" s="1" t="inlineStr">
        <is>
          <t>IS c</t>
        </is>
      </c>
      <c r="C6" s="1" t="inlineStr">
        <is>
          <t>PD c</t>
        </is>
      </c>
      <c r="D6" s="1" t="inlineStr">
        <is>
          <t>IS c</t>
        </is>
      </c>
      <c r="E6" s="1" t="inlineStr">
        <is>
          <t>PD cp</t>
        </is>
      </c>
      <c r="F6" s="1" t="inlineStr"/>
      <c r="G6" t="inlineStr"/>
      <c r="H6" s="2" t="inlineStr">
        <is>
          <t>MO</t>
        </is>
      </c>
      <c r="I6" s="2" t="inlineStr">
        <is>
          <t>Modelos de Optimización</t>
        </is>
      </c>
      <c r="J6" s="2" t="inlineStr">
        <is>
          <t>2</t>
        </is>
      </c>
      <c r="K6" s="2">
        <f>(J6-L6)</f>
        <v/>
      </c>
      <c r="L6" s="2">
        <f>COUNTIF($B$4:$F$15,H6)</f>
        <v/>
      </c>
      <c r="M6" t="inlineStr"/>
      <c r="N6" s="2" t="inlineStr">
        <is>
          <t>Aula 9</t>
        </is>
      </c>
      <c r="O6" t="inlineStr"/>
    </row>
    <row r="7">
      <c r="A7" s="3" t="inlineStr"/>
      <c r="B7" s="3" t="inlineStr">
        <is>
          <t>Aula 9</t>
        </is>
      </c>
      <c r="C7" s="3" t="inlineStr">
        <is>
          <t>Aula 9</t>
        </is>
      </c>
      <c r="D7" s="3" t="inlineStr">
        <is>
          <t>Aula 9</t>
        </is>
      </c>
      <c r="E7" s="3" t="inlineStr">
        <is>
          <t>Aula 9</t>
        </is>
      </c>
      <c r="F7" s="3" t="inlineStr"/>
      <c r="G7" t="inlineStr"/>
      <c r="H7" s="2" t="inlineStr">
        <is>
          <t>BD2</t>
        </is>
      </c>
      <c r="I7" s="2" t="inlineStr">
        <is>
          <t>Bases de Datos II</t>
        </is>
      </c>
      <c r="J7" s="2" t="inlineStr">
        <is>
          <t>2</t>
        </is>
      </c>
      <c r="K7" s="2">
        <f>(J7-L7)</f>
        <v/>
      </c>
      <c r="L7" s="2">
        <f>COUNTIF($B$4:$F$15,H7)</f>
        <v/>
      </c>
      <c r="M7" t="inlineStr"/>
      <c r="N7" s="2" t="inlineStr">
        <is>
          <t>Aula 9</t>
        </is>
      </c>
      <c r="O7" t="inlineStr"/>
    </row>
    <row r="8">
      <c r="A8" s="1" t="inlineStr">
        <is>
          <t>Turno 3</t>
        </is>
      </c>
      <c r="B8" s="1" t="inlineStr">
        <is>
          <t>RC</t>
        </is>
      </c>
      <c r="C8" s="1" t="inlineStr">
        <is>
          <t>MO</t>
        </is>
      </c>
      <c r="D8" s="1" t="inlineStr">
        <is>
          <t>RC cp</t>
        </is>
      </c>
      <c r="E8" s="1" t="inlineStr">
        <is>
          <t>Est cp</t>
        </is>
      </c>
      <c r="F8" s="1" t="inlineStr"/>
      <c r="G8" t="inlineStr"/>
      <c r="H8" s="2" t="inlineStr">
        <is>
          <t>PD</t>
        </is>
      </c>
      <c r="I8" s="2" t="inlineStr">
        <is>
          <t>Programación Declarativa</t>
        </is>
      </c>
      <c r="J8" s="2" t="inlineStr">
        <is>
          <t>2</t>
        </is>
      </c>
      <c r="K8" s="2">
        <f>(J8-L8)</f>
        <v/>
      </c>
      <c r="L8" s="2">
        <f>COUNTIF($B$4:$F$15,H8)</f>
        <v/>
      </c>
      <c r="M8" t="inlineStr"/>
      <c r="N8" s="2" t="inlineStr">
        <is>
          <t>Aula 9</t>
        </is>
      </c>
      <c r="O8" t="inlineStr"/>
    </row>
    <row r="9">
      <c r="A9" s="3" t="inlineStr"/>
      <c r="B9" s="3" t="inlineStr">
        <is>
          <t>Aula 9</t>
        </is>
      </c>
      <c r="C9" s="3" t="inlineStr">
        <is>
          <t>Aula 9</t>
        </is>
      </c>
      <c r="D9" s="3" t="inlineStr">
        <is>
          <t>Aula 9</t>
        </is>
      </c>
      <c r="E9" s="3" t="inlineStr">
        <is>
          <t>Aula 9</t>
        </is>
      </c>
      <c r="F9" s="3" t="inlineStr"/>
      <c r="G9" t="inlineStr"/>
      <c r="H9" s="2" t="inlineStr">
        <is>
          <t>Est</t>
        </is>
      </c>
      <c r="I9" s="2" t="inlineStr">
        <is>
          <t>Estadística</t>
        </is>
      </c>
      <c r="J9" s="2" t="inlineStr">
        <is>
          <t>2</t>
        </is>
      </c>
      <c r="K9" s="2">
        <f>(J9-L9)</f>
        <v/>
      </c>
      <c r="L9" s="2">
        <f>COUNTIF($B$4:$F$15,H9)</f>
        <v/>
      </c>
      <c r="M9" t="inlineStr"/>
      <c r="N9" s="2" t="inlineStr">
        <is>
          <t>Aula 9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 t="inlineStr"/>
      <c r="L10" s="2" t="inlineStr"/>
      <c r="M10" t="inlineStr"/>
      <c r="N10" s="2" t="inlineStr">
        <is>
          <t>Aula 9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Aula 9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9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9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9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9</t>
        </is>
      </c>
      <c r="O15" t="inlineStr"/>
    </row>
    <row r="16">
      <c r="G16">
        <f>"Total:"</f>
        <v/>
      </c>
      <c r="H16">
        <f>COUNTA($H$4:$H$15)</f>
        <v/>
      </c>
    </row>
    <row r="17">
      <c r="F17">
        <f>"Σ Frec:"</f>
        <v/>
      </c>
      <c r="G17">
        <f>SUM($J$4:$J$15)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C312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BD2</t>
        </is>
      </c>
      <c r="C4" s="1" t="inlineStr">
        <is>
          <t>Est</t>
        </is>
      </c>
      <c r="D4" s="1" t="inlineStr">
        <is>
          <t>BD2 cp</t>
        </is>
      </c>
      <c r="E4" s="1" t="inlineStr">
        <is>
          <t>PD cp</t>
        </is>
      </c>
      <c r="F4" s="1" t="inlineStr"/>
      <c r="G4" t="inlineStr"/>
      <c r="H4" s="2" t="inlineStr">
        <is>
          <t>RC</t>
        </is>
      </c>
      <c r="I4" s="2" t="inlineStr">
        <is>
          <t>Redes de Computadoras</t>
        </is>
      </c>
      <c r="J4" s="2" t="inlineStr">
        <is>
          <t>2</t>
        </is>
      </c>
      <c r="K4" s="2">
        <f>(J4-L4)</f>
        <v/>
      </c>
      <c r="L4" s="2">
        <f>COUNTIF($B$4:$F$15,H4)</f>
        <v/>
      </c>
      <c r="M4" t="inlineStr"/>
      <c r="N4" s="2" t="inlineStr">
        <is>
          <t>Aula 9</t>
        </is>
      </c>
      <c r="O4" t="inlineStr"/>
    </row>
    <row r="5">
      <c r="A5" s="3" t="inlineStr"/>
      <c r="B5" s="3" t="inlineStr">
        <is>
          <t>Aula 9</t>
        </is>
      </c>
      <c r="C5" s="3" t="inlineStr">
        <is>
          <t>Aula 9</t>
        </is>
      </c>
      <c r="D5" s="3" t="inlineStr">
        <is>
          <t>Aula 3</t>
        </is>
      </c>
      <c r="E5" s="3" t="inlineStr">
        <is>
          <t>Aula 3</t>
        </is>
      </c>
      <c r="F5" s="3" t="inlineStr"/>
      <c r="G5" t="inlineStr"/>
      <c r="H5" s="2" t="inlineStr">
        <is>
          <t>IS</t>
        </is>
      </c>
      <c r="I5" s="2" t="inlineStr">
        <is>
          <t>Ingeniería de Software</t>
        </is>
      </c>
      <c r="J5" s="2" t="inlineStr">
        <is>
          <t>2</t>
        </is>
      </c>
      <c r="K5" s="2">
        <f>(J5-L5)</f>
        <v/>
      </c>
      <c r="L5" s="2">
        <f>COUNTIF($B$4:$F$15,H5)</f>
        <v/>
      </c>
      <c r="M5" t="inlineStr"/>
      <c r="N5" s="2" t="inlineStr">
        <is>
          <t>Aula 9</t>
        </is>
      </c>
      <c r="O5" t="inlineStr"/>
    </row>
    <row r="6">
      <c r="A6" s="1" t="inlineStr">
        <is>
          <t>Turno 2</t>
        </is>
      </c>
      <c r="B6" s="1" t="inlineStr">
        <is>
          <t>IS c</t>
        </is>
      </c>
      <c r="C6" s="1" t="inlineStr">
        <is>
          <t>PD c</t>
        </is>
      </c>
      <c r="D6" s="1" t="inlineStr">
        <is>
          <t>IS c</t>
        </is>
      </c>
      <c r="E6" s="1" t="inlineStr">
        <is>
          <t>MO</t>
        </is>
      </c>
      <c r="F6" s="1" t="inlineStr"/>
      <c r="G6" t="inlineStr"/>
      <c r="H6" s="2" t="inlineStr">
        <is>
          <t>MO</t>
        </is>
      </c>
      <c r="I6" s="2" t="inlineStr">
        <is>
          <t>Modelos de Optimización</t>
        </is>
      </c>
      <c r="J6" s="2" t="inlineStr">
        <is>
          <t>2</t>
        </is>
      </c>
      <c r="K6" s="2">
        <f>(J6-L6)</f>
        <v/>
      </c>
      <c r="L6" s="2">
        <f>COUNTIF($B$4:$F$15,H6)</f>
        <v/>
      </c>
      <c r="M6" t="inlineStr"/>
      <c r="N6" s="2" t="inlineStr">
        <is>
          <t>Aula 3</t>
        </is>
      </c>
      <c r="O6" t="inlineStr"/>
    </row>
    <row r="7">
      <c r="A7" s="3" t="inlineStr"/>
      <c r="B7" s="3" t="inlineStr">
        <is>
          <t>Aula 9</t>
        </is>
      </c>
      <c r="C7" s="3" t="inlineStr">
        <is>
          <t>Aula 9</t>
        </is>
      </c>
      <c r="D7" s="3" t="inlineStr">
        <is>
          <t>Aula 3</t>
        </is>
      </c>
      <c r="E7" s="3" t="inlineStr">
        <is>
          <t>Aula 3</t>
        </is>
      </c>
      <c r="F7" s="3" t="inlineStr"/>
      <c r="G7" t="inlineStr"/>
      <c r="H7" s="2" t="inlineStr">
        <is>
          <t>BD2</t>
        </is>
      </c>
      <c r="I7" s="2" t="inlineStr">
        <is>
          <t>Bases de Datos II</t>
        </is>
      </c>
      <c r="J7" s="2" t="inlineStr">
        <is>
          <t>2</t>
        </is>
      </c>
      <c r="K7" s="2">
        <f>(J7-L7)</f>
        <v/>
      </c>
      <c r="L7" s="2">
        <f>COUNTIF($B$4:$F$15,H7)</f>
        <v/>
      </c>
      <c r="M7" t="inlineStr"/>
      <c r="N7" s="2" t="inlineStr">
        <is>
          <t>Aula 3</t>
        </is>
      </c>
      <c r="O7" t="inlineStr"/>
    </row>
    <row r="8">
      <c r="A8" s="1" t="inlineStr">
        <is>
          <t>Turno 3</t>
        </is>
      </c>
      <c r="B8" s="1" t="inlineStr">
        <is>
          <t>RC</t>
        </is>
      </c>
      <c r="C8" s="1" t="inlineStr">
        <is>
          <t>MO</t>
        </is>
      </c>
      <c r="D8" s="1" t="inlineStr">
        <is>
          <t>RC cp</t>
        </is>
      </c>
      <c r="E8" s="1" t="inlineStr">
        <is>
          <t>Est cp</t>
        </is>
      </c>
      <c r="F8" s="1" t="inlineStr"/>
      <c r="G8" t="inlineStr"/>
      <c r="H8" s="2" t="inlineStr">
        <is>
          <t>PD</t>
        </is>
      </c>
      <c r="I8" s="2" t="inlineStr">
        <is>
          <t>Programación Declarativa</t>
        </is>
      </c>
      <c r="J8" s="2" t="inlineStr">
        <is>
          <t>2</t>
        </is>
      </c>
      <c r="K8" s="2">
        <f>(J8-L8)</f>
        <v/>
      </c>
      <c r="L8" s="2">
        <f>COUNTIF($B$4:$F$15,H8)</f>
        <v/>
      </c>
      <c r="M8" t="inlineStr"/>
      <c r="N8" s="2" t="inlineStr">
        <is>
          <t>Aula 9</t>
        </is>
      </c>
      <c r="O8" t="inlineStr"/>
    </row>
    <row r="9">
      <c r="A9" s="3" t="inlineStr"/>
      <c r="B9" s="3" t="inlineStr">
        <is>
          <t>Aula 9</t>
        </is>
      </c>
      <c r="C9" s="3" t="inlineStr">
        <is>
          <t>Aula 9</t>
        </is>
      </c>
      <c r="D9" s="3" t="inlineStr">
        <is>
          <t>Aula 3</t>
        </is>
      </c>
      <c r="E9" s="3" t="inlineStr">
        <is>
          <t>Aula 3</t>
        </is>
      </c>
      <c r="F9" s="3" t="inlineStr"/>
      <c r="G9" t="inlineStr"/>
      <c r="H9" s="2" t="inlineStr">
        <is>
          <t>Est</t>
        </is>
      </c>
      <c r="I9" s="2" t="inlineStr">
        <is>
          <t>Estadística</t>
        </is>
      </c>
      <c r="J9" s="2" t="inlineStr">
        <is>
          <t>2</t>
        </is>
      </c>
      <c r="K9" s="2">
        <f>(J9-L9)</f>
        <v/>
      </c>
      <c r="L9" s="2">
        <f>COUNTIF($B$4:$F$15,H9)</f>
        <v/>
      </c>
      <c r="M9" t="inlineStr"/>
      <c r="N9" s="2" t="inlineStr">
        <is>
          <t>Aula 9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 t="inlineStr"/>
      <c r="L10" s="2" t="inlineStr"/>
      <c r="M10" t="inlineStr"/>
      <c r="N10" s="2" t="inlineStr">
        <is>
          <t>Aula 3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Aula 3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9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9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3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3</t>
        </is>
      </c>
      <c r="O15" t="inlineStr"/>
    </row>
    <row r="16">
      <c r="G16">
        <f>"Total:"</f>
        <v/>
      </c>
      <c r="H16">
        <f>COUNTA($H$4:$H$15)</f>
        <v/>
      </c>
    </row>
    <row r="17">
      <c r="F17">
        <f>"Σ Frec:"</f>
        <v/>
      </c>
      <c r="G17">
        <f>SUM($J$4:$J$15)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C411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AM</t>
        </is>
      </c>
      <c r="I4" s="2" t="inlineStr">
        <is>
          <t>Aprendizaje de Máquinas</t>
        </is>
      </c>
      <c r="J4" s="2" t="inlineStr">
        <is>
          <t>2</t>
        </is>
      </c>
      <c r="K4" s="2">
        <f>(J4-L4)</f>
        <v/>
      </c>
      <c r="L4" s="2">
        <f>COUNTIF($B$4:$F$15,H4)</f>
        <v/>
      </c>
      <c r="M4" t="inlineStr"/>
      <c r="N4" s="2" t="inlineStr">
        <is>
          <t>9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DAA</t>
        </is>
      </c>
      <c r="I5" s="2" t="inlineStr">
        <is>
          <t>Diseño y Análisis de Algoritmos</t>
        </is>
      </c>
      <c r="J5" s="2" t="inlineStr">
        <is>
          <t>2</t>
        </is>
      </c>
      <c r="K5" s="2">
        <f>(J5-L5)</f>
        <v/>
      </c>
      <c r="L5" s="2">
        <f>COUNTIF($B$4:$F$15,H5)</f>
        <v/>
      </c>
      <c r="M5" t="inlineStr"/>
      <c r="N5" s="2" t="inlineStr">
        <is>
          <t>9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SD</t>
        </is>
      </c>
      <c r="I6" s="2" t="inlineStr">
        <is>
          <t>Sistemas Distribuidos</t>
        </is>
      </c>
      <c r="J6" s="2" t="inlineStr">
        <is>
          <t>2</t>
        </is>
      </c>
      <c r="K6" s="2">
        <f>(J6-L6)</f>
        <v/>
      </c>
      <c r="L6" s="2">
        <f>COUNTIF($B$4:$F$15,H6)</f>
        <v/>
      </c>
      <c r="M6" t="inlineStr"/>
      <c r="N6" s="2" t="inlineStr">
        <is>
          <t>9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AE</t>
        </is>
      </c>
      <c r="I7" s="2" t="inlineStr">
        <is>
          <t>Asignatura Electiva</t>
        </is>
      </c>
      <c r="J7" s="2" t="inlineStr">
        <is>
          <t>2</t>
        </is>
      </c>
      <c r="K7" s="2">
        <f>(J7-L7)</f>
        <v/>
      </c>
      <c r="L7" s="2">
        <f>COUNTIF($B$4:$F$15,H7)</f>
        <v/>
      </c>
      <c r="M7" t="inlineStr"/>
      <c r="N7" s="2" t="inlineStr">
        <is>
          <t>9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ECTS</t>
        </is>
      </c>
      <c r="I8" s="2" t="inlineStr">
        <is>
          <t>Estudios de Ciencia, Tecnología y Sociedad</t>
        </is>
      </c>
      <c r="J8" s="2" t="inlineStr">
        <is>
          <t>2</t>
        </is>
      </c>
      <c r="K8" s="2">
        <f>(J8-L8)</f>
        <v/>
      </c>
      <c r="L8" s="2">
        <f>COUNTIF($B$4:$F$15,H8)</f>
        <v/>
      </c>
      <c r="M8" t="inlineStr"/>
      <c r="N8" s="2" t="inlineStr">
        <is>
          <t>9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SN/DN</t>
        </is>
      </c>
      <c r="I9" s="2" t="inlineStr">
        <is>
          <t>Seguridad Nacional / Defensa Nacionaol</t>
        </is>
      </c>
      <c r="J9" s="2" t="inlineStr">
        <is>
          <t>2</t>
        </is>
      </c>
      <c r="K9" s="2">
        <f>(J9-L9)</f>
        <v/>
      </c>
      <c r="L9" s="2">
        <f>COUNTIF($B$4:$F$15,H9)</f>
        <v/>
      </c>
      <c r="M9" t="inlineStr"/>
      <c r="N9" s="2" t="inlineStr">
        <is>
          <t>9</t>
        </is>
      </c>
      <c r="O9" t="inlineStr"/>
    </row>
    <row r="10">
      <c r="A10" s="1" t="inlineStr">
        <is>
          <t>Turno 4</t>
        </is>
      </c>
      <c r="B10" s="1" t="inlineStr">
        <is>
          <t>AM</t>
        </is>
      </c>
      <c r="C10" s="1" t="inlineStr">
        <is>
          <t>DAA</t>
        </is>
      </c>
      <c r="D10" s="1" t="inlineStr">
        <is>
          <t>DAA</t>
        </is>
      </c>
      <c r="E10" s="1" t="inlineStr">
        <is>
          <t>SN</t>
        </is>
      </c>
      <c r="F10" s="1" t="inlineStr"/>
      <c r="G10" t="inlineStr"/>
      <c r="H10" s="2" t="inlineStr"/>
      <c r="I10" s="2" t="inlineStr"/>
      <c r="J10" s="2" t="inlineStr"/>
      <c r="K10" s="2" t="inlineStr"/>
      <c r="L10" s="2" t="inlineStr"/>
      <c r="M10" t="inlineStr"/>
      <c r="N10" s="2" t="inlineStr"/>
      <c r="O10" t="inlineStr"/>
    </row>
    <row r="11">
      <c r="A11" s="3" t="inlineStr"/>
      <c r="B11" s="3" t="inlineStr">
        <is>
          <t>9</t>
        </is>
      </c>
      <c r="C11" s="3" t="inlineStr">
        <is>
          <t>9</t>
        </is>
      </c>
      <c r="D11" s="3" t="inlineStr">
        <is>
          <t>9</t>
        </is>
      </c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/>
      <c r="O11" t="inlineStr"/>
    </row>
    <row r="12">
      <c r="A12" s="1" t="inlineStr">
        <is>
          <t>Turno 5</t>
        </is>
      </c>
      <c r="B12" s="1" t="inlineStr">
        <is>
          <t>SD 9</t>
        </is>
      </c>
      <c r="C12" s="1" t="inlineStr">
        <is>
          <t>SN</t>
        </is>
      </c>
      <c r="D12" s="1" t="inlineStr">
        <is>
          <t>AM</t>
        </is>
      </c>
      <c r="E12" s="1" t="inlineStr">
        <is>
          <t>SN</t>
        </is>
      </c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/>
      <c r="O12" t="inlineStr"/>
    </row>
    <row r="13">
      <c r="A13" s="3" t="inlineStr"/>
      <c r="B13" s="3" t="inlineStr"/>
      <c r="C13" s="3" t="inlineStr"/>
      <c r="D13" s="3" t="inlineStr">
        <is>
          <t>9</t>
        </is>
      </c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/>
      <c r="O13" t="inlineStr"/>
    </row>
    <row r="14">
      <c r="A14" s="1" t="inlineStr">
        <is>
          <t>Turno 6</t>
        </is>
      </c>
      <c r="B14" s="1" t="inlineStr">
        <is>
          <t>ECTS 9</t>
        </is>
      </c>
      <c r="C14" s="1" t="inlineStr">
        <is>
          <t>AE</t>
        </is>
      </c>
      <c r="D14" s="1" t="inlineStr">
        <is>
          <t>SD</t>
        </is>
      </c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/>
      <c r="C15" s="3" t="inlineStr">
        <is>
          <t>9</t>
        </is>
      </c>
      <c r="D15" s="3" t="inlineStr">
        <is>
          <t>9</t>
        </is>
      </c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G16">
        <f>"Total:"</f>
        <v/>
      </c>
      <c r="H16">
        <f>COUNTA($H$4:$H$15)</f>
        <v/>
      </c>
    </row>
    <row r="17">
      <c r="F17">
        <f>"Σ Frec:"</f>
        <v/>
      </c>
      <c r="G17">
        <f>SUM($J$4:$J$15)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C412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AM</t>
        </is>
      </c>
      <c r="I4" s="2" t="inlineStr">
        <is>
          <t>Aprendizaje de Máquinas</t>
        </is>
      </c>
      <c r="J4" s="2" t="inlineStr">
        <is>
          <t>2</t>
        </is>
      </c>
      <c r="K4" s="2">
        <f>(J4-L4)</f>
        <v/>
      </c>
      <c r="L4" s="2">
        <f>COUNTIF($B$4:$F$15,H4)</f>
        <v/>
      </c>
      <c r="M4" t="inlineStr"/>
      <c r="N4" s="2" t="inlineStr">
        <is>
          <t>9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DAA</t>
        </is>
      </c>
      <c r="I5" s="2" t="inlineStr">
        <is>
          <t>Diseño y Análisis de Algoritmos</t>
        </is>
      </c>
      <c r="J5" s="2" t="inlineStr">
        <is>
          <t>2</t>
        </is>
      </c>
      <c r="K5" s="2">
        <f>(J5-L5)</f>
        <v/>
      </c>
      <c r="L5" s="2">
        <f>COUNTIF($B$4:$F$15,H5)</f>
        <v/>
      </c>
      <c r="M5" t="inlineStr"/>
      <c r="N5" s="2" t="inlineStr">
        <is>
          <t>9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SD</t>
        </is>
      </c>
      <c r="I6" s="2" t="inlineStr">
        <is>
          <t>Sistemas Distribuidos</t>
        </is>
      </c>
      <c r="J6" s="2" t="inlineStr">
        <is>
          <t>2</t>
        </is>
      </c>
      <c r="K6" s="2">
        <f>(J6-L6)</f>
        <v/>
      </c>
      <c r="L6" s="2">
        <f>COUNTIF($B$4:$F$15,H6)</f>
        <v/>
      </c>
      <c r="M6" t="inlineStr"/>
      <c r="N6" s="2" t="inlineStr">
        <is>
          <t>9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AE</t>
        </is>
      </c>
      <c r="I7" s="2" t="inlineStr">
        <is>
          <t>Asignatura Electiva</t>
        </is>
      </c>
      <c r="J7" s="2" t="inlineStr">
        <is>
          <t>2</t>
        </is>
      </c>
      <c r="K7" s="2">
        <f>(J7-L7)</f>
        <v/>
      </c>
      <c r="L7" s="2">
        <f>COUNTIF($B$4:$F$15,H7)</f>
        <v/>
      </c>
      <c r="M7" t="inlineStr"/>
      <c r="N7" s="2" t="inlineStr">
        <is>
          <t>1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ECTS</t>
        </is>
      </c>
      <c r="I8" s="2" t="inlineStr">
        <is>
          <t>Estudios de Ciencia, Tecnología y Sociedad</t>
        </is>
      </c>
      <c r="J8" s="2" t="inlineStr">
        <is>
          <t>2</t>
        </is>
      </c>
      <c r="K8" s="2">
        <f>(J8-L8)</f>
        <v/>
      </c>
      <c r="L8" s="2">
        <f>COUNTIF($B$4:$F$15,H8)</f>
        <v/>
      </c>
      <c r="M8" t="inlineStr"/>
      <c r="N8" s="2" t="inlineStr">
        <is>
          <t>9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SN/DN</t>
        </is>
      </c>
      <c r="I9" s="2" t="inlineStr">
        <is>
          <t>Seguridad Nacional / Defensa Nacionaol</t>
        </is>
      </c>
      <c r="J9" s="2" t="inlineStr">
        <is>
          <t>2</t>
        </is>
      </c>
      <c r="K9" s="2">
        <f>(J9-L9)</f>
        <v/>
      </c>
      <c r="L9" s="2">
        <f>COUNTIF($B$4:$F$15,H9)</f>
        <v/>
      </c>
      <c r="M9" t="inlineStr"/>
      <c r="N9" s="2" t="inlineStr"/>
      <c r="O9" t="inlineStr"/>
    </row>
    <row r="10">
      <c r="A10" s="1" t="inlineStr">
        <is>
          <t>Turno 4</t>
        </is>
      </c>
      <c r="B10" s="1" t="inlineStr">
        <is>
          <t>AM</t>
        </is>
      </c>
      <c r="C10" s="1" t="inlineStr">
        <is>
          <t>DAA</t>
        </is>
      </c>
      <c r="D10" s="1" t="inlineStr">
        <is>
          <t>DAA</t>
        </is>
      </c>
      <c r="E10" s="1" t="inlineStr">
        <is>
          <t>SN</t>
        </is>
      </c>
      <c r="F10" s="1" t="inlineStr"/>
      <c r="G10" t="inlineStr"/>
      <c r="H10" s="2" t="inlineStr"/>
      <c r="I10" s="2" t="inlineStr"/>
      <c r="J10" s="2" t="inlineStr"/>
      <c r="K10" s="2" t="inlineStr"/>
      <c r="L10" s="2" t="inlineStr"/>
      <c r="M10" t="inlineStr"/>
      <c r="N10" s="2" t="inlineStr"/>
      <c r="O10" t="inlineStr"/>
    </row>
    <row r="11">
      <c r="A11" s="3" t="inlineStr"/>
      <c r="B11" s="3" t="inlineStr">
        <is>
          <t>9</t>
        </is>
      </c>
      <c r="C11" s="3" t="inlineStr">
        <is>
          <t>9</t>
        </is>
      </c>
      <c r="D11" s="3" t="inlineStr">
        <is>
          <t>9</t>
        </is>
      </c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/>
      <c r="O11" t="inlineStr"/>
    </row>
    <row r="12">
      <c r="A12" s="1" t="inlineStr">
        <is>
          <t>Turno 5</t>
        </is>
      </c>
      <c r="B12" s="1" t="inlineStr">
        <is>
          <t>SD 9</t>
        </is>
      </c>
      <c r="C12" s="1" t="inlineStr">
        <is>
          <t>SN</t>
        </is>
      </c>
      <c r="D12" s="1" t="inlineStr">
        <is>
          <t>AM</t>
        </is>
      </c>
      <c r="E12" s="1" t="inlineStr">
        <is>
          <t>SN</t>
        </is>
      </c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/>
      <c r="O12" t="inlineStr"/>
    </row>
    <row r="13">
      <c r="A13" s="3" t="inlineStr"/>
      <c r="B13" s="3" t="inlineStr"/>
      <c r="C13" s="3" t="inlineStr"/>
      <c r="D13" s="3" t="inlineStr">
        <is>
          <t>1</t>
        </is>
      </c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/>
      <c r="O13" t="inlineStr"/>
    </row>
    <row r="14">
      <c r="A14" s="1" t="inlineStr">
        <is>
          <t>Turno 6</t>
        </is>
      </c>
      <c r="B14" s="1" t="inlineStr">
        <is>
          <t>ECTS 9</t>
        </is>
      </c>
      <c r="C14" s="1" t="inlineStr">
        <is>
          <t>AE</t>
        </is>
      </c>
      <c r="D14" s="1" t="inlineStr">
        <is>
          <t>SD</t>
        </is>
      </c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/>
      <c r="C15" s="3" t="inlineStr"/>
      <c r="D15" s="3" t="inlineStr">
        <is>
          <t>9</t>
        </is>
      </c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G16">
        <f>"Total:"</f>
        <v/>
      </c>
      <c r="H16">
        <f>COUNTA($H$4:$H$15)</f>
        <v/>
      </c>
    </row>
    <row r="17">
      <c r="F17">
        <f>"Σ Frec:"</f>
        <v/>
      </c>
      <c r="G17">
        <f>SUM($J$4:$J$15)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M111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F</t>
        </is>
      </c>
      <c r="C4" s="1" t="inlineStr">
        <is>
          <t>IM</t>
        </is>
      </c>
      <c r="D4" s="1" t="inlineStr">
        <is>
          <t>IAM</t>
        </is>
      </c>
      <c r="E4" s="1" t="inlineStr">
        <is>
          <t>IA</t>
        </is>
      </c>
      <c r="F4" s="1" t="inlineStr">
        <is>
          <t>IA</t>
        </is>
      </c>
      <c r="G4" t="inlineStr"/>
      <c r="H4" s="2" t="inlineStr">
        <is>
          <t>IAM</t>
        </is>
      </c>
      <c r="I4" s="2" t="inlineStr">
        <is>
          <t>Introducción al Análisis Matemático</t>
        </is>
      </c>
      <c r="J4" s="2" t="inlineStr">
        <is>
          <t>3</t>
        </is>
      </c>
      <c r="K4" s="2">
        <f>(J4-L4)</f>
        <v/>
      </c>
      <c r="L4" s="2">
        <f>COUNTIF($B$4:$F$15,H4)</f>
        <v/>
      </c>
      <c r="M4" t="inlineStr"/>
      <c r="N4" s="2" t="inlineStr">
        <is>
          <t>Aula 8</t>
        </is>
      </c>
      <c r="O4" t="inlineStr"/>
    </row>
    <row r="5">
      <c r="A5" s="3" t="inlineStr"/>
      <c r="B5" s="3" t="inlineStr">
        <is>
          <t>Aula 8</t>
        </is>
      </c>
      <c r="C5" s="3" t="inlineStr">
        <is>
          <t>Aula 8</t>
        </is>
      </c>
      <c r="D5" s="3" t="inlineStr">
        <is>
          <t>Aula 8</t>
        </is>
      </c>
      <c r="E5" s="3" t="inlineStr">
        <is>
          <t>Aula 8</t>
        </is>
      </c>
      <c r="F5" s="3" t="inlineStr">
        <is>
          <t>Aula 8</t>
        </is>
      </c>
      <c r="G5" t="inlineStr"/>
      <c r="H5" s="2" t="inlineStr">
        <is>
          <t>IA</t>
        </is>
      </c>
      <c r="I5" s="2" t="inlineStr">
        <is>
          <t>Introducción al Álgebra</t>
        </is>
      </c>
      <c r="J5" s="2" t="inlineStr">
        <is>
          <t>3</t>
        </is>
      </c>
      <c r="K5" s="2">
        <f>(J5-L5)</f>
        <v/>
      </c>
      <c r="L5" s="2">
        <f>COUNTIF($B$4:$F$15,H5)</f>
        <v/>
      </c>
      <c r="M5" t="inlineStr"/>
      <c r="N5" s="2" t="inlineStr">
        <is>
          <t>Aula 8</t>
        </is>
      </c>
      <c r="O5" t="inlineStr"/>
    </row>
    <row r="6">
      <c r="A6" s="1" t="inlineStr">
        <is>
          <t>Turno 2</t>
        </is>
      </c>
      <c r="B6" s="1" t="inlineStr">
        <is>
          <t>PA</t>
        </is>
      </c>
      <c r="C6" s="1" t="inlineStr">
        <is>
          <t>IAM</t>
        </is>
      </c>
      <c r="D6" s="1" t="inlineStr">
        <is>
          <t>EF</t>
        </is>
      </c>
      <c r="E6" s="1" t="inlineStr">
        <is>
          <t>PA Aula</t>
        </is>
      </c>
      <c r="F6" s="1" t="inlineStr">
        <is>
          <t>IAM</t>
        </is>
      </c>
      <c r="G6" t="inlineStr"/>
      <c r="H6" s="2" t="inlineStr">
        <is>
          <t>GA</t>
        </is>
      </c>
      <c r="I6" s="2" t="inlineStr">
        <is>
          <t>Geometría Analítica</t>
        </is>
      </c>
      <c r="J6" s="2" t="inlineStr">
        <is>
          <t>2</t>
        </is>
      </c>
      <c r="K6" s="2">
        <f>(J6-L6)</f>
        <v/>
      </c>
      <c r="L6" s="2">
        <f>COUNTIF($B$4:$F$15,H6)</f>
        <v/>
      </c>
      <c r="M6" t="inlineStr"/>
      <c r="N6" s="2" t="inlineStr">
        <is>
          <t>Aula 8</t>
        </is>
      </c>
      <c r="O6" t="inlineStr"/>
    </row>
    <row r="7">
      <c r="A7" s="3" t="inlineStr"/>
      <c r="B7" s="3" t="inlineStr">
        <is>
          <t>Aula 8</t>
        </is>
      </c>
      <c r="C7" s="3" t="inlineStr">
        <is>
          <t>Aula 8</t>
        </is>
      </c>
      <c r="D7" s="3" t="inlineStr">
        <is>
          <t>SEDER</t>
        </is>
      </c>
      <c r="E7" s="3" t="inlineStr">
        <is>
          <t>Lab</t>
        </is>
      </c>
      <c r="F7" s="3" t="inlineStr">
        <is>
          <t>Aula 8</t>
        </is>
      </c>
      <c r="G7" t="inlineStr"/>
      <c r="H7" s="2" t="inlineStr">
        <is>
          <t>PA</t>
        </is>
      </c>
      <c r="I7" s="2" t="inlineStr">
        <is>
          <t>Programación y Algoritmos</t>
        </is>
      </c>
      <c r="J7" s="2" t="inlineStr">
        <is>
          <t>2</t>
        </is>
      </c>
      <c r="K7" s="2">
        <f>(J7-L7)</f>
        <v/>
      </c>
      <c r="L7" s="2">
        <f>COUNTIF($B$4:$F$15,H7)</f>
        <v/>
      </c>
      <c r="M7" t="inlineStr"/>
      <c r="N7" s="2" t="inlineStr">
        <is>
          <t>Aula 8</t>
        </is>
      </c>
      <c r="O7" t="inlineStr"/>
    </row>
    <row r="8">
      <c r="A8" s="1" t="inlineStr">
        <is>
          <t>Turno 3</t>
        </is>
      </c>
      <c r="B8" s="1" t="inlineStr">
        <is>
          <t>GA</t>
        </is>
      </c>
      <c r="C8" s="1" t="inlineStr">
        <is>
          <t>GA</t>
        </is>
      </c>
      <c r="D8" s="1" t="inlineStr">
        <is>
          <t>IA</t>
        </is>
      </c>
      <c r="E8" s="1" t="inlineStr">
        <is>
          <t>GA 8</t>
        </is>
      </c>
      <c r="F8" s="1" t="inlineStr"/>
      <c r="G8" t="inlineStr"/>
      <c r="H8" s="2" t="inlineStr">
        <is>
          <t>IM</t>
        </is>
      </c>
      <c r="I8" s="2" t="inlineStr">
        <is>
          <t>Introducción a la Matemática</t>
        </is>
      </c>
      <c r="J8" s="2" t="inlineStr">
        <is>
          <t>2</t>
        </is>
      </c>
      <c r="K8" s="2">
        <f>(J8-L8)</f>
        <v/>
      </c>
      <c r="L8" s="2">
        <f>COUNTIF($B$4:$F$15,H8)</f>
        <v/>
      </c>
      <c r="M8" t="inlineStr"/>
      <c r="N8" s="2" t="inlineStr">
        <is>
          <t>Aula 8</t>
        </is>
      </c>
      <c r="O8" t="inlineStr"/>
    </row>
    <row r="9">
      <c r="A9" s="3" t="inlineStr"/>
      <c r="B9" s="3" t="inlineStr">
        <is>
          <t>Aula 8</t>
        </is>
      </c>
      <c r="C9" s="3" t="inlineStr">
        <is>
          <t>Aula 8</t>
        </is>
      </c>
      <c r="D9" s="3" t="inlineStr">
        <is>
          <t>Aula 8</t>
        </is>
      </c>
      <c r="E9" s="3" t="inlineStr"/>
      <c r="F9" s="3" t="inlineStr"/>
      <c r="G9" t="inlineStr"/>
      <c r="H9" s="2" t="inlineStr">
        <is>
          <t>F</t>
        </is>
      </c>
      <c r="I9" s="2" t="inlineStr">
        <is>
          <t>Filosofía</t>
        </is>
      </c>
      <c r="J9" s="2" t="inlineStr">
        <is>
          <t>2</t>
        </is>
      </c>
      <c r="K9" s="2">
        <f>(J9-L9)</f>
        <v/>
      </c>
      <c r="L9" s="2">
        <f>COUNTIF($B$4:$F$15,H9)</f>
        <v/>
      </c>
      <c r="M9" t="inlineStr"/>
      <c r="N9" s="2" t="inlineStr">
        <is>
          <t>Aula 8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 t="inlineStr"/>
      <c r="L10" s="2" t="inlineStr"/>
      <c r="M10" t="inlineStr"/>
      <c r="N10" s="2" t="inlineStr">
        <is>
          <t>Aula 8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SEDER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Lab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8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8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8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>
        <f>"Total:"</f>
        <v/>
      </c>
      <c r="H16">
        <f>COUNTA($H$4:$H$15)</f>
        <v/>
      </c>
      <c r="I16" t="inlineStr"/>
      <c r="J16" t="inlineStr"/>
      <c r="K16" t="inlineStr"/>
      <c r="L16" t="inlineStr"/>
      <c r="M16" t="inlineStr"/>
      <c r="N16" t="inlineStr">
        <is>
          <t>Aula 8</t>
        </is>
      </c>
      <c r="O16" t="inlineStr"/>
    </row>
    <row r="17">
      <c r="F17">
        <f>"Σ Frec:"</f>
        <v/>
      </c>
      <c r="G17">
        <f>SUM($J$4:$J$15)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M211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FVV</t>
        </is>
      </c>
      <c r="I4" s="2" t="inlineStr">
        <is>
          <t>Funciones de Varias Variables</t>
        </is>
      </c>
      <c r="J4" s="2" t="inlineStr">
        <is>
          <t>4</t>
        </is>
      </c>
      <c r="K4" s="2">
        <f>(J4-L4)</f>
        <v/>
      </c>
      <c r="L4" s="2">
        <f>COUNTIF($B$4:$F$15,H4)</f>
        <v/>
      </c>
      <c r="M4" t="inlineStr"/>
      <c r="N4" s="2" t="inlineStr">
        <is>
          <t>c 3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CAL</t>
        </is>
      </c>
      <c r="I5" s="2" t="inlineStr">
        <is>
          <t>Complementos de Álgebra Lineal</t>
        </is>
      </c>
      <c r="J5" s="2" t="inlineStr">
        <is>
          <t>3</t>
        </is>
      </c>
      <c r="K5" s="2">
        <f>(J5-L5)</f>
        <v/>
      </c>
      <c r="L5" s="2">
        <f>COUNTIF($B$4:$F$15,H5)</f>
        <v/>
      </c>
      <c r="M5" t="inlineStr"/>
      <c r="N5" s="2" t="inlineStr">
        <is>
          <t>c 3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SP2</t>
        </is>
      </c>
      <c r="I6" s="2" t="inlineStr">
        <is>
          <t>Seminario de Problemas II</t>
        </is>
      </c>
      <c r="J6" s="2" t="inlineStr">
        <is>
          <t>2</t>
        </is>
      </c>
      <c r="K6" s="2">
        <f>(J6-L6)</f>
        <v/>
      </c>
      <c r="L6" s="2">
        <f>COUNTIF($B$4:$F$15,H6)</f>
        <v/>
      </c>
      <c r="M6" t="inlineStr"/>
      <c r="N6" s="2" t="inlineStr">
        <is>
          <t>c 3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AE</t>
        </is>
      </c>
      <c r="I7" s="2" t="inlineStr">
        <is>
          <t>Asignatura Electiva I</t>
        </is>
      </c>
      <c r="J7" s="2" t="inlineStr">
        <is>
          <t>2</t>
        </is>
      </c>
      <c r="K7" s="2">
        <f>(J7-L7)</f>
        <v/>
      </c>
      <c r="L7" s="2">
        <f>COUNTIF($B$4:$F$15,H7)</f>
        <v/>
      </c>
      <c r="M7" t="inlineStr"/>
      <c r="N7" s="2" t="inlineStr">
        <is>
          <t>c 3</t>
        </is>
      </c>
      <c r="O7" t="inlineStr"/>
    </row>
    <row r="8">
      <c r="A8" s="1" t="inlineStr">
        <is>
          <t>Turno 3</t>
        </is>
      </c>
      <c r="B8" s="1" t="inlineStr">
        <is>
          <t>CAL</t>
        </is>
      </c>
      <c r="C8" s="1" t="inlineStr">
        <is>
          <t>CAL</t>
        </is>
      </c>
      <c r="D8" s="1" t="inlineStr"/>
      <c r="E8" s="1" t="inlineStr"/>
      <c r="F8" s="1" t="inlineStr"/>
      <c r="G8" t="inlineStr"/>
      <c r="H8" s="2" t="inlineStr">
        <is>
          <t>EP</t>
        </is>
      </c>
      <c r="I8" s="2" t="inlineStr">
        <is>
          <t>Economía Política</t>
        </is>
      </c>
      <c r="J8" s="2" t="inlineStr">
        <is>
          <t>2</t>
        </is>
      </c>
      <c r="K8" s="2">
        <f>(J8-L8)</f>
        <v/>
      </c>
      <c r="L8" s="2">
        <f>COUNTIF($B$4:$F$15,H8)</f>
        <v/>
      </c>
      <c r="M8" t="inlineStr"/>
      <c r="N8" s="2" t="inlineStr">
        <is>
          <t>cp 3</t>
        </is>
      </c>
      <c r="O8" t="inlineStr"/>
    </row>
    <row r="9">
      <c r="A9" s="3" t="inlineStr"/>
      <c r="B9" s="3" t="inlineStr">
        <is>
          <t>c 3</t>
        </is>
      </c>
      <c r="C9" s="3" t="inlineStr">
        <is>
          <t>c 3</t>
        </is>
      </c>
      <c r="D9" s="3" t="inlineStr"/>
      <c r="E9" s="3" t="inlineStr"/>
      <c r="F9" s="3" t="inlineStr"/>
      <c r="G9" t="inlineStr"/>
      <c r="H9" s="2" t="inlineStr">
        <is>
          <t>EF</t>
        </is>
      </c>
      <c r="I9" s="2" t="inlineStr">
        <is>
          <t>Educación Física III</t>
        </is>
      </c>
      <c r="J9" s="2" t="inlineStr">
        <is>
          <t>2</t>
        </is>
      </c>
      <c r="K9" s="2">
        <f>(J9-L9)</f>
        <v/>
      </c>
      <c r="L9" s="2">
        <f>COUNTIF($B$4:$F$15,H9)</f>
        <v/>
      </c>
      <c r="M9" t="inlineStr"/>
      <c r="N9" s="2" t="inlineStr">
        <is>
          <t>cp 3</t>
        </is>
      </c>
      <c r="O9" t="inlineStr"/>
    </row>
    <row r="10">
      <c r="A10" s="1" t="inlineStr">
        <is>
          <t>Turno 4</t>
        </is>
      </c>
      <c r="B10" s="1" t="inlineStr">
        <is>
          <t>FVV</t>
        </is>
      </c>
      <c r="C10" s="1" t="inlineStr">
        <is>
          <t>FVV</t>
        </is>
      </c>
      <c r="D10" s="1" t="inlineStr">
        <is>
          <t>FVV</t>
        </is>
      </c>
      <c r="E10" s="1" t="inlineStr">
        <is>
          <t>CAL</t>
        </is>
      </c>
      <c r="F10" s="1" t="inlineStr"/>
      <c r="G10" t="inlineStr"/>
      <c r="H10" s="2" t="inlineStr"/>
      <c r="I10" s="2" t="inlineStr"/>
      <c r="J10" s="2" t="inlineStr"/>
      <c r="K10" s="2" t="inlineStr"/>
      <c r="L10" s="2" t="inlineStr"/>
      <c r="M10" t="inlineStr"/>
      <c r="N10" s="2" t="inlineStr">
        <is>
          <t>c 7</t>
        </is>
      </c>
      <c r="O10" t="inlineStr"/>
    </row>
    <row r="11">
      <c r="A11" s="3" t="inlineStr"/>
      <c r="B11" s="3" t="inlineStr">
        <is>
          <t>c 3</t>
        </is>
      </c>
      <c r="C11" s="3" t="inlineStr">
        <is>
          <t>c 3</t>
        </is>
      </c>
      <c r="D11" s="3" t="inlineStr">
        <is>
          <t>cp 3</t>
        </is>
      </c>
      <c r="E11" s="3" t="inlineStr">
        <is>
          <t>cp 3</t>
        </is>
      </c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 7</t>
        </is>
      </c>
      <c r="O11" t="inlineStr"/>
    </row>
    <row r="12">
      <c r="A12" s="1" t="inlineStr">
        <is>
          <t>Turno 5</t>
        </is>
      </c>
      <c r="B12" s="1" t="inlineStr">
        <is>
          <t>EP</t>
        </is>
      </c>
      <c r="C12" s="1" t="inlineStr">
        <is>
          <t>EP</t>
        </is>
      </c>
      <c r="D12" s="1" t="inlineStr">
        <is>
          <t>FVV</t>
        </is>
      </c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cp 3</t>
        </is>
      </c>
      <c r="O12" t="inlineStr"/>
    </row>
    <row r="13">
      <c r="A13" s="3" t="inlineStr"/>
      <c r="B13" s="3" t="inlineStr">
        <is>
          <t>c 7</t>
        </is>
      </c>
      <c r="C13" s="3" t="inlineStr">
        <is>
          <t>c 7</t>
        </is>
      </c>
      <c r="D13" s="3" t="inlineStr">
        <is>
          <t>cp 3</t>
        </is>
      </c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2</t>
        </is>
      </c>
      <c r="O13" t="inlineStr"/>
    </row>
    <row r="14">
      <c r="A14" s="1" t="inlineStr">
        <is>
          <t>Turno 6</t>
        </is>
      </c>
      <c r="B14" s="1" t="inlineStr">
        <is>
          <t>EF 4:45pm a 5:35pm</t>
        </is>
      </c>
      <c r="C14" s="1" t="inlineStr">
        <is>
          <t>SP</t>
        </is>
      </c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/>
      <c r="C15" s="3" t="inlineStr">
        <is>
          <t>2</t>
        </is>
      </c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G16">
        <f>"Total:"</f>
        <v/>
      </c>
      <c r="H16">
        <f>COUNTA($H$4:$H$15)</f>
        <v/>
      </c>
    </row>
    <row r="17">
      <c r="F17">
        <f>"Σ Frec:"</f>
        <v/>
      </c>
      <c r="G17">
        <f>SUM($J$4:$J$15)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M311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MN</t>
        </is>
      </c>
      <c r="C4" s="1" t="inlineStr">
        <is>
          <t>EDO</t>
        </is>
      </c>
      <c r="D4" s="1" t="inlineStr">
        <is>
          <t>MN</t>
        </is>
      </c>
      <c r="E4" s="1" t="inlineStr">
        <is>
          <t>FV</t>
        </is>
      </c>
      <c r="F4" s="1" t="inlineStr">
        <is>
          <t>FVC</t>
        </is>
      </c>
      <c r="G4" t="inlineStr"/>
      <c r="H4" s="2" t="inlineStr">
        <is>
          <t>FVC</t>
        </is>
      </c>
      <c r="I4" s="2" t="inlineStr">
        <is>
          <t>Funciones de variable Compleja</t>
        </is>
      </c>
      <c r="J4" s="2" t="inlineStr">
        <is>
          <t>2</t>
        </is>
      </c>
      <c r="K4" s="2">
        <f>(J4-L4)</f>
        <v/>
      </c>
      <c r="L4" s="2">
        <f>COUNTIF($B$4:$F$15,H4)</f>
        <v/>
      </c>
      <c r="M4" t="inlineStr"/>
      <c r="N4" s="2" t="inlineStr">
        <is>
          <t>Aula 4</t>
        </is>
      </c>
      <c r="O4" t="inlineStr"/>
    </row>
    <row r="5">
      <c r="A5" s="3" t="inlineStr"/>
      <c r="B5" s="3" t="inlineStr">
        <is>
          <t>Aula 4</t>
        </is>
      </c>
      <c r="C5" s="3" t="inlineStr">
        <is>
          <t>Aula 4</t>
        </is>
      </c>
      <c r="D5" s="3" t="inlineStr">
        <is>
          <t>4</t>
        </is>
      </c>
      <c r="E5" s="3" t="inlineStr">
        <is>
          <t>C 4</t>
        </is>
      </c>
      <c r="F5" s="3" t="inlineStr">
        <is>
          <t>Aula 4</t>
        </is>
      </c>
      <c r="G5" t="inlineStr"/>
      <c r="H5" s="2" t="inlineStr">
        <is>
          <t>IE</t>
        </is>
      </c>
      <c r="I5" s="2" t="inlineStr">
        <is>
          <t>Inferencia Estadística</t>
        </is>
      </c>
      <c r="J5" s="2" t="inlineStr">
        <is>
          <t>3</t>
        </is>
      </c>
      <c r="K5" s="2">
        <f>(J5-L5)</f>
        <v/>
      </c>
      <c r="L5" s="2">
        <f>COUNTIF($B$4:$F$15,H5)</f>
        <v/>
      </c>
      <c r="M5" t="inlineStr"/>
      <c r="N5" s="2" t="inlineStr">
        <is>
          <t>Aula 4</t>
        </is>
      </c>
      <c r="O5" t="inlineStr"/>
    </row>
    <row r="6">
      <c r="A6" s="1" t="inlineStr">
        <is>
          <t>Turno 2</t>
        </is>
      </c>
      <c r="B6" s="1" t="inlineStr">
        <is>
          <t>FVC</t>
        </is>
      </c>
      <c r="C6" s="1" t="inlineStr">
        <is>
          <t>OM</t>
        </is>
      </c>
      <c r="D6" s="1" t="inlineStr">
        <is>
          <t>EDO</t>
        </is>
      </c>
      <c r="E6" s="1" t="inlineStr">
        <is>
          <t>IE</t>
        </is>
      </c>
      <c r="F6" s="1" t="inlineStr">
        <is>
          <t>EDO</t>
        </is>
      </c>
      <c r="G6" t="inlineStr"/>
      <c r="H6" s="2" t="inlineStr">
        <is>
          <t>EDO</t>
        </is>
      </c>
      <c r="I6" s="2" t="inlineStr">
        <is>
          <t>Ecuaciones Diferenciales Ordinarias</t>
        </is>
      </c>
      <c r="J6" s="2" t="inlineStr">
        <is>
          <t>3</t>
        </is>
      </c>
      <c r="K6" s="2">
        <f>(J6-L6)</f>
        <v/>
      </c>
      <c r="L6" s="2">
        <f>COUNTIF($B$4:$F$15,H6)</f>
        <v/>
      </c>
      <c r="M6" t="inlineStr"/>
      <c r="N6" s="2" t="inlineStr">
        <is>
          <t>4</t>
        </is>
      </c>
      <c r="O6" t="inlineStr"/>
    </row>
    <row r="7">
      <c r="A7" s="3" t="inlineStr"/>
      <c r="B7" s="3" t="inlineStr">
        <is>
          <t>Aula 4</t>
        </is>
      </c>
      <c r="C7" s="3" t="inlineStr">
        <is>
          <t>Aula 4</t>
        </is>
      </c>
      <c r="D7" s="3" t="inlineStr">
        <is>
          <t>Aula 4</t>
        </is>
      </c>
      <c r="E7" s="3" t="inlineStr">
        <is>
          <t>Aula 4</t>
        </is>
      </c>
      <c r="F7" s="3" t="inlineStr">
        <is>
          <t>Aula 4</t>
        </is>
      </c>
      <c r="G7" t="inlineStr"/>
      <c r="H7" s="2" t="inlineStr">
        <is>
          <t>MN</t>
        </is>
      </c>
      <c r="I7" s="2" t="inlineStr">
        <is>
          <t>Matemática Numérica</t>
        </is>
      </c>
      <c r="J7" s="2" t="inlineStr">
        <is>
          <t>2</t>
        </is>
      </c>
      <c r="K7" s="2">
        <f>(J7-L7)</f>
        <v/>
      </c>
      <c r="L7" s="2">
        <f>COUNTIF($B$4:$F$15,H7)</f>
        <v/>
      </c>
      <c r="M7" t="inlineStr"/>
      <c r="N7" s="2" t="inlineStr">
        <is>
          <t>C 4</t>
        </is>
      </c>
      <c r="O7" t="inlineStr"/>
    </row>
    <row r="8">
      <c r="A8" s="1" t="inlineStr">
        <is>
          <t>Turno 3</t>
        </is>
      </c>
      <c r="B8" s="1" t="inlineStr">
        <is>
          <t>IE</t>
        </is>
      </c>
      <c r="C8" s="1" t="inlineStr">
        <is>
          <t>TP</t>
        </is>
      </c>
      <c r="D8" s="1" t="inlineStr">
        <is>
          <t>IE</t>
        </is>
      </c>
      <c r="E8" s="1" t="inlineStr">
        <is>
          <t>OM</t>
        </is>
      </c>
      <c r="F8" s="1" t="inlineStr"/>
      <c r="G8" t="inlineStr"/>
      <c r="H8" s="2" t="inlineStr">
        <is>
          <t>OM</t>
        </is>
      </c>
      <c r="I8" s="2" t="inlineStr">
        <is>
          <t>Optimización Matemática I</t>
        </is>
      </c>
      <c r="J8" s="2" t="inlineStr">
        <is>
          <t>2</t>
        </is>
      </c>
      <c r="K8" s="2">
        <f>(J8-L8)</f>
        <v/>
      </c>
      <c r="L8" s="2">
        <f>COUNTIF($B$4:$F$15,H8)</f>
        <v/>
      </c>
      <c r="M8" t="inlineStr"/>
      <c r="N8" s="2" t="inlineStr">
        <is>
          <t>Aula 4</t>
        </is>
      </c>
      <c r="O8" t="inlineStr"/>
    </row>
    <row r="9">
      <c r="A9" s="3" t="inlineStr"/>
      <c r="B9" s="3" t="inlineStr">
        <is>
          <t>Aula 4</t>
        </is>
      </c>
      <c r="C9" s="3" t="inlineStr">
        <is>
          <t>Aula 4</t>
        </is>
      </c>
      <c r="D9" s="3" t="inlineStr">
        <is>
          <t>Aula 4</t>
        </is>
      </c>
      <c r="E9" s="3" t="inlineStr">
        <is>
          <t>Aula 4</t>
        </is>
      </c>
      <c r="F9" s="3" t="inlineStr"/>
      <c r="G9" t="inlineStr"/>
      <c r="H9" s="2" t="inlineStr">
        <is>
          <t>TP</t>
        </is>
      </c>
      <c r="I9" s="2" t="inlineStr">
        <is>
          <t>Teoría Política</t>
        </is>
      </c>
      <c r="J9" s="2" t="inlineStr">
        <is>
          <t>2</t>
        </is>
      </c>
      <c r="K9" s="2">
        <f>(J9-L9)</f>
        <v/>
      </c>
      <c r="L9" s="2">
        <f>COUNTIF($B$4:$F$15,H9)</f>
        <v/>
      </c>
      <c r="M9" t="inlineStr"/>
      <c r="N9" s="2" t="inlineStr">
        <is>
          <t>Aula 4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 t="inlineStr"/>
      <c r="L10" s="2" t="inlineStr"/>
      <c r="M10" t="inlineStr"/>
      <c r="N10" s="2" t="inlineStr">
        <is>
          <t>Aula 4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Aula 4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4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4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4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4</t>
        </is>
      </c>
      <c r="O15" t="inlineStr"/>
    </row>
    <row r="16">
      <c r="A16" t="inlineStr"/>
      <c r="B16" t="inlineStr"/>
      <c r="C16" t="inlineStr"/>
      <c r="D16" t="inlineStr"/>
      <c r="E16" t="inlineStr"/>
      <c r="F16" t="inlineStr"/>
      <c r="G16">
        <f>"Total:"</f>
        <v/>
      </c>
      <c r="H16">
        <f>COUNTA($H$4:$H$15)</f>
        <v/>
      </c>
      <c r="I16" t="inlineStr"/>
      <c r="J16" t="inlineStr"/>
      <c r="K16" t="inlineStr"/>
      <c r="L16" t="inlineStr"/>
      <c r="M16" t="inlineStr"/>
      <c r="N16" t="inlineStr">
        <is>
          <t>Aula 4</t>
        </is>
      </c>
      <c r="O16" t="inlineStr"/>
    </row>
    <row r="17">
      <c r="A17" t="inlineStr"/>
      <c r="B17" t="inlineStr"/>
      <c r="C17" t="inlineStr"/>
      <c r="D17" t="inlineStr"/>
      <c r="E17" t="inlineStr"/>
      <c r="F17">
        <f>"Σ Frec:"</f>
        <v/>
      </c>
      <c r="G17">
        <f>SUM($J$4:$J$15)</f>
        <v/>
      </c>
      <c r="H17" t="inlineStr"/>
      <c r="I17" t="inlineStr"/>
      <c r="J17" t="inlineStr"/>
      <c r="K17" t="inlineStr"/>
      <c r="L17" t="inlineStr"/>
      <c r="M17" t="inlineStr"/>
      <c r="N17" t="inlineStr">
        <is>
          <t>Aula 4</t>
        </is>
      </c>
      <c r="O17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M411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t="inlineStr">
        <is>
          <t>Lunes</t>
        </is>
      </c>
      <c r="C3" t="inlineStr">
        <is>
          <t>Martes</t>
        </is>
      </c>
      <c r="D3" t="inlineStr">
        <is>
          <t>Miercoles</t>
        </is>
      </c>
      <c r="E3" t="inlineStr">
        <is>
          <t>Jueves</t>
        </is>
      </c>
      <c r="F3" t="inlineStr">
        <is>
          <t>Viernes</t>
        </is>
      </c>
      <c r="G3" t="inlineStr"/>
      <c r="H3" t="inlineStr">
        <is>
          <t>Abrev</t>
        </is>
      </c>
      <c r="I3" t="inlineStr">
        <is>
          <t>Asignaturas</t>
        </is>
      </c>
      <c r="J3" t="inlineStr">
        <is>
          <t>Frec</t>
        </is>
      </c>
      <c r="K3" t="inlineStr">
        <is>
          <t>Faltan</t>
        </is>
      </c>
      <c r="L3" t="inlineStr">
        <is>
          <t>Asignadas</t>
        </is>
      </c>
      <c r="M3" t="inlineStr"/>
      <c r="N3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MI</t>
        </is>
      </c>
      <c r="I4" s="2" t="inlineStr">
        <is>
          <t>Medida e Integración</t>
        </is>
      </c>
      <c r="J4" s="2" t="inlineStr">
        <is>
          <t>2</t>
        </is>
      </c>
      <c r="K4" s="2">
        <f>(J4-L4)</f>
        <v/>
      </c>
      <c r="L4" s="2">
        <f>COUNTIF($B$4:$F$15,H4)</f>
        <v/>
      </c>
      <c r="M4" t="inlineStr"/>
      <c r="N4" s="2" t="inlineStr">
        <is>
          <t>4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GD</t>
        </is>
      </c>
      <c r="I5" s="2" t="inlineStr">
        <is>
          <t>Geometría Diferencial</t>
        </is>
      </c>
      <c r="J5" s="2" t="inlineStr">
        <is>
          <t>2</t>
        </is>
      </c>
      <c r="K5" s="2">
        <f>(J5-L5)</f>
        <v/>
      </c>
      <c r="L5" s="2">
        <f>COUNTIF($B$4:$F$15,H5)</f>
        <v/>
      </c>
      <c r="M5" t="inlineStr"/>
      <c r="N5" s="2" t="inlineStr">
        <is>
          <t>4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HM</t>
        </is>
      </c>
      <c r="I6" s="2" t="inlineStr">
        <is>
          <t>Historia de la Matemática</t>
        </is>
      </c>
      <c r="J6" s="2" t="inlineStr">
        <is>
          <t>2</t>
        </is>
      </c>
      <c r="K6" s="2">
        <f>(J6-L6)</f>
        <v/>
      </c>
      <c r="L6" s="2">
        <f>COUNTIF($B$4:$F$15,H6)</f>
        <v/>
      </c>
      <c r="M6" t="inlineStr"/>
      <c r="N6" s="2" t="inlineStr">
        <is>
          <t>4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ECTS</t>
        </is>
      </c>
      <c r="I7" s="2" t="inlineStr">
        <is>
          <t>Estudios de Ciencia, Tecnología y Sociedad</t>
        </is>
      </c>
      <c r="J7" s="2" t="inlineStr">
        <is>
          <t>2</t>
        </is>
      </c>
      <c r="K7" s="2">
        <f>(J7-L7)</f>
        <v/>
      </c>
      <c r="L7" s="2">
        <f>COUNTIF($B$4:$F$15,H7)</f>
        <v/>
      </c>
      <c r="M7" t="inlineStr"/>
      <c r="N7" s="2" t="inlineStr">
        <is>
          <t>2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AO2</t>
        </is>
      </c>
      <c r="I8" s="2" t="inlineStr">
        <is>
          <t>Asignatura Optativa II</t>
        </is>
      </c>
      <c r="J8" s="2" t="inlineStr">
        <is>
          <t>2</t>
        </is>
      </c>
      <c r="K8" s="2">
        <f>(J8-L8)</f>
        <v/>
      </c>
      <c r="L8" s="2">
        <f>COUNTIF($B$4:$F$15,H8)</f>
        <v/>
      </c>
      <c r="M8" t="inlineStr"/>
      <c r="N8" s="2" t="inlineStr">
        <is>
          <t>4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AO3</t>
        </is>
      </c>
      <c r="I9" s="2" t="inlineStr">
        <is>
          <t>Asignatura Optativa III</t>
        </is>
      </c>
      <c r="J9" s="2" t="inlineStr">
        <is>
          <t>2</t>
        </is>
      </c>
      <c r="K9" s="2">
        <f>(J9-L9)</f>
        <v/>
      </c>
      <c r="L9" s="2">
        <f>COUNTIF($B$4:$F$15,H9)</f>
        <v/>
      </c>
      <c r="M9" t="inlineStr"/>
      <c r="N9" s="2" t="inlineStr">
        <is>
          <t>4</t>
        </is>
      </c>
      <c r="O9" t="inlineStr"/>
    </row>
    <row r="10">
      <c r="A10" s="1" t="inlineStr">
        <is>
          <t>Turno 4</t>
        </is>
      </c>
      <c r="B10" s="1" t="inlineStr">
        <is>
          <t>GD</t>
        </is>
      </c>
      <c r="C10" s="1" t="inlineStr">
        <is>
          <t>HM</t>
        </is>
      </c>
      <c r="D10" s="1" t="inlineStr">
        <is>
          <t>MI</t>
        </is>
      </c>
      <c r="E10" s="1" t="inlineStr">
        <is>
          <t>AO</t>
        </is>
      </c>
      <c r="F10" s="1" t="inlineStr"/>
      <c r="G10" t="inlineStr"/>
      <c r="H10" s="2" t="inlineStr"/>
      <c r="I10" s="2" t="inlineStr"/>
      <c r="J10" s="2" t="inlineStr"/>
      <c r="K10" s="2" t="inlineStr"/>
      <c r="L10" s="2" t="inlineStr"/>
      <c r="M10" t="inlineStr"/>
      <c r="N10" s="2" t="inlineStr">
        <is>
          <t>4</t>
        </is>
      </c>
      <c r="O10" t="inlineStr"/>
    </row>
    <row r="11">
      <c r="A11" s="3" t="inlineStr"/>
      <c r="B11" s="3" t="inlineStr">
        <is>
          <t>4</t>
        </is>
      </c>
      <c r="C11" s="3" t="inlineStr">
        <is>
          <t>4</t>
        </is>
      </c>
      <c r="D11" s="3" t="inlineStr">
        <is>
          <t>4</t>
        </is>
      </c>
      <c r="E11" s="3" t="inlineStr">
        <is>
          <t>2</t>
        </is>
      </c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3</t>
        </is>
      </c>
      <c r="O11" t="inlineStr"/>
    </row>
    <row r="12">
      <c r="A12" s="1" t="inlineStr">
        <is>
          <t>Turno 5</t>
        </is>
      </c>
      <c r="B12" s="1" t="inlineStr">
        <is>
          <t>MI</t>
        </is>
      </c>
      <c r="C12" s="1" t="inlineStr">
        <is>
          <t>HM</t>
        </is>
      </c>
      <c r="D12" s="1" t="inlineStr">
        <is>
          <t>GD</t>
        </is>
      </c>
      <c r="E12" s="1" t="inlineStr">
        <is>
          <t>AO</t>
        </is>
      </c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C4</t>
        </is>
      </c>
      <c r="O12" t="inlineStr"/>
    </row>
    <row r="13">
      <c r="A13" s="3" t="inlineStr"/>
      <c r="B13" s="3" t="inlineStr">
        <is>
          <t>4</t>
        </is>
      </c>
      <c r="C13" s="3" t="inlineStr">
        <is>
          <t>4</t>
        </is>
      </c>
      <c r="D13" s="3" t="inlineStr">
        <is>
          <t>4</t>
        </is>
      </c>
      <c r="E13" s="3" t="inlineStr">
        <is>
          <t>3</t>
        </is>
      </c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4</t>
        </is>
      </c>
      <c r="O13" t="inlineStr"/>
    </row>
    <row r="14">
      <c r="A14" s="1" t="inlineStr">
        <is>
          <t>Turno 6</t>
        </is>
      </c>
      <c r="B14" s="1" t="inlineStr">
        <is>
          <t>ECTS 9 (Con</t>
        </is>
      </c>
      <c r="C14" s="1" t="inlineStr">
        <is>
          <t>GD</t>
        </is>
      </c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>
        <is>
          <t>C4</t>
        </is>
      </c>
      <c r="C15" s="3" t="inlineStr">
        <is>
          <t>4</t>
        </is>
      </c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G16">
        <f>"Total:"</f>
        <v/>
      </c>
      <c r="H16">
        <f>COUNTA($H$4:$H$15)</f>
        <v/>
      </c>
    </row>
    <row r="17">
      <c r="F17">
        <f>"Σ Frec:"</f>
        <v/>
      </c>
      <c r="G17">
        <f>SUM($J$4:$J$15)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t="inlineStr">
        <is>
          <t>Lunes</t>
        </is>
      </c>
      <c r="B1" t="inlineStr">
        <is>
          <t>Aula 1</t>
        </is>
      </c>
      <c r="C1" t="inlineStr">
        <is>
          <t>Aula 2</t>
        </is>
      </c>
      <c r="D1" t="inlineStr">
        <is>
          <t>Aula 3</t>
        </is>
      </c>
      <c r="E1" t="inlineStr">
        <is>
          <t>Aula 4</t>
        </is>
      </c>
      <c r="F1" t="inlineStr">
        <is>
          <t>Aula 5</t>
        </is>
      </c>
      <c r="G1" t="inlineStr">
        <is>
          <t>Aula 6</t>
        </is>
      </c>
      <c r="H1" t="inlineStr">
        <is>
          <t>Aula 7</t>
        </is>
      </c>
      <c r="I1" t="inlineStr">
        <is>
          <t>Aula 8</t>
        </is>
      </c>
      <c r="J1" t="inlineStr">
        <is>
          <t>Aula 9</t>
        </is>
      </c>
      <c r="K1" t="inlineStr">
        <is>
          <t>Lab</t>
        </is>
      </c>
      <c r="L1" t="inlineStr"/>
    </row>
    <row r="2">
      <c r="A2" s="2" t="inlineStr">
        <is>
          <t>1</t>
        </is>
      </c>
      <c r="B2" s="2">
        <f>SUBSTITUTE(TRIM(IF(D111!$B$5="Aula 1",(D111!$A$1&amp;" "),"")&amp;IF(D211!$B$5="Aula 1",(D211!$A$1&amp;" "),"")&amp;IF(D311!$B$5="Aula 1",(D311!$A$1&amp;" "),"")&amp;IF(D411!$B$5="Aula 1",(D411!$A$1&amp;" "),"")&amp;IF(C111!$B$5="Aula 1",(C111!$A$1&amp;" "),"")&amp;IF(C121!$B$5="Aula 1",(C121!$A$1&amp;" "),"")&amp;IF(C122!$B$5="Aula 1",(C122!$A$1&amp;" "),"")&amp;IF(C211!$B$5="Aula 1",(C211!$A$1&amp;" "),"")&amp;IF(C212!$B$5="Aula 1",(C212!$A$1&amp;" "),"")&amp;IF(C311!$B$5="Aula 1",(C311!$A$1&amp;" "),"")&amp;IF(C312!$B$5="Aula 1",(C312!$A$1&amp;" "),"")&amp;IF(C411!$B$5="Aula 1",(C411!$A$1&amp;" "),"")&amp;IF(C412!$B$5="Aula 1",(C412!$A$1&amp;" "),"")&amp;IF(M111!$B$5="Aula 1",(M111!$A$1&amp;" "),"")&amp;IF(M211!$B$5="Aula 1",(M211!$A$1&amp;" "),"")&amp;IF(M311!$B$5="Aula 1",(M311!$A$1&amp;" "),"")&amp;IF(M411!$B$5="Aula 1",(M411!$A$1&amp;" "),""))," ",",")</f>
        <v/>
      </c>
      <c r="C2" s="2">
        <f>SUBSTITUTE(TRIM(IF(D111!$B$5="Aula 2",(D111!$A$1&amp;" "),"")&amp;IF(D211!$B$5="Aula 2",(D211!$A$1&amp;" "),"")&amp;IF(D311!$B$5="Aula 2",(D311!$A$1&amp;" "),"")&amp;IF(D411!$B$5="Aula 2",(D411!$A$1&amp;" "),"")&amp;IF(C111!$B$5="Aula 2",(C111!$A$1&amp;" "),"")&amp;IF(C121!$B$5="Aula 2",(C121!$A$1&amp;" "),"")&amp;IF(C122!$B$5="Aula 2",(C122!$A$1&amp;" "),"")&amp;IF(C211!$B$5="Aula 2",(C211!$A$1&amp;" "),"")&amp;IF(C212!$B$5="Aula 2",(C212!$A$1&amp;" "),"")&amp;IF(C311!$B$5="Aula 2",(C311!$A$1&amp;" "),"")&amp;IF(C312!$B$5="Aula 2",(C312!$A$1&amp;" "),"")&amp;IF(C411!$B$5="Aula 2",(C411!$A$1&amp;" "),"")&amp;IF(C412!$B$5="Aula 2",(C412!$A$1&amp;" "),"")&amp;IF(M111!$B$5="Aula 2",(M111!$A$1&amp;" "),"")&amp;IF(M211!$B$5="Aula 2",(M211!$A$1&amp;" "),"")&amp;IF(M311!$B$5="Aula 2",(M311!$A$1&amp;" "),"")&amp;IF(M411!$B$5="Aula 2",(M411!$A$1&amp;" "),""))," ",",")</f>
        <v/>
      </c>
      <c r="D2" s="2">
        <f>SUBSTITUTE(TRIM(IF(D111!$B$5="Aula 3",(D111!$A$1&amp;" "),"")&amp;IF(D211!$B$5="Aula 3",(D211!$A$1&amp;" "),"")&amp;IF(D311!$B$5="Aula 3",(D311!$A$1&amp;" "),"")&amp;IF(D411!$B$5="Aula 3",(D411!$A$1&amp;" "),"")&amp;IF(C111!$B$5="Aula 3",(C111!$A$1&amp;" "),"")&amp;IF(C121!$B$5="Aula 3",(C121!$A$1&amp;" "),"")&amp;IF(C122!$B$5="Aula 3",(C122!$A$1&amp;" "),"")&amp;IF(C211!$B$5="Aula 3",(C211!$A$1&amp;" "),"")&amp;IF(C212!$B$5="Aula 3",(C212!$A$1&amp;" "),"")&amp;IF(C311!$B$5="Aula 3",(C311!$A$1&amp;" "),"")&amp;IF(C312!$B$5="Aula 3",(C312!$A$1&amp;" "),"")&amp;IF(C411!$B$5="Aula 3",(C411!$A$1&amp;" "),"")&amp;IF(C412!$B$5="Aula 3",(C412!$A$1&amp;" "),"")&amp;IF(M111!$B$5="Aula 3",(M111!$A$1&amp;" "),"")&amp;IF(M211!$B$5="Aula 3",(M211!$A$1&amp;" "),"")&amp;IF(M311!$B$5="Aula 3",(M311!$A$1&amp;" "),"")&amp;IF(M411!$B$5="Aula 3",(M411!$A$1&amp;" "),""))," ",",")</f>
        <v/>
      </c>
      <c r="E2" s="2">
        <f>SUBSTITUTE(TRIM(IF(D111!$B$5="Aula 4",(D111!$A$1&amp;" "),"")&amp;IF(D211!$B$5="Aula 4",(D211!$A$1&amp;" "),"")&amp;IF(D311!$B$5="Aula 4",(D311!$A$1&amp;" "),"")&amp;IF(D411!$B$5="Aula 4",(D411!$A$1&amp;" "),"")&amp;IF(C111!$B$5="Aula 4",(C111!$A$1&amp;" "),"")&amp;IF(C121!$B$5="Aula 4",(C121!$A$1&amp;" "),"")&amp;IF(C122!$B$5="Aula 4",(C122!$A$1&amp;" "),"")&amp;IF(C211!$B$5="Aula 4",(C211!$A$1&amp;" "),"")&amp;IF(C212!$B$5="Aula 4",(C212!$A$1&amp;" "),"")&amp;IF(C311!$B$5="Aula 4",(C311!$A$1&amp;" "),"")&amp;IF(C312!$B$5="Aula 4",(C312!$A$1&amp;" "),"")&amp;IF(C411!$B$5="Aula 4",(C411!$A$1&amp;" "),"")&amp;IF(C412!$B$5="Aula 4",(C412!$A$1&amp;" "),"")&amp;IF(M111!$B$5="Aula 4",(M111!$A$1&amp;" "),"")&amp;IF(M211!$B$5="Aula 4",(M211!$A$1&amp;" "),"")&amp;IF(M311!$B$5="Aula 4",(M311!$A$1&amp;" "),"")&amp;IF(M411!$B$5="Aula 4",(M411!$A$1&amp;" "),""))," ",",")</f>
        <v/>
      </c>
      <c r="F2" s="2">
        <f>SUBSTITUTE(TRIM(IF(D111!$B$5="Aula 5",(D111!$A$1&amp;" "),"")&amp;IF(D211!$B$5="Aula 5",(D211!$A$1&amp;" "),"")&amp;IF(D311!$B$5="Aula 5",(D311!$A$1&amp;" "),"")&amp;IF(D411!$B$5="Aula 5",(D411!$A$1&amp;" "),"")&amp;IF(C111!$B$5="Aula 5",(C111!$A$1&amp;" "),"")&amp;IF(C121!$B$5="Aula 5",(C121!$A$1&amp;" "),"")&amp;IF(C122!$B$5="Aula 5",(C122!$A$1&amp;" "),"")&amp;IF(C211!$B$5="Aula 5",(C211!$A$1&amp;" "),"")&amp;IF(C212!$B$5="Aula 5",(C212!$A$1&amp;" "),"")&amp;IF(C311!$B$5="Aula 5",(C311!$A$1&amp;" "),"")&amp;IF(C312!$B$5="Aula 5",(C312!$A$1&amp;" "),"")&amp;IF(C411!$B$5="Aula 5",(C411!$A$1&amp;" "),"")&amp;IF(C412!$B$5="Aula 5",(C412!$A$1&amp;" "),"")&amp;IF(M111!$B$5="Aula 5",(M111!$A$1&amp;" "),"")&amp;IF(M211!$B$5="Aula 5",(M211!$A$1&amp;" "),"")&amp;IF(M311!$B$5="Aula 5",(M311!$A$1&amp;" "),"")&amp;IF(M411!$B$5="Aula 5",(M411!$A$1&amp;" "),""))," ",",")</f>
        <v/>
      </c>
      <c r="G2" s="2">
        <f>SUBSTITUTE(TRIM(IF(D111!$B$5="Aula 6",(D111!$A$1&amp;" "),"")&amp;IF(D211!$B$5="Aula 6",(D211!$A$1&amp;" "),"")&amp;IF(D311!$B$5="Aula 6",(D311!$A$1&amp;" "),"")&amp;IF(D411!$B$5="Aula 6",(D411!$A$1&amp;" "),"")&amp;IF(C111!$B$5="Aula 6",(C111!$A$1&amp;" "),"")&amp;IF(C121!$B$5="Aula 6",(C121!$A$1&amp;" "),"")&amp;IF(C122!$B$5="Aula 6",(C122!$A$1&amp;" "),"")&amp;IF(C211!$B$5="Aula 6",(C211!$A$1&amp;" "),"")&amp;IF(C212!$B$5="Aula 6",(C212!$A$1&amp;" "),"")&amp;IF(C311!$B$5="Aula 6",(C311!$A$1&amp;" "),"")&amp;IF(C312!$B$5="Aula 6",(C312!$A$1&amp;" "),"")&amp;IF(C411!$B$5="Aula 6",(C411!$A$1&amp;" "),"")&amp;IF(C412!$B$5="Aula 6",(C412!$A$1&amp;" "),"")&amp;IF(M111!$B$5="Aula 6",(M111!$A$1&amp;" "),"")&amp;IF(M211!$B$5="Aula 6",(M211!$A$1&amp;" "),"")&amp;IF(M311!$B$5="Aula 6",(M311!$A$1&amp;" "),"")&amp;IF(M411!$B$5="Aula 6",(M411!$A$1&amp;" "),""))," ",",")</f>
        <v/>
      </c>
      <c r="H2" s="2">
        <f>SUBSTITUTE(TRIM(IF(D111!$B$5="Aula 7",(D111!$A$1&amp;" "),"")&amp;IF(D211!$B$5="Aula 7",(D211!$A$1&amp;" "),"")&amp;IF(D311!$B$5="Aula 7",(D311!$A$1&amp;" "),"")&amp;IF(D411!$B$5="Aula 7",(D411!$A$1&amp;" "),"")&amp;IF(C111!$B$5="Aula 7",(C111!$A$1&amp;" "),"")&amp;IF(C121!$B$5="Aula 7",(C121!$A$1&amp;" "),"")&amp;IF(C122!$B$5="Aula 7",(C122!$A$1&amp;" "),"")&amp;IF(C211!$B$5="Aula 7",(C211!$A$1&amp;" "),"")&amp;IF(C212!$B$5="Aula 7",(C212!$A$1&amp;" "),"")&amp;IF(C311!$B$5="Aula 7",(C311!$A$1&amp;" "),"")&amp;IF(C312!$B$5="Aula 7",(C312!$A$1&amp;" "),"")&amp;IF(C411!$B$5="Aula 7",(C411!$A$1&amp;" "),"")&amp;IF(C412!$B$5="Aula 7",(C412!$A$1&amp;" "),"")&amp;IF(M111!$B$5="Aula 7",(M111!$A$1&amp;" "),"")&amp;IF(M211!$B$5="Aula 7",(M211!$A$1&amp;" "),"")&amp;IF(M311!$B$5="Aula 7",(M311!$A$1&amp;" "),"")&amp;IF(M411!$B$5="Aula 7",(M411!$A$1&amp;" "),""))," ",",")</f>
        <v/>
      </c>
      <c r="I2" s="2">
        <f>SUBSTITUTE(TRIM(IF(D111!$B$5="Aula 8",(D111!$A$1&amp;" "),"")&amp;IF(D211!$B$5="Aula 8",(D211!$A$1&amp;" "),"")&amp;IF(D311!$B$5="Aula 8",(D311!$A$1&amp;" "),"")&amp;IF(D411!$B$5="Aula 8",(D411!$A$1&amp;" "),"")&amp;IF(C111!$B$5="Aula 8",(C111!$A$1&amp;" "),"")&amp;IF(C121!$B$5="Aula 8",(C121!$A$1&amp;" "),"")&amp;IF(C122!$B$5="Aula 8",(C122!$A$1&amp;" "),"")&amp;IF(C211!$B$5="Aula 8",(C211!$A$1&amp;" "),"")&amp;IF(C212!$B$5="Aula 8",(C212!$A$1&amp;" "),"")&amp;IF(C311!$B$5="Aula 8",(C311!$A$1&amp;" "),"")&amp;IF(C312!$B$5="Aula 8",(C312!$A$1&amp;" "),"")&amp;IF(C411!$B$5="Aula 8",(C411!$A$1&amp;" "),"")&amp;IF(C412!$B$5="Aula 8",(C412!$A$1&amp;" "),"")&amp;IF(M111!$B$5="Aula 8",(M111!$A$1&amp;" "),"")&amp;IF(M211!$B$5="Aula 8",(M211!$A$1&amp;" "),"")&amp;IF(M311!$B$5="Aula 8",(M311!$A$1&amp;" "),"")&amp;IF(M411!$B$5="Aula 8",(M411!$A$1&amp;" "),""))," ",",")</f>
        <v/>
      </c>
      <c r="J2" s="2">
        <f>SUBSTITUTE(TRIM(IF(D111!$B$5="Aula 9",(D111!$A$1&amp;" "),"")&amp;IF(D211!$B$5="Aula 9",(D211!$A$1&amp;" "),"")&amp;IF(D311!$B$5="Aula 9",(D311!$A$1&amp;" "),"")&amp;IF(D411!$B$5="Aula 9",(D411!$A$1&amp;" "),"")&amp;IF(C111!$B$5="Aula 9",(C111!$A$1&amp;" "),"")&amp;IF(C121!$B$5="Aula 9",(C121!$A$1&amp;" "),"")&amp;IF(C122!$B$5="Aula 9",(C122!$A$1&amp;" "),"")&amp;IF(C211!$B$5="Aula 9",(C211!$A$1&amp;" "),"")&amp;IF(C212!$B$5="Aula 9",(C212!$A$1&amp;" "),"")&amp;IF(C311!$B$5="Aula 9",(C311!$A$1&amp;" "),"")&amp;IF(C312!$B$5="Aula 9",(C312!$A$1&amp;" "),"")&amp;IF(C411!$B$5="Aula 9",(C411!$A$1&amp;" "),"")&amp;IF(C412!$B$5="Aula 9",(C412!$A$1&amp;" "),"")&amp;IF(M111!$B$5="Aula 9",(M111!$A$1&amp;" "),"")&amp;IF(M211!$B$5="Aula 9",(M211!$A$1&amp;" "),"")&amp;IF(M311!$B$5="Aula 9",(M311!$A$1&amp;" "),"")&amp;IF(M411!$B$5="Aula 9",(M411!$A$1&amp;" "),""))," ",",")</f>
        <v/>
      </c>
      <c r="K2" s="2">
        <f>SUBSTITUTE(TRIM(IF(D111!$B$5="Lab",(D111!$A$1&amp;" "),"")&amp;IF(D211!$B$5="Lab",(D211!$A$1&amp;" "),"")&amp;IF(D311!$B$5="Lab",(D311!$A$1&amp;" "),"")&amp;IF(D411!$B$5="Lab",(D411!$A$1&amp;" "),"")&amp;IF(C111!$B$5="Lab",(C111!$A$1&amp;" "),"")&amp;IF(C121!$B$5="Lab",(C121!$A$1&amp;" "),"")&amp;IF(C122!$B$5="Lab",(C122!$A$1&amp;" "),"")&amp;IF(C211!$B$5="Lab",(C211!$A$1&amp;" "),"")&amp;IF(C212!$B$5="Lab",(C212!$A$1&amp;" "),"")&amp;IF(C311!$B$5="Lab",(C311!$A$1&amp;" "),"")&amp;IF(C312!$B$5="Lab",(C312!$A$1&amp;" "),"")&amp;IF(C411!$B$5="Lab",(C411!$A$1&amp;" "),"")&amp;IF(C412!$B$5="Lab",(C412!$A$1&amp;" "),"")&amp;IF(M111!$B$5="Lab",(M111!$A$1&amp;" "),"")&amp;IF(M211!$B$5="Lab",(M211!$A$1&amp;" "),"")&amp;IF(M311!$B$5="Lab",(M311!$A$1&amp;" "),"")&amp;IF(M411!$B$5="Lab",(M411!$A$1&amp;" "),""))," ",",")</f>
        <v/>
      </c>
      <c r="L2" t="inlineStr"/>
    </row>
    <row r="3">
      <c r="A3" s="2" t="inlineStr">
        <is>
          <t>2</t>
        </is>
      </c>
      <c r="B3" s="2">
        <f>SUBSTITUTE(TRIM(IF(D111!$B$7="Aula 1",(D111!$A$1&amp;" "),"")&amp;IF(D211!$B$7="Aula 1",(D211!$A$1&amp;" "),"")&amp;IF(D311!$B$7="Aula 1",(D311!$A$1&amp;" "),"")&amp;IF(D411!$B$7="Aula 1",(D411!$A$1&amp;" "),"")&amp;IF(C111!$B$7="Aula 1",(C111!$A$1&amp;" "),"")&amp;IF(C121!$B$7="Aula 1",(C121!$A$1&amp;" "),"")&amp;IF(C122!$B$7="Aula 1",(C122!$A$1&amp;" "),"")&amp;IF(C211!$B$7="Aula 1",(C211!$A$1&amp;" "),"")&amp;IF(C212!$B$7="Aula 1",(C212!$A$1&amp;" "),"")&amp;IF(C311!$B$7="Aula 1",(C311!$A$1&amp;" "),"")&amp;IF(C312!$B$7="Aula 1",(C312!$A$1&amp;" "),"")&amp;IF(C411!$B$7="Aula 1",(C411!$A$1&amp;" "),"")&amp;IF(C412!$B$7="Aula 1",(C412!$A$1&amp;" "),"")&amp;IF(M111!$B$7="Aula 1",(M111!$A$1&amp;" "),"")&amp;IF(M211!$B$7="Aula 1",(M211!$A$1&amp;" "),"")&amp;IF(M311!$B$7="Aula 1",(M311!$A$1&amp;" "),"")&amp;IF(M411!$B$7="Aula 1",(M411!$A$1&amp;" "),""))," ",",")</f>
        <v/>
      </c>
      <c r="C3" s="2">
        <f>SUBSTITUTE(TRIM(IF(D111!$B$7="Aula 2",(D111!$A$1&amp;" "),"")&amp;IF(D211!$B$7="Aula 2",(D211!$A$1&amp;" "),"")&amp;IF(D311!$B$7="Aula 2",(D311!$A$1&amp;" "),"")&amp;IF(D411!$B$7="Aula 2",(D411!$A$1&amp;" "),"")&amp;IF(C111!$B$7="Aula 2",(C111!$A$1&amp;" "),"")&amp;IF(C121!$B$7="Aula 2",(C121!$A$1&amp;" "),"")&amp;IF(C122!$B$7="Aula 2",(C122!$A$1&amp;" "),"")&amp;IF(C211!$B$7="Aula 2",(C211!$A$1&amp;" "),"")&amp;IF(C212!$B$7="Aula 2",(C212!$A$1&amp;" "),"")&amp;IF(C311!$B$7="Aula 2",(C311!$A$1&amp;" "),"")&amp;IF(C312!$B$7="Aula 2",(C312!$A$1&amp;" "),"")&amp;IF(C411!$B$7="Aula 2",(C411!$A$1&amp;" "),"")&amp;IF(C412!$B$7="Aula 2",(C412!$A$1&amp;" "),"")&amp;IF(M111!$B$7="Aula 2",(M111!$A$1&amp;" "),"")&amp;IF(M211!$B$7="Aula 2",(M211!$A$1&amp;" "),"")&amp;IF(M311!$B$7="Aula 2",(M311!$A$1&amp;" "),"")&amp;IF(M411!$B$7="Aula 2",(M411!$A$1&amp;" "),""))," ",",")</f>
        <v/>
      </c>
      <c r="D3" s="2">
        <f>SUBSTITUTE(TRIM(IF(D111!$B$7="Aula 3",(D111!$A$1&amp;" "),"")&amp;IF(D211!$B$7="Aula 3",(D211!$A$1&amp;" "),"")&amp;IF(D311!$B$7="Aula 3",(D311!$A$1&amp;" "),"")&amp;IF(D411!$B$7="Aula 3",(D411!$A$1&amp;" "),"")&amp;IF(C111!$B$7="Aula 3",(C111!$A$1&amp;" "),"")&amp;IF(C121!$B$7="Aula 3",(C121!$A$1&amp;" "),"")&amp;IF(C122!$B$7="Aula 3",(C122!$A$1&amp;" "),"")&amp;IF(C211!$B$7="Aula 3",(C211!$A$1&amp;" "),"")&amp;IF(C212!$B$7="Aula 3",(C212!$A$1&amp;" "),"")&amp;IF(C311!$B$7="Aula 3",(C311!$A$1&amp;" "),"")&amp;IF(C312!$B$7="Aula 3",(C312!$A$1&amp;" "),"")&amp;IF(C411!$B$7="Aula 3",(C411!$A$1&amp;" "),"")&amp;IF(C412!$B$7="Aula 3",(C412!$A$1&amp;" "),"")&amp;IF(M111!$B$7="Aula 3",(M111!$A$1&amp;" "),"")&amp;IF(M211!$B$7="Aula 3",(M211!$A$1&amp;" "),"")&amp;IF(M311!$B$7="Aula 3",(M311!$A$1&amp;" "),"")&amp;IF(M411!$B$7="Aula 3",(M411!$A$1&amp;" "),""))," ",",")</f>
        <v/>
      </c>
      <c r="E3" s="2">
        <f>SUBSTITUTE(TRIM(IF(D111!$B$7="Aula 4",(D111!$A$1&amp;" "),"")&amp;IF(D211!$B$7="Aula 4",(D211!$A$1&amp;" "),"")&amp;IF(D311!$B$7="Aula 4",(D311!$A$1&amp;" "),"")&amp;IF(D411!$B$7="Aula 4",(D411!$A$1&amp;" "),"")&amp;IF(C111!$B$7="Aula 4",(C111!$A$1&amp;" "),"")&amp;IF(C121!$B$7="Aula 4",(C121!$A$1&amp;" "),"")&amp;IF(C122!$B$7="Aula 4",(C122!$A$1&amp;" "),"")&amp;IF(C211!$B$7="Aula 4",(C211!$A$1&amp;" "),"")&amp;IF(C212!$B$7="Aula 4",(C212!$A$1&amp;" "),"")&amp;IF(C311!$B$7="Aula 4",(C311!$A$1&amp;" "),"")&amp;IF(C312!$B$7="Aula 4",(C312!$A$1&amp;" "),"")&amp;IF(C411!$B$7="Aula 4",(C411!$A$1&amp;" "),"")&amp;IF(C412!$B$7="Aula 4",(C412!$A$1&amp;" "),"")&amp;IF(M111!$B$7="Aula 4",(M111!$A$1&amp;" "),"")&amp;IF(M211!$B$7="Aula 4",(M211!$A$1&amp;" "),"")&amp;IF(M311!$B$7="Aula 4",(M311!$A$1&amp;" "),"")&amp;IF(M411!$B$7="Aula 4",(M411!$A$1&amp;" "),""))," ",",")</f>
        <v/>
      </c>
      <c r="F3" s="2">
        <f>SUBSTITUTE(TRIM(IF(D111!$B$7="Aula 5",(D111!$A$1&amp;" "),"")&amp;IF(D211!$B$7="Aula 5",(D211!$A$1&amp;" "),"")&amp;IF(D311!$B$7="Aula 5",(D311!$A$1&amp;" "),"")&amp;IF(D411!$B$7="Aula 5",(D411!$A$1&amp;" "),"")&amp;IF(C111!$B$7="Aula 5",(C111!$A$1&amp;" "),"")&amp;IF(C121!$B$7="Aula 5",(C121!$A$1&amp;" "),"")&amp;IF(C122!$B$7="Aula 5",(C122!$A$1&amp;" "),"")&amp;IF(C211!$B$7="Aula 5",(C211!$A$1&amp;" "),"")&amp;IF(C212!$B$7="Aula 5",(C212!$A$1&amp;" "),"")&amp;IF(C311!$B$7="Aula 5",(C311!$A$1&amp;" "),"")&amp;IF(C312!$B$7="Aula 5",(C312!$A$1&amp;" "),"")&amp;IF(C411!$B$7="Aula 5",(C411!$A$1&amp;" "),"")&amp;IF(C412!$B$7="Aula 5",(C412!$A$1&amp;" "),"")&amp;IF(M111!$B$7="Aula 5",(M111!$A$1&amp;" "),"")&amp;IF(M211!$B$7="Aula 5",(M211!$A$1&amp;" "),"")&amp;IF(M311!$B$7="Aula 5",(M311!$A$1&amp;" "),"")&amp;IF(M411!$B$7="Aula 5",(M411!$A$1&amp;" "),""))," ",",")</f>
        <v/>
      </c>
      <c r="G3" s="2">
        <f>SUBSTITUTE(TRIM(IF(D111!$B$7="Aula 6",(D111!$A$1&amp;" "),"")&amp;IF(D211!$B$7="Aula 6",(D211!$A$1&amp;" "),"")&amp;IF(D311!$B$7="Aula 6",(D311!$A$1&amp;" "),"")&amp;IF(D411!$B$7="Aula 6",(D411!$A$1&amp;" "),"")&amp;IF(C111!$B$7="Aula 6",(C111!$A$1&amp;" "),"")&amp;IF(C121!$B$7="Aula 6",(C121!$A$1&amp;" "),"")&amp;IF(C122!$B$7="Aula 6",(C122!$A$1&amp;" "),"")&amp;IF(C211!$B$7="Aula 6",(C211!$A$1&amp;" "),"")&amp;IF(C212!$B$7="Aula 6",(C212!$A$1&amp;" "),"")&amp;IF(C311!$B$7="Aula 6",(C311!$A$1&amp;" "),"")&amp;IF(C312!$B$7="Aula 6",(C312!$A$1&amp;" "),"")&amp;IF(C411!$B$7="Aula 6",(C411!$A$1&amp;" "),"")&amp;IF(C412!$B$7="Aula 6",(C412!$A$1&amp;" "),"")&amp;IF(M111!$B$7="Aula 6",(M111!$A$1&amp;" "),"")&amp;IF(M211!$B$7="Aula 6",(M211!$A$1&amp;" "),"")&amp;IF(M311!$B$7="Aula 6",(M311!$A$1&amp;" "),"")&amp;IF(M411!$B$7="Aula 6",(M411!$A$1&amp;" "),""))," ",",")</f>
        <v/>
      </c>
      <c r="H3" s="2">
        <f>SUBSTITUTE(TRIM(IF(D111!$B$7="Aula 7",(D111!$A$1&amp;" "),"")&amp;IF(D211!$B$7="Aula 7",(D211!$A$1&amp;" "),"")&amp;IF(D311!$B$7="Aula 7",(D311!$A$1&amp;" "),"")&amp;IF(D411!$B$7="Aula 7",(D411!$A$1&amp;" "),"")&amp;IF(C111!$B$7="Aula 7",(C111!$A$1&amp;" "),"")&amp;IF(C121!$B$7="Aula 7",(C121!$A$1&amp;" "),"")&amp;IF(C122!$B$7="Aula 7",(C122!$A$1&amp;" "),"")&amp;IF(C211!$B$7="Aula 7",(C211!$A$1&amp;" "),"")&amp;IF(C212!$B$7="Aula 7",(C212!$A$1&amp;" "),"")&amp;IF(C311!$B$7="Aula 7",(C311!$A$1&amp;" "),"")&amp;IF(C312!$B$7="Aula 7",(C312!$A$1&amp;" "),"")&amp;IF(C411!$B$7="Aula 7",(C411!$A$1&amp;" "),"")&amp;IF(C412!$B$7="Aula 7",(C412!$A$1&amp;" "),"")&amp;IF(M111!$B$7="Aula 7",(M111!$A$1&amp;" "),"")&amp;IF(M211!$B$7="Aula 7",(M211!$A$1&amp;" "),"")&amp;IF(M311!$B$7="Aula 7",(M311!$A$1&amp;" "),"")&amp;IF(M411!$B$7="Aula 7",(M411!$A$1&amp;" "),""))," ",",")</f>
        <v/>
      </c>
      <c r="I3" s="2">
        <f>SUBSTITUTE(TRIM(IF(D111!$B$7="Aula 8",(D111!$A$1&amp;" "),"")&amp;IF(D211!$B$7="Aula 8",(D211!$A$1&amp;" "),"")&amp;IF(D311!$B$7="Aula 8",(D311!$A$1&amp;" "),"")&amp;IF(D411!$B$7="Aula 8",(D411!$A$1&amp;" "),"")&amp;IF(C111!$B$7="Aula 8",(C111!$A$1&amp;" "),"")&amp;IF(C121!$B$7="Aula 8",(C121!$A$1&amp;" "),"")&amp;IF(C122!$B$7="Aula 8",(C122!$A$1&amp;" "),"")&amp;IF(C211!$B$7="Aula 8",(C211!$A$1&amp;" "),"")&amp;IF(C212!$B$7="Aula 8",(C212!$A$1&amp;" "),"")&amp;IF(C311!$B$7="Aula 8",(C311!$A$1&amp;" "),"")&amp;IF(C312!$B$7="Aula 8",(C312!$A$1&amp;" "),"")&amp;IF(C411!$B$7="Aula 8",(C411!$A$1&amp;" "),"")&amp;IF(C412!$B$7="Aula 8",(C412!$A$1&amp;" "),"")&amp;IF(M111!$B$7="Aula 8",(M111!$A$1&amp;" "),"")&amp;IF(M211!$B$7="Aula 8",(M211!$A$1&amp;" "),"")&amp;IF(M311!$B$7="Aula 8",(M311!$A$1&amp;" "),"")&amp;IF(M411!$B$7="Aula 8",(M411!$A$1&amp;" "),""))," ",",")</f>
        <v/>
      </c>
      <c r="J3" s="2">
        <f>SUBSTITUTE(TRIM(IF(D111!$B$7="Aula 9",(D111!$A$1&amp;" "),"")&amp;IF(D211!$B$7="Aula 9",(D211!$A$1&amp;" "),"")&amp;IF(D311!$B$7="Aula 9",(D311!$A$1&amp;" "),"")&amp;IF(D411!$B$7="Aula 9",(D411!$A$1&amp;" "),"")&amp;IF(C111!$B$7="Aula 9",(C111!$A$1&amp;" "),"")&amp;IF(C121!$B$7="Aula 9",(C121!$A$1&amp;" "),"")&amp;IF(C122!$B$7="Aula 9",(C122!$A$1&amp;" "),"")&amp;IF(C211!$B$7="Aula 9",(C211!$A$1&amp;" "),"")&amp;IF(C212!$B$7="Aula 9",(C212!$A$1&amp;" "),"")&amp;IF(C311!$B$7="Aula 9",(C311!$A$1&amp;" "),"")&amp;IF(C312!$B$7="Aula 9",(C312!$A$1&amp;" "),"")&amp;IF(C411!$B$7="Aula 9",(C411!$A$1&amp;" "),"")&amp;IF(C412!$B$7="Aula 9",(C412!$A$1&amp;" "),"")&amp;IF(M111!$B$7="Aula 9",(M111!$A$1&amp;" "),"")&amp;IF(M211!$B$7="Aula 9",(M211!$A$1&amp;" "),"")&amp;IF(M311!$B$7="Aula 9",(M311!$A$1&amp;" "),"")&amp;IF(M411!$B$7="Aula 9",(M411!$A$1&amp;" "),""))," ",",")</f>
        <v/>
      </c>
      <c r="K3" s="2">
        <f>SUBSTITUTE(TRIM(IF(D111!$B$7="Lab",(D111!$A$1&amp;" "),"")&amp;IF(D211!$B$7="Lab",(D211!$A$1&amp;" "),"")&amp;IF(D311!$B$7="Lab",(D311!$A$1&amp;" "),"")&amp;IF(D411!$B$7="Lab",(D411!$A$1&amp;" "),"")&amp;IF(C111!$B$7="Lab",(C111!$A$1&amp;" "),"")&amp;IF(C121!$B$7="Lab",(C121!$A$1&amp;" "),"")&amp;IF(C122!$B$7="Lab",(C122!$A$1&amp;" "),"")&amp;IF(C211!$B$7="Lab",(C211!$A$1&amp;" "),"")&amp;IF(C212!$B$7="Lab",(C212!$A$1&amp;" "),"")&amp;IF(C311!$B$7="Lab",(C311!$A$1&amp;" "),"")&amp;IF(C312!$B$7="Lab",(C312!$A$1&amp;" "),"")&amp;IF(C411!$B$7="Lab",(C411!$A$1&amp;" "),"")&amp;IF(C412!$B$7="Lab",(C412!$A$1&amp;" "),"")&amp;IF(M111!$B$7="Lab",(M111!$A$1&amp;" "),"")&amp;IF(M211!$B$7="Lab",(M211!$A$1&amp;" "),"")&amp;IF(M311!$B$7="Lab",(M311!$A$1&amp;" "),"")&amp;IF(M411!$B$7="Lab",(M411!$A$1&amp;" "),""))," ",",")</f>
        <v/>
      </c>
      <c r="L3" t="inlineStr"/>
    </row>
    <row r="4">
      <c r="A4" s="2" t="inlineStr">
        <is>
          <t>3</t>
        </is>
      </c>
      <c r="B4" s="2">
        <f>SUBSTITUTE(TRIM(IF(D111!$B$9="Aula 1",(D111!$A$1&amp;" "),"")&amp;IF(D211!$B$9="Aula 1",(D211!$A$1&amp;" "),"")&amp;IF(D311!$B$9="Aula 1",(D311!$A$1&amp;" "),"")&amp;IF(D411!$B$9="Aula 1",(D411!$A$1&amp;" "),"")&amp;IF(C111!$B$9="Aula 1",(C111!$A$1&amp;" "),"")&amp;IF(C121!$B$9="Aula 1",(C121!$A$1&amp;" "),"")&amp;IF(C122!$B$9="Aula 1",(C122!$A$1&amp;" "),"")&amp;IF(C211!$B$9="Aula 1",(C211!$A$1&amp;" "),"")&amp;IF(C212!$B$9="Aula 1",(C212!$A$1&amp;" "),"")&amp;IF(C311!$B$9="Aula 1",(C311!$A$1&amp;" "),"")&amp;IF(C312!$B$9="Aula 1",(C312!$A$1&amp;" "),"")&amp;IF(C411!$B$9="Aula 1",(C411!$A$1&amp;" "),"")&amp;IF(C412!$B$9="Aula 1",(C412!$A$1&amp;" "),"")&amp;IF(M111!$B$9="Aula 1",(M111!$A$1&amp;" "),"")&amp;IF(M211!$B$9="Aula 1",(M211!$A$1&amp;" "),"")&amp;IF(M311!$B$9="Aula 1",(M311!$A$1&amp;" "),"")&amp;IF(M411!$B$9="Aula 1",(M411!$A$1&amp;" "),""))," ",",")</f>
        <v/>
      </c>
      <c r="C4" s="2">
        <f>SUBSTITUTE(TRIM(IF(D111!$B$9="Aula 2",(D111!$A$1&amp;" "),"")&amp;IF(D211!$B$9="Aula 2",(D211!$A$1&amp;" "),"")&amp;IF(D311!$B$9="Aula 2",(D311!$A$1&amp;" "),"")&amp;IF(D411!$B$9="Aula 2",(D411!$A$1&amp;" "),"")&amp;IF(C111!$B$9="Aula 2",(C111!$A$1&amp;" "),"")&amp;IF(C121!$B$9="Aula 2",(C121!$A$1&amp;" "),"")&amp;IF(C122!$B$9="Aula 2",(C122!$A$1&amp;" "),"")&amp;IF(C211!$B$9="Aula 2",(C211!$A$1&amp;" "),"")&amp;IF(C212!$B$9="Aula 2",(C212!$A$1&amp;" "),"")&amp;IF(C311!$B$9="Aula 2",(C311!$A$1&amp;" "),"")&amp;IF(C312!$B$9="Aula 2",(C312!$A$1&amp;" "),"")&amp;IF(C411!$B$9="Aula 2",(C411!$A$1&amp;" "),"")&amp;IF(C412!$B$9="Aula 2",(C412!$A$1&amp;" "),"")&amp;IF(M111!$B$9="Aula 2",(M111!$A$1&amp;" "),"")&amp;IF(M211!$B$9="Aula 2",(M211!$A$1&amp;" "),"")&amp;IF(M311!$B$9="Aula 2",(M311!$A$1&amp;" "),"")&amp;IF(M411!$B$9="Aula 2",(M411!$A$1&amp;" "),""))," ",",")</f>
        <v/>
      </c>
      <c r="D4" s="2">
        <f>SUBSTITUTE(TRIM(IF(D111!$B$9="Aula 3",(D111!$A$1&amp;" "),"")&amp;IF(D211!$B$9="Aula 3",(D211!$A$1&amp;" "),"")&amp;IF(D311!$B$9="Aula 3",(D311!$A$1&amp;" "),"")&amp;IF(D411!$B$9="Aula 3",(D411!$A$1&amp;" "),"")&amp;IF(C111!$B$9="Aula 3",(C111!$A$1&amp;" "),"")&amp;IF(C121!$B$9="Aula 3",(C121!$A$1&amp;" "),"")&amp;IF(C122!$B$9="Aula 3",(C122!$A$1&amp;" "),"")&amp;IF(C211!$B$9="Aula 3",(C211!$A$1&amp;" "),"")&amp;IF(C212!$B$9="Aula 3",(C212!$A$1&amp;" "),"")&amp;IF(C311!$B$9="Aula 3",(C311!$A$1&amp;" "),"")&amp;IF(C312!$B$9="Aula 3",(C312!$A$1&amp;" "),"")&amp;IF(C411!$B$9="Aula 3",(C411!$A$1&amp;" "),"")&amp;IF(C412!$B$9="Aula 3",(C412!$A$1&amp;" "),"")&amp;IF(M111!$B$9="Aula 3",(M111!$A$1&amp;" "),"")&amp;IF(M211!$B$9="Aula 3",(M211!$A$1&amp;" "),"")&amp;IF(M311!$B$9="Aula 3",(M311!$A$1&amp;" "),"")&amp;IF(M411!$B$9="Aula 3",(M411!$A$1&amp;" "),""))," ",",")</f>
        <v/>
      </c>
      <c r="E4" s="2">
        <f>SUBSTITUTE(TRIM(IF(D111!$B$9="Aula 4",(D111!$A$1&amp;" "),"")&amp;IF(D211!$B$9="Aula 4",(D211!$A$1&amp;" "),"")&amp;IF(D311!$B$9="Aula 4",(D311!$A$1&amp;" "),"")&amp;IF(D411!$B$9="Aula 4",(D411!$A$1&amp;" "),"")&amp;IF(C111!$B$9="Aula 4",(C111!$A$1&amp;" "),"")&amp;IF(C121!$B$9="Aula 4",(C121!$A$1&amp;" "),"")&amp;IF(C122!$B$9="Aula 4",(C122!$A$1&amp;" "),"")&amp;IF(C211!$B$9="Aula 4",(C211!$A$1&amp;" "),"")&amp;IF(C212!$B$9="Aula 4",(C212!$A$1&amp;" "),"")&amp;IF(C311!$B$9="Aula 4",(C311!$A$1&amp;" "),"")&amp;IF(C312!$B$9="Aula 4",(C312!$A$1&amp;" "),"")&amp;IF(C411!$B$9="Aula 4",(C411!$A$1&amp;" "),"")&amp;IF(C412!$B$9="Aula 4",(C412!$A$1&amp;" "),"")&amp;IF(M111!$B$9="Aula 4",(M111!$A$1&amp;" "),"")&amp;IF(M211!$B$9="Aula 4",(M211!$A$1&amp;" "),"")&amp;IF(M311!$B$9="Aula 4",(M311!$A$1&amp;" "),"")&amp;IF(M411!$B$9="Aula 4",(M411!$A$1&amp;" "),""))," ",",")</f>
        <v/>
      </c>
      <c r="F4" s="2">
        <f>SUBSTITUTE(TRIM(IF(D111!$B$9="Aula 5",(D111!$A$1&amp;" "),"")&amp;IF(D211!$B$9="Aula 5",(D211!$A$1&amp;" "),"")&amp;IF(D311!$B$9="Aula 5",(D311!$A$1&amp;" "),"")&amp;IF(D411!$B$9="Aula 5",(D411!$A$1&amp;" "),"")&amp;IF(C111!$B$9="Aula 5",(C111!$A$1&amp;" "),"")&amp;IF(C121!$B$9="Aula 5",(C121!$A$1&amp;" "),"")&amp;IF(C122!$B$9="Aula 5",(C122!$A$1&amp;" "),"")&amp;IF(C211!$B$9="Aula 5",(C211!$A$1&amp;" "),"")&amp;IF(C212!$B$9="Aula 5",(C212!$A$1&amp;" "),"")&amp;IF(C311!$B$9="Aula 5",(C311!$A$1&amp;" "),"")&amp;IF(C312!$B$9="Aula 5",(C312!$A$1&amp;" "),"")&amp;IF(C411!$B$9="Aula 5",(C411!$A$1&amp;" "),"")&amp;IF(C412!$B$9="Aula 5",(C412!$A$1&amp;" "),"")&amp;IF(M111!$B$9="Aula 5",(M111!$A$1&amp;" "),"")&amp;IF(M211!$B$9="Aula 5",(M211!$A$1&amp;" "),"")&amp;IF(M311!$B$9="Aula 5",(M311!$A$1&amp;" "),"")&amp;IF(M411!$B$9="Aula 5",(M411!$A$1&amp;" "),""))," ",",")</f>
        <v/>
      </c>
      <c r="G4" s="2">
        <f>SUBSTITUTE(TRIM(IF(D111!$B$9="Aula 6",(D111!$A$1&amp;" "),"")&amp;IF(D211!$B$9="Aula 6",(D211!$A$1&amp;" "),"")&amp;IF(D311!$B$9="Aula 6",(D311!$A$1&amp;" "),"")&amp;IF(D411!$B$9="Aula 6",(D411!$A$1&amp;" "),"")&amp;IF(C111!$B$9="Aula 6",(C111!$A$1&amp;" "),"")&amp;IF(C121!$B$9="Aula 6",(C121!$A$1&amp;" "),"")&amp;IF(C122!$B$9="Aula 6",(C122!$A$1&amp;" "),"")&amp;IF(C211!$B$9="Aula 6",(C211!$A$1&amp;" "),"")&amp;IF(C212!$B$9="Aula 6",(C212!$A$1&amp;" "),"")&amp;IF(C311!$B$9="Aula 6",(C311!$A$1&amp;" "),"")&amp;IF(C312!$B$9="Aula 6",(C312!$A$1&amp;" "),"")&amp;IF(C411!$B$9="Aula 6",(C411!$A$1&amp;" "),"")&amp;IF(C412!$B$9="Aula 6",(C412!$A$1&amp;" "),"")&amp;IF(M111!$B$9="Aula 6",(M111!$A$1&amp;" "),"")&amp;IF(M211!$B$9="Aula 6",(M211!$A$1&amp;" "),"")&amp;IF(M311!$B$9="Aula 6",(M311!$A$1&amp;" "),"")&amp;IF(M411!$B$9="Aula 6",(M411!$A$1&amp;" "),""))," ",",")</f>
        <v/>
      </c>
      <c r="H4" s="2">
        <f>SUBSTITUTE(TRIM(IF(D111!$B$9="Aula 7",(D111!$A$1&amp;" "),"")&amp;IF(D211!$B$9="Aula 7",(D211!$A$1&amp;" "),"")&amp;IF(D311!$B$9="Aula 7",(D311!$A$1&amp;" "),"")&amp;IF(D411!$B$9="Aula 7",(D411!$A$1&amp;" "),"")&amp;IF(C111!$B$9="Aula 7",(C111!$A$1&amp;" "),"")&amp;IF(C121!$B$9="Aula 7",(C121!$A$1&amp;" "),"")&amp;IF(C122!$B$9="Aula 7",(C122!$A$1&amp;" "),"")&amp;IF(C211!$B$9="Aula 7",(C211!$A$1&amp;" "),"")&amp;IF(C212!$B$9="Aula 7",(C212!$A$1&amp;" "),"")&amp;IF(C311!$B$9="Aula 7",(C311!$A$1&amp;" "),"")&amp;IF(C312!$B$9="Aula 7",(C312!$A$1&amp;" "),"")&amp;IF(C411!$B$9="Aula 7",(C411!$A$1&amp;" "),"")&amp;IF(C412!$B$9="Aula 7",(C412!$A$1&amp;" "),"")&amp;IF(M111!$B$9="Aula 7",(M111!$A$1&amp;" "),"")&amp;IF(M211!$B$9="Aula 7",(M211!$A$1&amp;" "),"")&amp;IF(M311!$B$9="Aula 7",(M311!$A$1&amp;" "),"")&amp;IF(M411!$B$9="Aula 7",(M411!$A$1&amp;" "),""))," ",",")</f>
        <v/>
      </c>
      <c r="I4" s="2">
        <f>SUBSTITUTE(TRIM(IF(D111!$B$9="Aula 8",(D111!$A$1&amp;" "),"")&amp;IF(D211!$B$9="Aula 8",(D211!$A$1&amp;" "),"")&amp;IF(D311!$B$9="Aula 8",(D311!$A$1&amp;" "),"")&amp;IF(D411!$B$9="Aula 8",(D411!$A$1&amp;" "),"")&amp;IF(C111!$B$9="Aula 8",(C111!$A$1&amp;" "),"")&amp;IF(C121!$B$9="Aula 8",(C121!$A$1&amp;" "),"")&amp;IF(C122!$B$9="Aula 8",(C122!$A$1&amp;" "),"")&amp;IF(C211!$B$9="Aula 8",(C211!$A$1&amp;" "),"")&amp;IF(C212!$B$9="Aula 8",(C212!$A$1&amp;" "),"")&amp;IF(C311!$B$9="Aula 8",(C311!$A$1&amp;" "),"")&amp;IF(C312!$B$9="Aula 8",(C312!$A$1&amp;" "),"")&amp;IF(C411!$B$9="Aula 8",(C411!$A$1&amp;" "),"")&amp;IF(C412!$B$9="Aula 8",(C412!$A$1&amp;" "),"")&amp;IF(M111!$B$9="Aula 8",(M111!$A$1&amp;" "),"")&amp;IF(M211!$B$9="Aula 8",(M211!$A$1&amp;" "),"")&amp;IF(M311!$B$9="Aula 8",(M311!$A$1&amp;" "),"")&amp;IF(M411!$B$9="Aula 8",(M411!$A$1&amp;" "),""))," ",",")</f>
        <v/>
      </c>
      <c r="J4" s="2">
        <f>SUBSTITUTE(TRIM(IF(D111!$B$9="Aula 9",(D111!$A$1&amp;" "),"")&amp;IF(D211!$B$9="Aula 9",(D211!$A$1&amp;" "),"")&amp;IF(D311!$B$9="Aula 9",(D311!$A$1&amp;" "),"")&amp;IF(D411!$B$9="Aula 9",(D411!$A$1&amp;" "),"")&amp;IF(C111!$B$9="Aula 9",(C111!$A$1&amp;" "),"")&amp;IF(C121!$B$9="Aula 9",(C121!$A$1&amp;" "),"")&amp;IF(C122!$B$9="Aula 9",(C122!$A$1&amp;" "),"")&amp;IF(C211!$B$9="Aula 9",(C211!$A$1&amp;" "),"")&amp;IF(C212!$B$9="Aula 9",(C212!$A$1&amp;" "),"")&amp;IF(C311!$B$9="Aula 9",(C311!$A$1&amp;" "),"")&amp;IF(C312!$B$9="Aula 9",(C312!$A$1&amp;" "),"")&amp;IF(C411!$B$9="Aula 9",(C411!$A$1&amp;" "),"")&amp;IF(C412!$B$9="Aula 9",(C412!$A$1&amp;" "),"")&amp;IF(M111!$B$9="Aula 9",(M111!$A$1&amp;" "),"")&amp;IF(M211!$B$9="Aula 9",(M211!$A$1&amp;" "),"")&amp;IF(M311!$B$9="Aula 9",(M311!$A$1&amp;" "),"")&amp;IF(M411!$B$9="Aula 9",(M411!$A$1&amp;" "),""))," ",",")</f>
        <v/>
      </c>
      <c r="K4" s="2">
        <f>SUBSTITUTE(TRIM(IF(D111!$B$9="Lab",(D111!$A$1&amp;" "),"")&amp;IF(D211!$B$9="Lab",(D211!$A$1&amp;" "),"")&amp;IF(D311!$B$9="Lab",(D311!$A$1&amp;" "),"")&amp;IF(D411!$B$9="Lab",(D411!$A$1&amp;" "),"")&amp;IF(C111!$B$9="Lab",(C111!$A$1&amp;" "),"")&amp;IF(C121!$B$9="Lab",(C121!$A$1&amp;" "),"")&amp;IF(C122!$B$9="Lab",(C122!$A$1&amp;" "),"")&amp;IF(C211!$B$9="Lab",(C211!$A$1&amp;" "),"")&amp;IF(C212!$B$9="Lab",(C212!$A$1&amp;" "),"")&amp;IF(C311!$B$9="Lab",(C311!$A$1&amp;" "),"")&amp;IF(C312!$B$9="Lab",(C312!$A$1&amp;" "),"")&amp;IF(C411!$B$9="Lab",(C411!$A$1&amp;" "),"")&amp;IF(C412!$B$9="Lab",(C412!$A$1&amp;" "),"")&amp;IF(M111!$B$9="Lab",(M111!$A$1&amp;" "),"")&amp;IF(M211!$B$9="Lab",(M211!$A$1&amp;" "),"")&amp;IF(M311!$B$9="Lab",(M311!$A$1&amp;" "),"")&amp;IF(M411!$B$9="Lab",(M411!$A$1&amp;" "),""))," ",",")</f>
        <v/>
      </c>
      <c r="L4" t="inlineStr"/>
    </row>
    <row r="5">
      <c r="A5" s="2" t="inlineStr">
        <is>
          <t>4</t>
        </is>
      </c>
      <c r="B5" s="2">
        <f>SUBSTITUTE(TRIM(IF(D111!$B$11="Aula 1",(D111!$A$1&amp;" "),"")&amp;IF(D211!$B$11="Aula 1",(D211!$A$1&amp;" "),"")&amp;IF(D311!$B$11="Aula 1",(D311!$A$1&amp;" "),"")&amp;IF(D411!$B$11="Aula 1",(D411!$A$1&amp;" "),"")&amp;IF(C111!$B$11="Aula 1",(C111!$A$1&amp;" "),"")&amp;IF(C121!$B$11="Aula 1",(C121!$A$1&amp;" "),"")&amp;IF(C122!$B$11="Aula 1",(C122!$A$1&amp;" "),"")&amp;IF(C211!$B$11="Aula 1",(C211!$A$1&amp;" "),"")&amp;IF(C212!$B$11="Aula 1",(C212!$A$1&amp;" "),"")&amp;IF(C311!$B$11="Aula 1",(C311!$A$1&amp;" "),"")&amp;IF(C312!$B$11="Aula 1",(C312!$A$1&amp;" "),"")&amp;IF(C411!$B$11="Aula 1",(C411!$A$1&amp;" "),"")&amp;IF(C412!$B$11="Aula 1",(C412!$A$1&amp;" "),"")&amp;IF(M111!$B$11="Aula 1",(M111!$A$1&amp;" "),"")&amp;IF(M211!$B$11="Aula 1",(M211!$A$1&amp;" "),"")&amp;IF(M311!$B$11="Aula 1",(M311!$A$1&amp;" "),"")&amp;IF(M411!$B$11="Aula 1",(M411!$A$1&amp;" "),""))," ",",")</f>
        <v/>
      </c>
      <c r="C5" s="2">
        <f>SUBSTITUTE(TRIM(IF(D111!$B$11="Aula 2",(D111!$A$1&amp;" "),"")&amp;IF(D211!$B$11="Aula 2",(D211!$A$1&amp;" "),"")&amp;IF(D311!$B$11="Aula 2",(D311!$A$1&amp;" "),"")&amp;IF(D411!$B$11="Aula 2",(D411!$A$1&amp;" "),"")&amp;IF(C111!$B$11="Aula 2",(C111!$A$1&amp;" "),"")&amp;IF(C121!$B$11="Aula 2",(C121!$A$1&amp;" "),"")&amp;IF(C122!$B$11="Aula 2",(C122!$A$1&amp;" "),"")&amp;IF(C211!$B$11="Aula 2",(C211!$A$1&amp;" "),"")&amp;IF(C212!$B$11="Aula 2",(C212!$A$1&amp;" "),"")&amp;IF(C311!$B$11="Aula 2",(C311!$A$1&amp;" "),"")&amp;IF(C312!$B$11="Aula 2",(C312!$A$1&amp;" "),"")&amp;IF(C411!$B$11="Aula 2",(C411!$A$1&amp;" "),"")&amp;IF(C412!$B$11="Aula 2",(C412!$A$1&amp;" "),"")&amp;IF(M111!$B$11="Aula 2",(M111!$A$1&amp;" "),"")&amp;IF(M211!$B$11="Aula 2",(M211!$A$1&amp;" "),"")&amp;IF(M311!$B$11="Aula 2",(M311!$A$1&amp;" "),"")&amp;IF(M411!$B$11="Aula 2",(M411!$A$1&amp;" "),""))," ",",")</f>
        <v/>
      </c>
      <c r="D5" s="2">
        <f>SUBSTITUTE(TRIM(IF(D111!$B$11="Aula 3",(D111!$A$1&amp;" "),"")&amp;IF(D211!$B$11="Aula 3",(D211!$A$1&amp;" "),"")&amp;IF(D311!$B$11="Aula 3",(D311!$A$1&amp;" "),"")&amp;IF(D411!$B$11="Aula 3",(D411!$A$1&amp;" "),"")&amp;IF(C111!$B$11="Aula 3",(C111!$A$1&amp;" "),"")&amp;IF(C121!$B$11="Aula 3",(C121!$A$1&amp;" "),"")&amp;IF(C122!$B$11="Aula 3",(C122!$A$1&amp;" "),"")&amp;IF(C211!$B$11="Aula 3",(C211!$A$1&amp;" "),"")&amp;IF(C212!$B$11="Aula 3",(C212!$A$1&amp;" "),"")&amp;IF(C311!$B$11="Aula 3",(C311!$A$1&amp;" "),"")&amp;IF(C312!$B$11="Aula 3",(C312!$A$1&amp;" "),"")&amp;IF(C411!$B$11="Aula 3",(C411!$A$1&amp;" "),"")&amp;IF(C412!$B$11="Aula 3",(C412!$A$1&amp;" "),"")&amp;IF(M111!$B$11="Aula 3",(M111!$A$1&amp;" "),"")&amp;IF(M211!$B$11="Aula 3",(M211!$A$1&amp;" "),"")&amp;IF(M311!$B$11="Aula 3",(M311!$A$1&amp;" "),"")&amp;IF(M411!$B$11="Aula 3",(M411!$A$1&amp;" "),""))," ",",")</f>
        <v/>
      </c>
      <c r="E5" s="2">
        <f>SUBSTITUTE(TRIM(IF(D111!$B$11="Aula 4",(D111!$A$1&amp;" "),"")&amp;IF(D211!$B$11="Aula 4",(D211!$A$1&amp;" "),"")&amp;IF(D311!$B$11="Aula 4",(D311!$A$1&amp;" "),"")&amp;IF(D411!$B$11="Aula 4",(D411!$A$1&amp;" "),"")&amp;IF(C111!$B$11="Aula 4",(C111!$A$1&amp;" "),"")&amp;IF(C121!$B$11="Aula 4",(C121!$A$1&amp;" "),"")&amp;IF(C122!$B$11="Aula 4",(C122!$A$1&amp;" "),"")&amp;IF(C211!$B$11="Aula 4",(C211!$A$1&amp;" "),"")&amp;IF(C212!$B$11="Aula 4",(C212!$A$1&amp;" "),"")&amp;IF(C311!$B$11="Aula 4",(C311!$A$1&amp;" "),"")&amp;IF(C312!$B$11="Aula 4",(C312!$A$1&amp;" "),"")&amp;IF(C411!$B$11="Aula 4",(C411!$A$1&amp;" "),"")&amp;IF(C412!$B$11="Aula 4",(C412!$A$1&amp;" "),"")&amp;IF(M111!$B$11="Aula 4",(M111!$A$1&amp;" "),"")&amp;IF(M211!$B$11="Aula 4",(M211!$A$1&amp;" "),"")&amp;IF(M311!$B$11="Aula 4",(M311!$A$1&amp;" "),"")&amp;IF(M411!$B$11="Aula 4",(M411!$A$1&amp;" "),""))," ",",")</f>
        <v/>
      </c>
      <c r="F5" s="2">
        <f>SUBSTITUTE(TRIM(IF(D111!$B$11="Aula 5",(D111!$A$1&amp;" "),"")&amp;IF(D211!$B$11="Aula 5",(D211!$A$1&amp;" "),"")&amp;IF(D311!$B$11="Aula 5",(D311!$A$1&amp;" "),"")&amp;IF(D411!$B$11="Aula 5",(D411!$A$1&amp;" "),"")&amp;IF(C111!$B$11="Aula 5",(C111!$A$1&amp;" "),"")&amp;IF(C121!$B$11="Aula 5",(C121!$A$1&amp;" "),"")&amp;IF(C122!$B$11="Aula 5",(C122!$A$1&amp;" "),"")&amp;IF(C211!$B$11="Aula 5",(C211!$A$1&amp;" "),"")&amp;IF(C212!$B$11="Aula 5",(C212!$A$1&amp;" "),"")&amp;IF(C311!$B$11="Aula 5",(C311!$A$1&amp;" "),"")&amp;IF(C312!$B$11="Aula 5",(C312!$A$1&amp;" "),"")&amp;IF(C411!$B$11="Aula 5",(C411!$A$1&amp;" "),"")&amp;IF(C412!$B$11="Aula 5",(C412!$A$1&amp;" "),"")&amp;IF(M111!$B$11="Aula 5",(M111!$A$1&amp;" "),"")&amp;IF(M211!$B$11="Aula 5",(M211!$A$1&amp;" "),"")&amp;IF(M311!$B$11="Aula 5",(M311!$A$1&amp;" "),"")&amp;IF(M411!$B$11="Aula 5",(M411!$A$1&amp;" "),""))," ",",")</f>
        <v/>
      </c>
      <c r="G5" s="2">
        <f>SUBSTITUTE(TRIM(IF(D111!$B$11="Aula 6",(D111!$A$1&amp;" "),"")&amp;IF(D211!$B$11="Aula 6",(D211!$A$1&amp;" "),"")&amp;IF(D311!$B$11="Aula 6",(D311!$A$1&amp;" "),"")&amp;IF(D411!$B$11="Aula 6",(D411!$A$1&amp;" "),"")&amp;IF(C111!$B$11="Aula 6",(C111!$A$1&amp;" "),"")&amp;IF(C121!$B$11="Aula 6",(C121!$A$1&amp;" "),"")&amp;IF(C122!$B$11="Aula 6",(C122!$A$1&amp;" "),"")&amp;IF(C211!$B$11="Aula 6",(C211!$A$1&amp;" "),"")&amp;IF(C212!$B$11="Aula 6",(C212!$A$1&amp;" "),"")&amp;IF(C311!$B$11="Aula 6",(C311!$A$1&amp;" "),"")&amp;IF(C312!$B$11="Aula 6",(C312!$A$1&amp;" "),"")&amp;IF(C411!$B$11="Aula 6",(C411!$A$1&amp;" "),"")&amp;IF(C412!$B$11="Aula 6",(C412!$A$1&amp;" "),"")&amp;IF(M111!$B$11="Aula 6",(M111!$A$1&amp;" "),"")&amp;IF(M211!$B$11="Aula 6",(M211!$A$1&amp;" "),"")&amp;IF(M311!$B$11="Aula 6",(M311!$A$1&amp;" "),"")&amp;IF(M411!$B$11="Aula 6",(M411!$A$1&amp;" "),""))," ",",")</f>
        <v/>
      </c>
      <c r="H5" s="2">
        <f>SUBSTITUTE(TRIM(IF(D111!$B$11="Aula 7",(D111!$A$1&amp;" "),"")&amp;IF(D211!$B$11="Aula 7",(D211!$A$1&amp;" "),"")&amp;IF(D311!$B$11="Aula 7",(D311!$A$1&amp;" "),"")&amp;IF(D411!$B$11="Aula 7",(D411!$A$1&amp;" "),"")&amp;IF(C111!$B$11="Aula 7",(C111!$A$1&amp;" "),"")&amp;IF(C121!$B$11="Aula 7",(C121!$A$1&amp;" "),"")&amp;IF(C122!$B$11="Aula 7",(C122!$A$1&amp;" "),"")&amp;IF(C211!$B$11="Aula 7",(C211!$A$1&amp;" "),"")&amp;IF(C212!$B$11="Aula 7",(C212!$A$1&amp;" "),"")&amp;IF(C311!$B$11="Aula 7",(C311!$A$1&amp;" "),"")&amp;IF(C312!$B$11="Aula 7",(C312!$A$1&amp;" "),"")&amp;IF(C411!$B$11="Aula 7",(C411!$A$1&amp;" "),"")&amp;IF(C412!$B$11="Aula 7",(C412!$A$1&amp;" "),"")&amp;IF(M111!$B$11="Aula 7",(M111!$A$1&amp;" "),"")&amp;IF(M211!$B$11="Aula 7",(M211!$A$1&amp;" "),"")&amp;IF(M311!$B$11="Aula 7",(M311!$A$1&amp;" "),"")&amp;IF(M411!$B$11="Aula 7",(M411!$A$1&amp;" "),""))," ",",")</f>
        <v/>
      </c>
      <c r="I5" s="2">
        <f>SUBSTITUTE(TRIM(IF(D111!$B$11="Aula 8",(D111!$A$1&amp;" "),"")&amp;IF(D211!$B$11="Aula 8",(D211!$A$1&amp;" "),"")&amp;IF(D311!$B$11="Aula 8",(D311!$A$1&amp;" "),"")&amp;IF(D411!$B$11="Aula 8",(D411!$A$1&amp;" "),"")&amp;IF(C111!$B$11="Aula 8",(C111!$A$1&amp;" "),"")&amp;IF(C121!$B$11="Aula 8",(C121!$A$1&amp;" "),"")&amp;IF(C122!$B$11="Aula 8",(C122!$A$1&amp;" "),"")&amp;IF(C211!$B$11="Aula 8",(C211!$A$1&amp;" "),"")&amp;IF(C212!$B$11="Aula 8",(C212!$A$1&amp;" "),"")&amp;IF(C311!$B$11="Aula 8",(C311!$A$1&amp;" "),"")&amp;IF(C312!$B$11="Aula 8",(C312!$A$1&amp;" "),"")&amp;IF(C411!$B$11="Aula 8",(C411!$A$1&amp;" "),"")&amp;IF(C412!$B$11="Aula 8",(C412!$A$1&amp;" "),"")&amp;IF(M111!$B$11="Aula 8",(M111!$A$1&amp;" "),"")&amp;IF(M211!$B$11="Aula 8",(M211!$A$1&amp;" "),"")&amp;IF(M311!$B$11="Aula 8",(M311!$A$1&amp;" "),"")&amp;IF(M411!$B$11="Aula 8",(M411!$A$1&amp;" "),""))," ",",")</f>
        <v/>
      </c>
      <c r="J5" s="2">
        <f>SUBSTITUTE(TRIM(IF(D111!$B$11="Aula 9",(D111!$A$1&amp;" "),"")&amp;IF(D211!$B$11="Aula 9",(D211!$A$1&amp;" "),"")&amp;IF(D311!$B$11="Aula 9",(D311!$A$1&amp;" "),"")&amp;IF(D411!$B$11="Aula 9",(D411!$A$1&amp;" "),"")&amp;IF(C111!$B$11="Aula 9",(C111!$A$1&amp;" "),"")&amp;IF(C121!$B$11="Aula 9",(C121!$A$1&amp;" "),"")&amp;IF(C122!$B$11="Aula 9",(C122!$A$1&amp;" "),"")&amp;IF(C211!$B$11="Aula 9",(C211!$A$1&amp;" "),"")&amp;IF(C212!$B$11="Aula 9",(C212!$A$1&amp;" "),"")&amp;IF(C311!$B$11="Aula 9",(C311!$A$1&amp;" "),"")&amp;IF(C312!$B$11="Aula 9",(C312!$A$1&amp;" "),"")&amp;IF(C411!$B$11="Aula 9",(C411!$A$1&amp;" "),"")&amp;IF(C412!$B$11="Aula 9",(C412!$A$1&amp;" "),"")&amp;IF(M111!$B$11="Aula 9",(M111!$A$1&amp;" "),"")&amp;IF(M211!$B$11="Aula 9",(M211!$A$1&amp;" "),"")&amp;IF(M311!$B$11="Aula 9",(M311!$A$1&amp;" "),"")&amp;IF(M411!$B$11="Aula 9",(M411!$A$1&amp;" "),""))," ",",")</f>
        <v/>
      </c>
      <c r="K5" s="2">
        <f>SUBSTITUTE(TRIM(IF(D111!$B$11="Lab",(D111!$A$1&amp;" "),"")&amp;IF(D211!$B$11="Lab",(D211!$A$1&amp;" "),"")&amp;IF(D311!$B$11="Lab",(D311!$A$1&amp;" "),"")&amp;IF(D411!$B$11="Lab",(D411!$A$1&amp;" "),"")&amp;IF(C111!$B$11="Lab",(C111!$A$1&amp;" "),"")&amp;IF(C121!$B$11="Lab",(C121!$A$1&amp;" "),"")&amp;IF(C122!$B$11="Lab",(C122!$A$1&amp;" "),"")&amp;IF(C211!$B$11="Lab",(C211!$A$1&amp;" "),"")&amp;IF(C212!$B$11="Lab",(C212!$A$1&amp;" "),"")&amp;IF(C311!$B$11="Lab",(C311!$A$1&amp;" "),"")&amp;IF(C312!$B$11="Lab",(C312!$A$1&amp;" "),"")&amp;IF(C411!$B$11="Lab",(C411!$A$1&amp;" "),"")&amp;IF(C412!$B$11="Lab",(C412!$A$1&amp;" "),"")&amp;IF(M111!$B$11="Lab",(M111!$A$1&amp;" "),"")&amp;IF(M211!$B$11="Lab",(M211!$A$1&amp;" "),"")&amp;IF(M311!$B$11="Lab",(M311!$A$1&amp;" "),"")&amp;IF(M411!$B$11="Lab",(M411!$A$1&amp;" "),""))," ",",")</f>
        <v/>
      </c>
      <c r="L5" t="inlineStr"/>
    </row>
    <row r="6">
      <c r="A6" s="2" t="inlineStr">
        <is>
          <t>5</t>
        </is>
      </c>
      <c r="B6" s="2">
        <f>SUBSTITUTE(TRIM(IF(D111!$B$13="Aula 1",(D111!$A$1&amp;" "),"")&amp;IF(D211!$B$13="Aula 1",(D211!$A$1&amp;" "),"")&amp;IF(D311!$B$13="Aula 1",(D311!$A$1&amp;" "),"")&amp;IF(D411!$B$13="Aula 1",(D411!$A$1&amp;" "),"")&amp;IF(C111!$B$13="Aula 1",(C111!$A$1&amp;" "),"")&amp;IF(C121!$B$13="Aula 1",(C121!$A$1&amp;" "),"")&amp;IF(C122!$B$13="Aula 1",(C122!$A$1&amp;" "),"")&amp;IF(C211!$B$13="Aula 1",(C211!$A$1&amp;" "),"")&amp;IF(C212!$B$13="Aula 1",(C212!$A$1&amp;" "),"")&amp;IF(C311!$B$13="Aula 1",(C311!$A$1&amp;" "),"")&amp;IF(C312!$B$13="Aula 1",(C312!$A$1&amp;" "),"")&amp;IF(C411!$B$13="Aula 1",(C411!$A$1&amp;" "),"")&amp;IF(C412!$B$13="Aula 1",(C412!$A$1&amp;" "),"")&amp;IF(M111!$B$13="Aula 1",(M111!$A$1&amp;" "),"")&amp;IF(M211!$B$13="Aula 1",(M211!$A$1&amp;" "),"")&amp;IF(M311!$B$13="Aula 1",(M311!$A$1&amp;" "),"")&amp;IF(M411!$B$13="Aula 1",(M411!$A$1&amp;" "),""))," ",",")</f>
        <v/>
      </c>
      <c r="C6" s="2">
        <f>SUBSTITUTE(TRIM(IF(D111!$B$13="Aula 2",(D111!$A$1&amp;" "),"")&amp;IF(D211!$B$13="Aula 2",(D211!$A$1&amp;" "),"")&amp;IF(D311!$B$13="Aula 2",(D311!$A$1&amp;" "),"")&amp;IF(D411!$B$13="Aula 2",(D411!$A$1&amp;" "),"")&amp;IF(C111!$B$13="Aula 2",(C111!$A$1&amp;" "),"")&amp;IF(C121!$B$13="Aula 2",(C121!$A$1&amp;" "),"")&amp;IF(C122!$B$13="Aula 2",(C122!$A$1&amp;" "),"")&amp;IF(C211!$B$13="Aula 2",(C211!$A$1&amp;" "),"")&amp;IF(C212!$B$13="Aula 2",(C212!$A$1&amp;" "),"")&amp;IF(C311!$B$13="Aula 2",(C311!$A$1&amp;" "),"")&amp;IF(C312!$B$13="Aula 2",(C312!$A$1&amp;" "),"")&amp;IF(C411!$B$13="Aula 2",(C411!$A$1&amp;" "),"")&amp;IF(C412!$B$13="Aula 2",(C412!$A$1&amp;" "),"")&amp;IF(M111!$B$13="Aula 2",(M111!$A$1&amp;" "),"")&amp;IF(M211!$B$13="Aula 2",(M211!$A$1&amp;" "),"")&amp;IF(M311!$B$13="Aula 2",(M311!$A$1&amp;" "),"")&amp;IF(M411!$B$13="Aula 2",(M411!$A$1&amp;" "),""))," ",",")</f>
        <v/>
      </c>
      <c r="D6" s="2">
        <f>SUBSTITUTE(TRIM(IF(D111!$B$13="Aula 3",(D111!$A$1&amp;" "),"")&amp;IF(D211!$B$13="Aula 3",(D211!$A$1&amp;" "),"")&amp;IF(D311!$B$13="Aula 3",(D311!$A$1&amp;" "),"")&amp;IF(D411!$B$13="Aula 3",(D411!$A$1&amp;" "),"")&amp;IF(C111!$B$13="Aula 3",(C111!$A$1&amp;" "),"")&amp;IF(C121!$B$13="Aula 3",(C121!$A$1&amp;" "),"")&amp;IF(C122!$B$13="Aula 3",(C122!$A$1&amp;" "),"")&amp;IF(C211!$B$13="Aula 3",(C211!$A$1&amp;" "),"")&amp;IF(C212!$B$13="Aula 3",(C212!$A$1&amp;" "),"")&amp;IF(C311!$B$13="Aula 3",(C311!$A$1&amp;" "),"")&amp;IF(C312!$B$13="Aula 3",(C312!$A$1&amp;" "),"")&amp;IF(C411!$B$13="Aula 3",(C411!$A$1&amp;" "),"")&amp;IF(C412!$B$13="Aula 3",(C412!$A$1&amp;" "),"")&amp;IF(M111!$B$13="Aula 3",(M111!$A$1&amp;" "),"")&amp;IF(M211!$B$13="Aula 3",(M211!$A$1&amp;" "),"")&amp;IF(M311!$B$13="Aula 3",(M311!$A$1&amp;" "),"")&amp;IF(M411!$B$13="Aula 3",(M411!$A$1&amp;" "),""))," ",",")</f>
        <v/>
      </c>
      <c r="E6" s="2">
        <f>SUBSTITUTE(TRIM(IF(D111!$B$13="Aula 4",(D111!$A$1&amp;" "),"")&amp;IF(D211!$B$13="Aula 4",(D211!$A$1&amp;" "),"")&amp;IF(D311!$B$13="Aula 4",(D311!$A$1&amp;" "),"")&amp;IF(D411!$B$13="Aula 4",(D411!$A$1&amp;" "),"")&amp;IF(C111!$B$13="Aula 4",(C111!$A$1&amp;" "),"")&amp;IF(C121!$B$13="Aula 4",(C121!$A$1&amp;" "),"")&amp;IF(C122!$B$13="Aula 4",(C122!$A$1&amp;" "),"")&amp;IF(C211!$B$13="Aula 4",(C211!$A$1&amp;" "),"")&amp;IF(C212!$B$13="Aula 4",(C212!$A$1&amp;" "),"")&amp;IF(C311!$B$13="Aula 4",(C311!$A$1&amp;" "),"")&amp;IF(C312!$B$13="Aula 4",(C312!$A$1&amp;" "),"")&amp;IF(C411!$B$13="Aula 4",(C411!$A$1&amp;" "),"")&amp;IF(C412!$B$13="Aula 4",(C412!$A$1&amp;" "),"")&amp;IF(M111!$B$13="Aula 4",(M111!$A$1&amp;" "),"")&amp;IF(M211!$B$13="Aula 4",(M211!$A$1&amp;" "),"")&amp;IF(M311!$B$13="Aula 4",(M311!$A$1&amp;" "),"")&amp;IF(M411!$B$13="Aula 4",(M411!$A$1&amp;" "),""))," ",",")</f>
        <v/>
      </c>
      <c r="F6" s="2">
        <f>SUBSTITUTE(TRIM(IF(D111!$B$13="Aula 5",(D111!$A$1&amp;" "),"")&amp;IF(D211!$B$13="Aula 5",(D211!$A$1&amp;" "),"")&amp;IF(D311!$B$13="Aula 5",(D311!$A$1&amp;" "),"")&amp;IF(D411!$B$13="Aula 5",(D411!$A$1&amp;" "),"")&amp;IF(C111!$B$13="Aula 5",(C111!$A$1&amp;" "),"")&amp;IF(C121!$B$13="Aula 5",(C121!$A$1&amp;" "),"")&amp;IF(C122!$B$13="Aula 5",(C122!$A$1&amp;" "),"")&amp;IF(C211!$B$13="Aula 5",(C211!$A$1&amp;" "),"")&amp;IF(C212!$B$13="Aula 5",(C212!$A$1&amp;" "),"")&amp;IF(C311!$B$13="Aula 5",(C311!$A$1&amp;" "),"")&amp;IF(C312!$B$13="Aula 5",(C312!$A$1&amp;" "),"")&amp;IF(C411!$B$13="Aula 5",(C411!$A$1&amp;" "),"")&amp;IF(C412!$B$13="Aula 5",(C412!$A$1&amp;" "),"")&amp;IF(M111!$B$13="Aula 5",(M111!$A$1&amp;" "),"")&amp;IF(M211!$B$13="Aula 5",(M211!$A$1&amp;" "),"")&amp;IF(M311!$B$13="Aula 5",(M311!$A$1&amp;" "),"")&amp;IF(M411!$B$13="Aula 5",(M411!$A$1&amp;" "),""))," ",",")</f>
        <v/>
      </c>
      <c r="G6" s="2">
        <f>SUBSTITUTE(TRIM(IF(D111!$B$13="Aula 6",(D111!$A$1&amp;" "),"")&amp;IF(D211!$B$13="Aula 6",(D211!$A$1&amp;" "),"")&amp;IF(D311!$B$13="Aula 6",(D311!$A$1&amp;" "),"")&amp;IF(D411!$B$13="Aula 6",(D411!$A$1&amp;" "),"")&amp;IF(C111!$B$13="Aula 6",(C111!$A$1&amp;" "),"")&amp;IF(C121!$B$13="Aula 6",(C121!$A$1&amp;" "),"")&amp;IF(C122!$B$13="Aula 6",(C122!$A$1&amp;" "),"")&amp;IF(C211!$B$13="Aula 6",(C211!$A$1&amp;" "),"")&amp;IF(C212!$B$13="Aula 6",(C212!$A$1&amp;" "),"")&amp;IF(C311!$B$13="Aula 6",(C311!$A$1&amp;" "),"")&amp;IF(C312!$B$13="Aula 6",(C312!$A$1&amp;" "),"")&amp;IF(C411!$B$13="Aula 6",(C411!$A$1&amp;" "),"")&amp;IF(C412!$B$13="Aula 6",(C412!$A$1&amp;" "),"")&amp;IF(M111!$B$13="Aula 6",(M111!$A$1&amp;" "),"")&amp;IF(M211!$B$13="Aula 6",(M211!$A$1&amp;" "),"")&amp;IF(M311!$B$13="Aula 6",(M311!$A$1&amp;" "),"")&amp;IF(M411!$B$13="Aula 6",(M411!$A$1&amp;" "),""))," ",",")</f>
        <v/>
      </c>
      <c r="H6" s="2">
        <f>SUBSTITUTE(TRIM(IF(D111!$B$13="Aula 7",(D111!$A$1&amp;" "),"")&amp;IF(D211!$B$13="Aula 7",(D211!$A$1&amp;" "),"")&amp;IF(D311!$B$13="Aula 7",(D311!$A$1&amp;" "),"")&amp;IF(D411!$B$13="Aula 7",(D411!$A$1&amp;" "),"")&amp;IF(C111!$B$13="Aula 7",(C111!$A$1&amp;" "),"")&amp;IF(C121!$B$13="Aula 7",(C121!$A$1&amp;" "),"")&amp;IF(C122!$B$13="Aula 7",(C122!$A$1&amp;" "),"")&amp;IF(C211!$B$13="Aula 7",(C211!$A$1&amp;" "),"")&amp;IF(C212!$B$13="Aula 7",(C212!$A$1&amp;" "),"")&amp;IF(C311!$B$13="Aula 7",(C311!$A$1&amp;" "),"")&amp;IF(C312!$B$13="Aula 7",(C312!$A$1&amp;" "),"")&amp;IF(C411!$B$13="Aula 7",(C411!$A$1&amp;" "),"")&amp;IF(C412!$B$13="Aula 7",(C412!$A$1&amp;" "),"")&amp;IF(M111!$B$13="Aula 7",(M111!$A$1&amp;" "),"")&amp;IF(M211!$B$13="Aula 7",(M211!$A$1&amp;" "),"")&amp;IF(M311!$B$13="Aula 7",(M311!$A$1&amp;" "),"")&amp;IF(M411!$B$13="Aula 7",(M411!$A$1&amp;" "),""))," ",",")</f>
        <v/>
      </c>
      <c r="I6" s="2">
        <f>SUBSTITUTE(TRIM(IF(D111!$B$13="Aula 8",(D111!$A$1&amp;" "),"")&amp;IF(D211!$B$13="Aula 8",(D211!$A$1&amp;" "),"")&amp;IF(D311!$B$13="Aula 8",(D311!$A$1&amp;" "),"")&amp;IF(D411!$B$13="Aula 8",(D411!$A$1&amp;" "),"")&amp;IF(C111!$B$13="Aula 8",(C111!$A$1&amp;" "),"")&amp;IF(C121!$B$13="Aula 8",(C121!$A$1&amp;" "),"")&amp;IF(C122!$B$13="Aula 8",(C122!$A$1&amp;" "),"")&amp;IF(C211!$B$13="Aula 8",(C211!$A$1&amp;" "),"")&amp;IF(C212!$B$13="Aula 8",(C212!$A$1&amp;" "),"")&amp;IF(C311!$B$13="Aula 8",(C311!$A$1&amp;" "),"")&amp;IF(C312!$B$13="Aula 8",(C312!$A$1&amp;" "),"")&amp;IF(C411!$B$13="Aula 8",(C411!$A$1&amp;" "),"")&amp;IF(C412!$B$13="Aula 8",(C412!$A$1&amp;" "),"")&amp;IF(M111!$B$13="Aula 8",(M111!$A$1&amp;" "),"")&amp;IF(M211!$B$13="Aula 8",(M211!$A$1&amp;" "),"")&amp;IF(M311!$B$13="Aula 8",(M311!$A$1&amp;" "),"")&amp;IF(M411!$B$13="Aula 8",(M411!$A$1&amp;" "),""))," ",",")</f>
        <v/>
      </c>
      <c r="J6" s="2">
        <f>SUBSTITUTE(TRIM(IF(D111!$B$13="Aula 9",(D111!$A$1&amp;" "),"")&amp;IF(D211!$B$13="Aula 9",(D211!$A$1&amp;" "),"")&amp;IF(D311!$B$13="Aula 9",(D311!$A$1&amp;" "),"")&amp;IF(D411!$B$13="Aula 9",(D411!$A$1&amp;" "),"")&amp;IF(C111!$B$13="Aula 9",(C111!$A$1&amp;" "),"")&amp;IF(C121!$B$13="Aula 9",(C121!$A$1&amp;" "),"")&amp;IF(C122!$B$13="Aula 9",(C122!$A$1&amp;" "),"")&amp;IF(C211!$B$13="Aula 9",(C211!$A$1&amp;" "),"")&amp;IF(C212!$B$13="Aula 9",(C212!$A$1&amp;" "),"")&amp;IF(C311!$B$13="Aula 9",(C311!$A$1&amp;" "),"")&amp;IF(C312!$B$13="Aula 9",(C312!$A$1&amp;" "),"")&amp;IF(C411!$B$13="Aula 9",(C411!$A$1&amp;" "),"")&amp;IF(C412!$B$13="Aula 9",(C412!$A$1&amp;" "),"")&amp;IF(M111!$B$13="Aula 9",(M111!$A$1&amp;" "),"")&amp;IF(M211!$B$13="Aula 9",(M211!$A$1&amp;" "),"")&amp;IF(M311!$B$13="Aula 9",(M311!$A$1&amp;" "),"")&amp;IF(M411!$B$13="Aula 9",(M411!$A$1&amp;" "),""))," ",",")</f>
        <v/>
      </c>
      <c r="K6" s="2">
        <f>SUBSTITUTE(TRIM(IF(D111!$B$13="Lab",(D111!$A$1&amp;" "),"")&amp;IF(D211!$B$13="Lab",(D211!$A$1&amp;" "),"")&amp;IF(D311!$B$13="Lab",(D311!$A$1&amp;" "),"")&amp;IF(D411!$B$13="Lab",(D411!$A$1&amp;" "),"")&amp;IF(C111!$B$13="Lab",(C111!$A$1&amp;" "),"")&amp;IF(C121!$B$13="Lab",(C121!$A$1&amp;" "),"")&amp;IF(C122!$B$13="Lab",(C122!$A$1&amp;" "),"")&amp;IF(C211!$B$13="Lab",(C211!$A$1&amp;" "),"")&amp;IF(C212!$B$13="Lab",(C212!$A$1&amp;" "),"")&amp;IF(C311!$B$13="Lab",(C311!$A$1&amp;" "),"")&amp;IF(C312!$B$13="Lab",(C312!$A$1&amp;" "),"")&amp;IF(C411!$B$13="Lab",(C411!$A$1&amp;" "),"")&amp;IF(C412!$B$13="Lab",(C412!$A$1&amp;" "),"")&amp;IF(M111!$B$13="Lab",(M111!$A$1&amp;" "),"")&amp;IF(M211!$B$13="Lab",(M211!$A$1&amp;" "),"")&amp;IF(M311!$B$13="Lab",(M311!$A$1&amp;" "),"")&amp;IF(M411!$B$13="Lab",(M411!$A$1&amp;" "),""))," ",",")</f>
        <v/>
      </c>
      <c r="L6" t="inlineStr"/>
    </row>
    <row r="7">
      <c r="A7" s="2" t="inlineStr">
        <is>
          <t>6</t>
        </is>
      </c>
      <c r="B7" s="2">
        <f>SUBSTITUTE(TRIM(IF(D111!$B$15="Aula 1",(D111!$A$1&amp;" "),"")&amp;IF(D211!$B$15="Aula 1",(D211!$A$1&amp;" "),"")&amp;IF(D311!$B$15="Aula 1",(D311!$A$1&amp;" "),"")&amp;IF(D411!$B$15="Aula 1",(D411!$A$1&amp;" "),"")&amp;IF(C111!$B$15="Aula 1",(C111!$A$1&amp;" "),"")&amp;IF(C121!$B$15="Aula 1",(C121!$A$1&amp;" "),"")&amp;IF(C122!$B$15="Aula 1",(C122!$A$1&amp;" "),"")&amp;IF(C211!$B$15="Aula 1",(C211!$A$1&amp;" "),"")&amp;IF(C212!$B$15="Aula 1",(C212!$A$1&amp;" "),"")&amp;IF(C311!$B$15="Aula 1",(C311!$A$1&amp;" "),"")&amp;IF(C312!$B$15="Aula 1",(C312!$A$1&amp;" "),"")&amp;IF(C411!$B$15="Aula 1",(C411!$A$1&amp;" "),"")&amp;IF(C412!$B$15="Aula 1",(C412!$A$1&amp;" "),"")&amp;IF(M111!$B$15="Aula 1",(M111!$A$1&amp;" "),"")&amp;IF(M211!$B$15="Aula 1",(M211!$A$1&amp;" "),"")&amp;IF(M311!$B$15="Aula 1",(M311!$A$1&amp;" "),"")&amp;IF(M411!$B$15="Aula 1",(M411!$A$1&amp;" "),""))," ",",")</f>
        <v/>
      </c>
      <c r="C7" s="2">
        <f>SUBSTITUTE(TRIM(IF(D111!$B$15="Aula 2",(D111!$A$1&amp;" "),"")&amp;IF(D211!$B$15="Aula 2",(D211!$A$1&amp;" "),"")&amp;IF(D311!$B$15="Aula 2",(D311!$A$1&amp;" "),"")&amp;IF(D411!$B$15="Aula 2",(D411!$A$1&amp;" "),"")&amp;IF(C111!$B$15="Aula 2",(C111!$A$1&amp;" "),"")&amp;IF(C121!$B$15="Aula 2",(C121!$A$1&amp;" "),"")&amp;IF(C122!$B$15="Aula 2",(C122!$A$1&amp;" "),"")&amp;IF(C211!$B$15="Aula 2",(C211!$A$1&amp;" "),"")&amp;IF(C212!$B$15="Aula 2",(C212!$A$1&amp;" "),"")&amp;IF(C311!$B$15="Aula 2",(C311!$A$1&amp;" "),"")&amp;IF(C312!$B$15="Aula 2",(C312!$A$1&amp;" "),"")&amp;IF(C411!$B$15="Aula 2",(C411!$A$1&amp;" "),"")&amp;IF(C412!$B$15="Aula 2",(C412!$A$1&amp;" "),"")&amp;IF(M111!$B$15="Aula 2",(M111!$A$1&amp;" "),"")&amp;IF(M211!$B$15="Aula 2",(M211!$A$1&amp;" "),"")&amp;IF(M311!$B$15="Aula 2",(M311!$A$1&amp;" "),"")&amp;IF(M411!$B$15="Aula 2",(M411!$A$1&amp;" "),""))," ",",")</f>
        <v/>
      </c>
      <c r="D7" s="2">
        <f>SUBSTITUTE(TRIM(IF(D111!$B$15="Aula 3",(D111!$A$1&amp;" "),"")&amp;IF(D211!$B$15="Aula 3",(D211!$A$1&amp;" "),"")&amp;IF(D311!$B$15="Aula 3",(D311!$A$1&amp;" "),"")&amp;IF(D411!$B$15="Aula 3",(D411!$A$1&amp;" "),"")&amp;IF(C111!$B$15="Aula 3",(C111!$A$1&amp;" "),"")&amp;IF(C121!$B$15="Aula 3",(C121!$A$1&amp;" "),"")&amp;IF(C122!$B$15="Aula 3",(C122!$A$1&amp;" "),"")&amp;IF(C211!$B$15="Aula 3",(C211!$A$1&amp;" "),"")&amp;IF(C212!$B$15="Aula 3",(C212!$A$1&amp;" "),"")&amp;IF(C311!$B$15="Aula 3",(C311!$A$1&amp;" "),"")&amp;IF(C312!$B$15="Aula 3",(C312!$A$1&amp;" "),"")&amp;IF(C411!$B$15="Aula 3",(C411!$A$1&amp;" "),"")&amp;IF(C412!$B$15="Aula 3",(C412!$A$1&amp;" "),"")&amp;IF(M111!$B$15="Aula 3",(M111!$A$1&amp;" "),"")&amp;IF(M211!$B$15="Aula 3",(M211!$A$1&amp;" "),"")&amp;IF(M311!$B$15="Aula 3",(M311!$A$1&amp;" "),"")&amp;IF(M411!$B$15="Aula 3",(M411!$A$1&amp;" "),""))," ",",")</f>
        <v/>
      </c>
      <c r="E7" s="2">
        <f>SUBSTITUTE(TRIM(IF(D111!$B$15="Aula 4",(D111!$A$1&amp;" "),"")&amp;IF(D211!$B$15="Aula 4",(D211!$A$1&amp;" "),"")&amp;IF(D311!$B$15="Aula 4",(D311!$A$1&amp;" "),"")&amp;IF(D411!$B$15="Aula 4",(D411!$A$1&amp;" "),"")&amp;IF(C111!$B$15="Aula 4",(C111!$A$1&amp;" "),"")&amp;IF(C121!$B$15="Aula 4",(C121!$A$1&amp;" "),"")&amp;IF(C122!$B$15="Aula 4",(C122!$A$1&amp;" "),"")&amp;IF(C211!$B$15="Aula 4",(C211!$A$1&amp;" "),"")&amp;IF(C212!$B$15="Aula 4",(C212!$A$1&amp;" "),"")&amp;IF(C311!$B$15="Aula 4",(C311!$A$1&amp;" "),"")&amp;IF(C312!$B$15="Aula 4",(C312!$A$1&amp;" "),"")&amp;IF(C411!$B$15="Aula 4",(C411!$A$1&amp;" "),"")&amp;IF(C412!$B$15="Aula 4",(C412!$A$1&amp;" "),"")&amp;IF(M111!$B$15="Aula 4",(M111!$A$1&amp;" "),"")&amp;IF(M211!$B$15="Aula 4",(M211!$A$1&amp;" "),"")&amp;IF(M311!$B$15="Aula 4",(M311!$A$1&amp;" "),"")&amp;IF(M411!$B$15="Aula 4",(M411!$A$1&amp;" "),""))," ",",")</f>
        <v/>
      </c>
      <c r="F7" s="2">
        <f>SUBSTITUTE(TRIM(IF(D111!$B$15="Aula 5",(D111!$A$1&amp;" "),"")&amp;IF(D211!$B$15="Aula 5",(D211!$A$1&amp;" "),"")&amp;IF(D311!$B$15="Aula 5",(D311!$A$1&amp;" "),"")&amp;IF(D411!$B$15="Aula 5",(D411!$A$1&amp;" "),"")&amp;IF(C111!$B$15="Aula 5",(C111!$A$1&amp;" "),"")&amp;IF(C121!$B$15="Aula 5",(C121!$A$1&amp;" "),"")&amp;IF(C122!$B$15="Aula 5",(C122!$A$1&amp;" "),"")&amp;IF(C211!$B$15="Aula 5",(C211!$A$1&amp;" "),"")&amp;IF(C212!$B$15="Aula 5",(C212!$A$1&amp;" "),"")&amp;IF(C311!$B$15="Aula 5",(C311!$A$1&amp;" "),"")&amp;IF(C312!$B$15="Aula 5",(C312!$A$1&amp;" "),"")&amp;IF(C411!$B$15="Aula 5",(C411!$A$1&amp;" "),"")&amp;IF(C412!$B$15="Aula 5",(C412!$A$1&amp;" "),"")&amp;IF(M111!$B$15="Aula 5",(M111!$A$1&amp;" "),"")&amp;IF(M211!$B$15="Aula 5",(M211!$A$1&amp;" "),"")&amp;IF(M311!$B$15="Aula 5",(M311!$A$1&amp;" "),"")&amp;IF(M411!$B$15="Aula 5",(M411!$A$1&amp;" "),""))," ",",")</f>
        <v/>
      </c>
      <c r="G7" s="2">
        <f>SUBSTITUTE(TRIM(IF(D111!$B$15="Aula 6",(D111!$A$1&amp;" "),"")&amp;IF(D211!$B$15="Aula 6",(D211!$A$1&amp;" "),"")&amp;IF(D311!$B$15="Aula 6",(D311!$A$1&amp;" "),"")&amp;IF(D411!$B$15="Aula 6",(D411!$A$1&amp;" "),"")&amp;IF(C111!$B$15="Aula 6",(C111!$A$1&amp;" "),"")&amp;IF(C121!$B$15="Aula 6",(C121!$A$1&amp;" "),"")&amp;IF(C122!$B$15="Aula 6",(C122!$A$1&amp;" "),"")&amp;IF(C211!$B$15="Aula 6",(C211!$A$1&amp;" "),"")&amp;IF(C212!$B$15="Aula 6",(C212!$A$1&amp;" "),"")&amp;IF(C311!$B$15="Aula 6",(C311!$A$1&amp;" "),"")&amp;IF(C312!$B$15="Aula 6",(C312!$A$1&amp;" "),"")&amp;IF(C411!$B$15="Aula 6",(C411!$A$1&amp;" "),"")&amp;IF(C412!$B$15="Aula 6",(C412!$A$1&amp;" "),"")&amp;IF(M111!$B$15="Aula 6",(M111!$A$1&amp;" "),"")&amp;IF(M211!$B$15="Aula 6",(M211!$A$1&amp;" "),"")&amp;IF(M311!$B$15="Aula 6",(M311!$A$1&amp;" "),"")&amp;IF(M411!$B$15="Aula 6",(M411!$A$1&amp;" "),""))," ",",")</f>
        <v/>
      </c>
      <c r="H7" s="2">
        <f>SUBSTITUTE(TRIM(IF(D111!$B$15="Aula 7",(D111!$A$1&amp;" "),"")&amp;IF(D211!$B$15="Aula 7",(D211!$A$1&amp;" "),"")&amp;IF(D311!$B$15="Aula 7",(D311!$A$1&amp;" "),"")&amp;IF(D411!$B$15="Aula 7",(D411!$A$1&amp;" "),"")&amp;IF(C111!$B$15="Aula 7",(C111!$A$1&amp;" "),"")&amp;IF(C121!$B$15="Aula 7",(C121!$A$1&amp;" "),"")&amp;IF(C122!$B$15="Aula 7",(C122!$A$1&amp;" "),"")&amp;IF(C211!$B$15="Aula 7",(C211!$A$1&amp;" "),"")&amp;IF(C212!$B$15="Aula 7",(C212!$A$1&amp;" "),"")&amp;IF(C311!$B$15="Aula 7",(C311!$A$1&amp;" "),"")&amp;IF(C312!$B$15="Aula 7",(C312!$A$1&amp;" "),"")&amp;IF(C411!$B$15="Aula 7",(C411!$A$1&amp;" "),"")&amp;IF(C412!$B$15="Aula 7",(C412!$A$1&amp;" "),"")&amp;IF(M111!$B$15="Aula 7",(M111!$A$1&amp;" "),"")&amp;IF(M211!$B$15="Aula 7",(M211!$A$1&amp;" "),"")&amp;IF(M311!$B$15="Aula 7",(M311!$A$1&amp;" "),"")&amp;IF(M411!$B$15="Aula 7",(M411!$A$1&amp;" "),""))," ",",")</f>
        <v/>
      </c>
      <c r="I7" s="2">
        <f>SUBSTITUTE(TRIM(IF(D111!$B$15="Aula 8",(D111!$A$1&amp;" "),"")&amp;IF(D211!$B$15="Aula 8",(D211!$A$1&amp;" "),"")&amp;IF(D311!$B$15="Aula 8",(D311!$A$1&amp;" "),"")&amp;IF(D411!$B$15="Aula 8",(D411!$A$1&amp;" "),"")&amp;IF(C111!$B$15="Aula 8",(C111!$A$1&amp;" "),"")&amp;IF(C121!$B$15="Aula 8",(C121!$A$1&amp;" "),"")&amp;IF(C122!$B$15="Aula 8",(C122!$A$1&amp;" "),"")&amp;IF(C211!$B$15="Aula 8",(C211!$A$1&amp;" "),"")&amp;IF(C212!$B$15="Aula 8",(C212!$A$1&amp;" "),"")&amp;IF(C311!$B$15="Aula 8",(C311!$A$1&amp;" "),"")&amp;IF(C312!$B$15="Aula 8",(C312!$A$1&amp;" "),"")&amp;IF(C411!$B$15="Aula 8",(C411!$A$1&amp;" "),"")&amp;IF(C412!$B$15="Aula 8",(C412!$A$1&amp;" "),"")&amp;IF(M111!$B$15="Aula 8",(M111!$A$1&amp;" "),"")&amp;IF(M211!$B$15="Aula 8",(M211!$A$1&amp;" "),"")&amp;IF(M311!$B$15="Aula 8",(M311!$A$1&amp;" "),"")&amp;IF(M411!$B$15="Aula 8",(M411!$A$1&amp;" "),""))," ",",")</f>
        <v/>
      </c>
      <c r="J7" s="2">
        <f>SUBSTITUTE(TRIM(IF(D111!$B$15="Aula 9",(D111!$A$1&amp;" "),"")&amp;IF(D211!$B$15="Aula 9",(D211!$A$1&amp;" "),"")&amp;IF(D311!$B$15="Aula 9",(D311!$A$1&amp;" "),"")&amp;IF(D411!$B$15="Aula 9",(D411!$A$1&amp;" "),"")&amp;IF(C111!$B$15="Aula 9",(C111!$A$1&amp;" "),"")&amp;IF(C121!$B$15="Aula 9",(C121!$A$1&amp;" "),"")&amp;IF(C122!$B$15="Aula 9",(C122!$A$1&amp;" "),"")&amp;IF(C211!$B$15="Aula 9",(C211!$A$1&amp;" "),"")&amp;IF(C212!$B$15="Aula 9",(C212!$A$1&amp;" "),"")&amp;IF(C311!$B$15="Aula 9",(C311!$A$1&amp;" "),"")&amp;IF(C312!$B$15="Aula 9",(C312!$A$1&amp;" "),"")&amp;IF(C411!$B$15="Aula 9",(C411!$A$1&amp;" "),"")&amp;IF(C412!$B$15="Aula 9",(C412!$A$1&amp;" "),"")&amp;IF(M111!$B$15="Aula 9",(M111!$A$1&amp;" "),"")&amp;IF(M211!$B$15="Aula 9",(M211!$A$1&amp;" "),"")&amp;IF(M311!$B$15="Aula 9",(M311!$A$1&amp;" "),"")&amp;IF(M411!$B$15="Aula 9",(M411!$A$1&amp;" "),""))," ",",")</f>
        <v/>
      </c>
      <c r="K7" s="2">
        <f>SUBSTITUTE(TRIM(IF(D111!$B$15="Lab",(D111!$A$1&amp;" "),"")&amp;IF(D211!$B$15="Lab",(D211!$A$1&amp;" "),"")&amp;IF(D311!$B$15="Lab",(D311!$A$1&amp;" "),"")&amp;IF(D411!$B$15="Lab",(D411!$A$1&amp;" "),"")&amp;IF(C111!$B$15="Lab",(C111!$A$1&amp;" "),"")&amp;IF(C121!$B$15="Lab",(C121!$A$1&amp;" "),"")&amp;IF(C122!$B$15="Lab",(C122!$A$1&amp;" "),"")&amp;IF(C211!$B$15="Lab",(C211!$A$1&amp;" "),"")&amp;IF(C212!$B$15="Lab",(C212!$A$1&amp;" "),"")&amp;IF(C311!$B$15="Lab",(C311!$A$1&amp;" "),"")&amp;IF(C312!$B$15="Lab",(C312!$A$1&amp;" "),"")&amp;IF(C411!$B$15="Lab",(C411!$A$1&amp;" "),"")&amp;IF(C412!$B$15="Lab",(C412!$A$1&amp;" "),"")&amp;IF(M111!$B$15="Lab",(M111!$A$1&amp;" "),"")&amp;IF(M211!$B$15="Lab",(M211!$A$1&amp;" "),"")&amp;IF(M311!$B$15="Lab",(M311!$A$1&amp;" "),"")&amp;IF(M411!$B$15="Lab",(M411!$A$1&amp;" "),""))," ",",")</f>
        <v/>
      </c>
      <c r="L7" t="inlineStr"/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</row>
    <row r="9">
      <c r="A9" t="inlineStr">
        <is>
          <t>Martes</t>
        </is>
      </c>
      <c r="B9" t="inlineStr">
        <is>
          <t>Aula 1</t>
        </is>
      </c>
      <c r="C9" t="inlineStr">
        <is>
          <t>Aula 2</t>
        </is>
      </c>
      <c r="D9" t="inlineStr">
        <is>
          <t>Aula 3</t>
        </is>
      </c>
      <c r="E9" t="inlineStr">
        <is>
          <t>Aula 4</t>
        </is>
      </c>
      <c r="F9" t="inlineStr">
        <is>
          <t>Aula 5</t>
        </is>
      </c>
      <c r="G9" t="inlineStr">
        <is>
          <t>Aula 6</t>
        </is>
      </c>
      <c r="H9" t="inlineStr">
        <is>
          <t>Aula 7</t>
        </is>
      </c>
      <c r="I9" t="inlineStr">
        <is>
          <t>Aula 8</t>
        </is>
      </c>
      <c r="J9" t="inlineStr">
        <is>
          <t>Aula 9</t>
        </is>
      </c>
      <c r="K9" t="inlineStr">
        <is>
          <t>Lab</t>
        </is>
      </c>
      <c r="L9" t="inlineStr"/>
    </row>
    <row r="10">
      <c r="A10" s="2" t="inlineStr">
        <is>
          <t>1</t>
        </is>
      </c>
      <c r="B10" s="2">
        <f>SUBSTITUTE(TRIM(IF(D111!$C$5="Aula 1",(D111!$A$1&amp;" "),"")&amp;IF(D211!$C$5="Aula 1",(D211!$A$1&amp;" "),"")&amp;IF(D311!$C$5="Aula 1",(D311!$A$1&amp;" "),"")&amp;IF(D411!$C$5="Aula 1",(D411!$A$1&amp;" "),"")&amp;IF(C111!$C$5="Aula 1",(C111!$A$1&amp;" "),"")&amp;IF(C121!$C$5="Aula 1",(C121!$A$1&amp;" "),"")&amp;IF(C122!$C$5="Aula 1",(C122!$A$1&amp;" "),"")&amp;IF(C211!$C$5="Aula 1",(C211!$A$1&amp;" "),"")&amp;IF(C212!$C$5="Aula 1",(C212!$A$1&amp;" "),"")&amp;IF(C311!$C$5="Aula 1",(C311!$A$1&amp;" "),"")&amp;IF(C312!$C$5="Aula 1",(C312!$A$1&amp;" "),"")&amp;IF(C411!$C$5="Aula 1",(C411!$A$1&amp;" "),"")&amp;IF(C412!$C$5="Aula 1",(C412!$A$1&amp;" "),"")&amp;IF(M111!$C$5="Aula 1",(M111!$A$1&amp;" "),"")&amp;IF(M211!$C$5="Aula 1",(M211!$A$1&amp;" "),"")&amp;IF(M311!$C$5="Aula 1",(M311!$A$1&amp;" "),"")&amp;IF(M411!$C$5="Aula 1",(M411!$A$1&amp;" "),""))," ",",")</f>
        <v/>
      </c>
      <c r="C10" s="2">
        <f>SUBSTITUTE(TRIM(IF(D111!$C$5="Aula 2",(D111!$A$1&amp;" "),"")&amp;IF(D211!$C$5="Aula 2",(D211!$A$1&amp;" "),"")&amp;IF(D311!$C$5="Aula 2",(D311!$A$1&amp;" "),"")&amp;IF(D411!$C$5="Aula 2",(D411!$A$1&amp;" "),"")&amp;IF(C111!$C$5="Aula 2",(C111!$A$1&amp;" "),"")&amp;IF(C121!$C$5="Aula 2",(C121!$A$1&amp;" "),"")&amp;IF(C122!$C$5="Aula 2",(C122!$A$1&amp;" "),"")&amp;IF(C211!$C$5="Aula 2",(C211!$A$1&amp;" "),"")&amp;IF(C212!$C$5="Aula 2",(C212!$A$1&amp;" "),"")&amp;IF(C311!$C$5="Aula 2",(C311!$A$1&amp;" "),"")&amp;IF(C312!$C$5="Aula 2",(C312!$A$1&amp;" "),"")&amp;IF(C411!$C$5="Aula 2",(C411!$A$1&amp;" "),"")&amp;IF(C412!$C$5="Aula 2",(C412!$A$1&amp;" "),"")&amp;IF(M111!$C$5="Aula 2",(M111!$A$1&amp;" "),"")&amp;IF(M211!$C$5="Aula 2",(M211!$A$1&amp;" "),"")&amp;IF(M311!$C$5="Aula 2",(M311!$A$1&amp;" "),"")&amp;IF(M411!$C$5="Aula 2",(M411!$A$1&amp;" "),""))," ",",")</f>
        <v/>
      </c>
      <c r="D10" s="2">
        <f>SUBSTITUTE(TRIM(IF(D111!$C$5="Aula 3",(D111!$A$1&amp;" "),"")&amp;IF(D211!$C$5="Aula 3",(D211!$A$1&amp;" "),"")&amp;IF(D311!$C$5="Aula 3",(D311!$A$1&amp;" "),"")&amp;IF(D411!$C$5="Aula 3",(D411!$A$1&amp;" "),"")&amp;IF(C111!$C$5="Aula 3",(C111!$A$1&amp;" "),"")&amp;IF(C121!$C$5="Aula 3",(C121!$A$1&amp;" "),"")&amp;IF(C122!$C$5="Aula 3",(C122!$A$1&amp;" "),"")&amp;IF(C211!$C$5="Aula 3",(C211!$A$1&amp;" "),"")&amp;IF(C212!$C$5="Aula 3",(C212!$A$1&amp;" "),"")&amp;IF(C311!$C$5="Aula 3",(C311!$A$1&amp;" "),"")&amp;IF(C312!$C$5="Aula 3",(C312!$A$1&amp;" "),"")&amp;IF(C411!$C$5="Aula 3",(C411!$A$1&amp;" "),"")&amp;IF(C412!$C$5="Aula 3",(C412!$A$1&amp;" "),"")&amp;IF(M111!$C$5="Aula 3",(M111!$A$1&amp;" "),"")&amp;IF(M211!$C$5="Aula 3",(M211!$A$1&amp;" "),"")&amp;IF(M311!$C$5="Aula 3",(M311!$A$1&amp;" "),"")&amp;IF(M411!$C$5="Aula 3",(M411!$A$1&amp;" "),""))," ",",")</f>
        <v/>
      </c>
      <c r="E10" s="2">
        <f>SUBSTITUTE(TRIM(IF(D111!$C$5="Aula 4",(D111!$A$1&amp;" "),"")&amp;IF(D211!$C$5="Aula 4",(D211!$A$1&amp;" "),"")&amp;IF(D311!$C$5="Aula 4",(D311!$A$1&amp;" "),"")&amp;IF(D411!$C$5="Aula 4",(D411!$A$1&amp;" "),"")&amp;IF(C111!$C$5="Aula 4",(C111!$A$1&amp;" "),"")&amp;IF(C121!$C$5="Aula 4",(C121!$A$1&amp;" "),"")&amp;IF(C122!$C$5="Aula 4",(C122!$A$1&amp;" "),"")&amp;IF(C211!$C$5="Aula 4",(C211!$A$1&amp;" "),"")&amp;IF(C212!$C$5="Aula 4",(C212!$A$1&amp;" "),"")&amp;IF(C311!$C$5="Aula 4",(C311!$A$1&amp;" "),"")&amp;IF(C312!$C$5="Aula 4",(C312!$A$1&amp;" "),"")&amp;IF(C411!$C$5="Aula 4",(C411!$A$1&amp;" "),"")&amp;IF(C412!$C$5="Aula 4",(C412!$A$1&amp;" "),"")&amp;IF(M111!$C$5="Aula 4",(M111!$A$1&amp;" "),"")&amp;IF(M211!$C$5="Aula 4",(M211!$A$1&amp;" "),"")&amp;IF(M311!$C$5="Aula 4",(M311!$A$1&amp;" "),"")&amp;IF(M411!$C$5="Aula 4",(M411!$A$1&amp;" "),""))," ",",")</f>
        <v/>
      </c>
      <c r="F10" s="2">
        <f>SUBSTITUTE(TRIM(IF(D111!$C$5="Aula 5",(D111!$A$1&amp;" "),"")&amp;IF(D211!$C$5="Aula 5",(D211!$A$1&amp;" "),"")&amp;IF(D311!$C$5="Aula 5",(D311!$A$1&amp;" "),"")&amp;IF(D411!$C$5="Aula 5",(D411!$A$1&amp;" "),"")&amp;IF(C111!$C$5="Aula 5",(C111!$A$1&amp;" "),"")&amp;IF(C121!$C$5="Aula 5",(C121!$A$1&amp;" "),"")&amp;IF(C122!$C$5="Aula 5",(C122!$A$1&amp;" "),"")&amp;IF(C211!$C$5="Aula 5",(C211!$A$1&amp;" "),"")&amp;IF(C212!$C$5="Aula 5",(C212!$A$1&amp;" "),"")&amp;IF(C311!$C$5="Aula 5",(C311!$A$1&amp;" "),"")&amp;IF(C312!$C$5="Aula 5",(C312!$A$1&amp;" "),"")&amp;IF(C411!$C$5="Aula 5",(C411!$A$1&amp;" "),"")&amp;IF(C412!$C$5="Aula 5",(C412!$A$1&amp;" "),"")&amp;IF(M111!$C$5="Aula 5",(M111!$A$1&amp;" "),"")&amp;IF(M211!$C$5="Aula 5",(M211!$A$1&amp;" "),"")&amp;IF(M311!$C$5="Aula 5",(M311!$A$1&amp;" "),"")&amp;IF(M411!$C$5="Aula 5",(M411!$A$1&amp;" "),""))," ",",")</f>
        <v/>
      </c>
      <c r="G10" s="2">
        <f>SUBSTITUTE(TRIM(IF(D111!$C$5="Aula 6",(D111!$A$1&amp;" "),"")&amp;IF(D211!$C$5="Aula 6",(D211!$A$1&amp;" "),"")&amp;IF(D311!$C$5="Aula 6",(D311!$A$1&amp;" "),"")&amp;IF(D411!$C$5="Aula 6",(D411!$A$1&amp;" "),"")&amp;IF(C111!$C$5="Aula 6",(C111!$A$1&amp;" "),"")&amp;IF(C121!$C$5="Aula 6",(C121!$A$1&amp;" "),"")&amp;IF(C122!$C$5="Aula 6",(C122!$A$1&amp;" "),"")&amp;IF(C211!$C$5="Aula 6",(C211!$A$1&amp;" "),"")&amp;IF(C212!$C$5="Aula 6",(C212!$A$1&amp;" "),"")&amp;IF(C311!$C$5="Aula 6",(C311!$A$1&amp;" "),"")&amp;IF(C312!$C$5="Aula 6",(C312!$A$1&amp;" "),"")&amp;IF(C411!$C$5="Aula 6",(C411!$A$1&amp;" "),"")&amp;IF(C412!$C$5="Aula 6",(C412!$A$1&amp;" "),"")&amp;IF(M111!$C$5="Aula 6",(M111!$A$1&amp;" "),"")&amp;IF(M211!$C$5="Aula 6",(M211!$A$1&amp;" "),"")&amp;IF(M311!$C$5="Aula 6",(M311!$A$1&amp;" "),"")&amp;IF(M411!$C$5="Aula 6",(M411!$A$1&amp;" "),""))," ",",")</f>
        <v/>
      </c>
      <c r="H10" s="2">
        <f>SUBSTITUTE(TRIM(IF(D111!$C$5="Aula 7",(D111!$A$1&amp;" "),"")&amp;IF(D211!$C$5="Aula 7",(D211!$A$1&amp;" "),"")&amp;IF(D311!$C$5="Aula 7",(D311!$A$1&amp;" "),"")&amp;IF(D411!$C$5="Aula 7",(D411!$A$1&amp;" "),"")&amp;IF(C111!$C$5="Aula 7",(C111!$A$1&amp;" "),"")&amp;IF(C121!$C$5="Aula 7",(C121!$A$1&amp;" "),"")&amp;IF(C122!$C$5="Aula 7",(C122!$A$1&amp;" "),"")&amp;IF(C211!$C$5="Aula 7",(C211!$A$1&amp;" "),"")&amp;IF(C212!$C$5="Aula 7",(C212!$A$1&amp;" "),"")&amp;IF(C311!$C$5="Aula 7",(C311!$A$1&amp;" "),"")&amp;IF(C312!$C$5="Aula 7",(C312!$A$1&amp;" "),"")&amp;IF(C411!$C$5="Aula 7",(C411!$A$1&amp;" "),"")&amp;IF(C412!$C$5="Aula 7",(C412!$A$1&amp;" "),"")&amp;IF(M111!$C$5="Aula 7",(M111!$A$1&amp;" "),"")&amp;IF(M211!$C$5="Aula 7",(M211!$A$1&amp;" "),"")&amp;IF(M311!$C$5="Aula 7",(M311!$A$1&amp;" "),"")&amp;IF(M411!$C$5="Aula 7",(M411!$A$1&amp;" "),""))," ",",")</f>
        <v/>
      </c>
      <c r="I10" s="2">
        <f>SUBSTITUTE(TRIM(IF(D111!$C$5="Aula 8",(D111!$A$1&amp;" "),"")&amp;IF(D211!$C$5="Aula 8",(D211!$A$1&amp;" "),"")&amp;IF(D311!$C$5="Aula 8",(D311!$A$1&amp;" "),"")&amp;IF(D411!$C$5="Aula 8",(D411!$A$1&amp;" "),"")&amp;IF(C111!$C$5="Aula 8",(C111!$A$1&amp;" "),"")&amp;IF(C121!$C$5="Aula 8",(C121!$A$1&amp;" "),"")&amp;IF(C122!$C$5="Aula 8",(C122!$A$1&amp;" "),"")&amp;IF(C211!$C$5="Aula 8",(C211!$A$1&amp;" "),"")&amp;IF(C212!$C$5="Aula 8",(C212!$A$1&amp;" "),"")&amp;IF(C311!$C$5="Aula 8",(C311!$A$1&amp;" "),"")&amp;IF(C312!$C$5="Aula 8",(C312!$A$1&amp;" "),"")&amp;IF(C411!$C$5="Aula 8",(C411!$A$1&amp;" "),"")&amp;IF(C412!$C$5="Aula 8",(C412!$A$1&amp;" "),"")&amp;IF(M111!$C$5="Aula 8",(M111!$A$1&amp;" "),"")&amp;IF(M211!$C$5="Aula 8",(M211!$A$1&amp;" "),"")&amp;IF(M311!$C$5="Aula 8",(M311!$A$1&amp;" "),"")&amp;IF(M411!$C$5="Aula 8",(M411!$A$1&amp;" "),""))," ",",")</f>
        <v/>
      </c>
      <c r="J10" s="2">
        <f>SUBSTITUTE(TRIM(IF(D111!$C$5="Aula 9",(D111!$A$1&amp;" "),"")&amp;IF(D211!$C$5="Aula 9",(D211!$A$1&amp;" "),"")&amp;IF(D311!$C$5="Aula 9",(D311!$A$1&amp;" "),"")&amp;IF(D411!$C$5="Aula 9",(D411!$A$1&amp;" "),"")&amp;IF(C111!$C$5="Aula 9",(C111!$A$1&amp;" "),"")&amp;IF(C121!$C$5="Aula 9",(C121!$A$1&amp;" "),"")&amp;IF(C122!$C$5="Aula 9",(C122!$A$1&amp;" "),"")&amp;IF(C211!$C$5="Aula 9",(C211!$A$1&amp;" "),"")&amp;IF(C212!$C$5="Aula 9",(C212!$A$1&amp;" "),"")&amp;IF(C311!$C$5="Aula 9",(C311!$A$1&amp;" "),"")&amp;IF(C312!$C$5="Aula 9",(C312!$A$1&amp;" "),"")&amp;IF(C411!$C$5="Aula 9",(C411!$A$1&amp;" "),"")&amp;IF(C412!$C$5="Aula 9",(C412!$A$1&amp;" "),"")&amp;IF(M111!$C$5="Aula 9",(M111!$A$1&amp;" "),"")&amp;IF(M211!$C$5="Aula 9",(M211!$A$1&amp;" "),"")&amp;IF(M311!$C$5="Aula 9",(M311!$A$1&amp;" "),"")&amp;IF(M411!$C$5="Aula 9",(M411!$A$1&amp;" "),""))," ",",")</f>
        <v/>
      </c>
      <c r="K10" s="2">
        <f>SUBSTITUTE(TRIM(IF(D111!$C$5="Lab",(D111!$A$1&amp;" "),"")&amp;IF(D211!$C$5="Lab",(D211!$A$1&amp;" "),"")&amp;IF(D311!$C$5="Lab",(D311!$A$1&amp;" "),"")&amp;IF(D411!$C$5="Lab",(D411!$A$1&amp;" "),"")&amp;IF(C111!$C$5="Lab",(C111!$A$1&amp;" "),"")&amp;IF(C121!$C$5="Lab",(C121!$A$1&amp;" "),"")&amp;IF(C122!$C$5="Lab",(C122!$A$1&amp;" "),"")&amp;IF(C211!$C$5="Lab",(C211!$A$1&amp;" "),"")&amp;IF(C212!$C$5="Lab",(C212!$A$1&amp;" "),"")&amp;IF(C311!$C$5="Lab",(C311!$A$1&amp;" "),"")&amp;IF(C312!$C$5="Lab",(C312!$A$1&amp;" "),"")&amp;IF(C411!$C$5="Lab",(C411!$A$1&amp;" "),"")&amp;IF(C412!$C$5="Lab",(C412!$A$1&amp;" "),"")&amp;IF(M111!$C$5="Lab",(M111!$A$1&amp;" "),"")&amp;IF(M211!$C$5="Lab",(M211!$A$1&amp;" "),"")&amp;IF(M311!$C$5="Lab",(M311!$A$1&amp;" "),"")&amp;IF(M411!$C$5="Lab",(M411!$A$1&amp;" "),""))," ",",")</f>
        <v/>
      </c>
      <c r="L10" t="inlineStr"/>
    </row>
    <row r="11">
      <c r="A11" s="2" t="inlineStr">
        <is>
          <t>2</t>
        </is>
      </c>
      <c r="B11" s="2">
        <f>SUBSTITUTE(TRIM(IF(D111!$C$7="Aula 1",(D111!$A$1&amp;" "),"")&amp;IF(D211!$C$7="Aula 1",(D211!$A$1&amp;" "),"")&amp;IF(D311!$C$7="Aula 1",(D311!$A$1&amp;" "),"")&amp;IF(D411!$C$7="Aula 1",(D411!$A$1&amp;" "),"")&amp;IF(C111!$C$7="Aula 1",(C111!$A$1&amp;" "),"")&amp;IF(C121!$C$7="Aula 1",(C121!$A$1&amp;" "),"")&amp;IF(C122!$C$7="Aula 1",(C122!$A$1&amp;" "),"")&amp;IF(C211!$C$7="Aula 1",(C211!$A$1&amp;" "),"")&amp;IF(C212!$C$7="Aula 1",(C212!$A$1&amp;" "),"")&amp;IF(C311!$C$7="Aula 1",(C311!$A$1&amp;" "),"")&amp;IF(C312!$C$7="Aula 1",(C312!$A$1&amp;" "),"")&amp;IF(C411!$C$7="Aula 1",(C411!$A$1&amp;" "),"")&amp;IF(C412!$C$7="Aula 1",(C412!$A$1&amp;" "),"")&amp;IF(M111!$C$7="Aula 1",(M111!$A$1&amp;" "),"")&amp;IF(M211!$C$7="Aula 1",(M211!$A$1&amp;" "),"")&amp;IF(M311!$C$7="Aula 1",(M311!$A$1&amp;" "),"")&amp;IF(M411!$C$7="Aula 1",(M411!$A$1&amp;" "),""))," ",",")</f>
        <v/>
      </c>
      <c r="C11" s="2">
        <f>SUBSTITUTE(TRIM(IF(D111!$C$7="Aula 2",(D111!$A$1&amp;" "),"")&amp;IF(D211!$C$7="Aula 2",(D211!$A$1&amp;" "),"")&amp;IF(D311!$C$7="Aula 2",(D311!$A$1&amp;" "),"")&amp;IF(D411!$C$7="Aula 2",(D411!$A$1&amp;" "),"")&amp;IF(C111!$C$7="Aula 2",(C111!$A$1&amp;" "),"")&amp;IF(C121!$C$7="Aula 2",(C121!$A$1&amp;" "),"")&amp;IF(C122!$C$7="Aula 2",(C122!$A$1&amp;" "),"")&amp;IF(C211!$C$7="Aula 2",(C211!$A$1&amp;" "),"")&amp;IF(C212!$C$7="Aula 2",(C212!$A$1&amp;" "),"")&amp;IF(C311!$C$7="Aula 2",(C311!$A$1&amp;" "),"")&amp;IF(C312!$C$7="Aula 2",(C312!$A$1&amp;" "),"")&amp;IF(C411!$C$7="Aula 2",(C411!$A$1&amp;" "),"")&amp;IF(C412!$C$7="Aula 2",(C412!$A$1&amp;" "),"")&amp;IF(M111!$C$7="Aula 2",(M111!$A$1&amp;" "),"")&amp;IF(M211!$C$7="Aula 2",(M211!$A$1&amp;" "),"")&amp;IF(M311!$C$7="Aula 2",(M311!$A$1&amp;" "),"")&amp;IF(M411!$C$7="Aula 2",(M411!$A$1&amp;" "),""))," ",",")</f>
        <v/>
      </c>
      <c r="D11" s="2">
        <f>SUBSTITUTE(TRIM(IF(D111!$C$7="Aula 3",(D111!$A$1&amp;" "),"")&amp;IF(D211!$C$7="Aula 3",(D211!$A$1&amp;" "),"")&amp;IF(D311!$C$7="Aula 3",(D311!$A$1&amp;" "),"")&amp;IF(D411!$C$7="Aula 3",(D411!$A$1&amp;" "),"")&amp;IF(C111!$C$7="Aula 3",(C111!$A$1&amp;" "),"")&amp;IF(C121!$C$7="Aula 3",(C121!$A$1&amp;" "),"")&amp;IF(C122!$C$7="Aula 3",(C122!$A$1&amp;" "),"")&amp;IF(C211!$C$7="Aula 3",(C211!$A$1&amp;" "),"")&amp;IF(C212!$C$7="Aula 3",(C212!$A$1&amp;" "),"")&amp;IF(C311!$C$7="Aula 3",(C311!$A$1&amp;" "),"")&amp;IF(C312!$C$7="Aula 3",(C312!$A$1&amp;" "),"")&amp;IF(C411!$C$7="Aula 3",(C411!$A$1&amp;" "),"")&amp;IF(C412!$C$7="Aula 3",(C412!$A$1&amp;" "),"")&amp;IF(M111!$C$7="Aula 3",(M111!$A$1&amp;" "),"")&amp;IF(M211!$C$7="Aula 3",(M211!$A$1&amp;" "),"")&amp;IF(M311!$C$7="Aula 3",(M311!$A$1&amp;" "),"")&amp;IF(M411!$C$7="Aula 3",(M411!$A$1&amp;" "),""))," ",",")</f>
        <v/>
      </c>
      <c r="E11" s="2">
        <f>SUBSTITUTE(TRIM(IF(D111!$C$7="Aula 4",(D111!$A$1&amp;" "),"")&amp;IF(D211!$C$7="Aula 4",(D211!$A$1&amp;" "),"")&amp;IF(D311!$C$7="Aula 4",(D311!$A$1&amp;" "),"")&amp;IF(D411!$C$7="Aula 4",(D411!$A$1&amp;" "),"")&amp;IF(C111!$C$7="Aula 4",(C111!$A$1&amp;" "),"")&amp;IF(C121!$C$7="Aula 4",(C121!$A$1&amp;" "),"")&amp;IF(C122!$C$7="Aula 4",(C122!$A$1&amp;" "),"")&amp;IF(C211!$C$7="Aula 4",(C211!$A$1&amp;" "),"")&amp;IF(C212!$C$7="Aula 4",(C212!$A$1&amp;" "),"")&amp;IF(C311!$C$7="Aula 4",(C311!$A$1&amp;" "),"")&amp;IF(C312!$C$7="Aula 4",(C312!$A$1&amp;" "),"")&amp;IF(C411!$C$7="Aula 4",(C411!$A$1&amp;" "),"")&amp;IF(C412!$C$7="Aula 4",(C412!$A$1&amp;" "),"")&amp;IF(M111!$C$7="Aula 4",(M111!$A$1&amp;" "),"")&amp;IF(M211!$C$7="Aula 4",(M211!$A$1&amp;" "),"")&amp;IF(M311!$C$7="Aula 4",(M311!$A$1&amp;" "),"")&amp;IF(M411!$C$7="Aula 4",(M411!$A$1&amp;" "),""))," ",",")</f>
        <v/>
      </c>
      <c r="F11" s="2">
        <f>SUBSTITUTE(TRIM(IF(D111!$C$7="Aula 5",(D111!$A$1&amp;" "),"")&amp;IF(D211!$C$7="Aula 5",(D211!$A$1&amp;" "),"")&amp;IF(D311!$C$7="Aula 5",(D311!$A$1&amp;" "),"")&amp;IF(D411!$C$7="Aula 5",(D411!$A$1&amp;" "),"")&amp;IF(C111!$C$7="Aula 5",(C111!$A$1&amp;" "),"")&amp;IF(C121!$C$7="Aula 5",(C121!$A$1&amp;" "),"")&amp;IF(C122!$C$7="Aula 5",(C122!$A$1&amp;" "),"")&amp;IF(C211!$C$7="Aula 5",(C211!$A$1&amp;" "),"")&amp;IF(C212!$C$7="Aula 5",(C212!$A$1&amp;" "),"")&amp;IF(C311!$C$7="Aula 5",(C311!$A$1&amp;" "),"")&amp;IF(C312!$C$7="Aula 5",(C312!$A$1&amp;" "),"")&amp;IF(C411!$C$7="Aula 5",(C411!$A$1&amp;" "),"")&amp;IF(C412!$C$7="Aula 5",(C412!$A$1&amp;" "),"")&amp;IF(M111!$C$7="Aula 5",(M111!$A$1&amp;" "),"")&amp;IF(M211!$C$7="Aula 5",(M211!$A$1&amp;" "),"")&amp;IF(M311!$C$7="Aula 5",(M311!$A$1&amp;" "),"")&amp;IF(M411!$C$7="Aula 5",(M411!$A$1&amp;" "),""))," ",",")</f>
        <v/>
      </c>
      <c r="G11" s="2">
        <f>SUBSTITUTE(TRIM(IF(D111!$C$7="Aula 6",(D111!$A$1&amp;" "),"")&amp;IF(D211!$C$7="Aula 6",(D211!$A$1&amp;" "),"")&amp;IF(D311!$C$7="Aula 6",(D311!$A$1&amp;" "),"")&amp;IF(D411!$C$7="Aula 6",(D411!$A$1&amp;" "),"")&amp;IF(C111!$C$7="Aula 6",(C111!$A$1&amp;" "),"")&amp;IF(C121!$C$7="Aula 6",(C121!$A$1&amp;" "),"")&amp;IF(C122!$C$7="Aula 6",(C122!$A$1&amp;" "),"")&amp;IF(C211!$C$7="Aula 6",(C211!$A$1&amp;" "),"")&amp;IF(C212!$C$7="Aula 6",(C212!$A$1&amp;" "),"")&amp;IF(C311!$C$7="Aula 6",(C311!$A$1&amp;" "),"")&amp;IF(C312!$C$7="Aula 6",(C312!$A$1&amp;" "),"")&amp;IF(C411!$C$7="Aula 6",(C411!$A$1&amp;" "),"")&amp;IF(C412!$C$7="Aula 6",(C412!$A$1&amp;" "),"")&amp;IF(M111!$C$7="Aula 6",(M111!$A$1&amp;" "),"")&amp;IF(M211!$C$7="Aula 6",(M211!$A$1&amp;" "),"")&amp;IF(M311!$C$7="Aula 6",(M311!$A$1&amp;" "),"")&amp;IF(M411!$C$7="Aula 6",(M411!$A$1&amp;" "),""))," ",",")</f>
        <v/>
      </c>
      <c r="H11" s="2">
        <f>SUBSTITUTE(TRIM(IF(D111!$C$7="Aula 7",(D111!$A$1&amp;" "),"")&amp;IF(D211!$C$7="Aula 7",(D211!$A$1&amp;" "),"")&amp;IF(D311!$C$7="Aula 7",(D311!$A$1&amp;" "),"")&amp;IF(D411!$C$7="Aula 7",(D411!$A$1&amp;" "),"")&amp;IF(C111!$C$7="Aula 7",(C111!$A$1&amp;" "),"")&amp;IF(C121!$C$7="Aula 7",(C121!$A$1&amp;" "),"")&amp;IF(C122!$C$7="Aula 7",(C122!$A$1&amp;" "),"")&amp;IF(C211!$C$7="Aula 7",(C211!$A$1&amp;" "),"")&amp;IF(C212!$C$7="Aula 7",(C212!$A$1&amp;" "),"")&amp;IF(C311!$C$7="Aula 7",(C311!$A$1&amp;" "),"")&amp;IF(C312!$C$7="Aula 7",(C312!$A$1&amp;" "),"")&amp;IF(C411!$C$7="Aula 7",(C411!$A$1&amp;" "),"")&amp;IF(C412!$C$7="Aula 7",(C412!$A$1&amp;" "),"")&amp;IF(M111!$C$7="Aula 7",(M111!$A$1&amp;" "),"")&amp;IF(M211!$C$7="Aula 7",(M211!$A$1&amp;" "),"")&amp;IF(M311!$C$7="Aula 7",(M311!$A$1&amp;" "),"")&amp;IF(M411!$C$7="Aula 7",(M411!$A$1&amp;" "),""))," ",",")</f>
        <v/>
      </c>
      <c r="I11" s="2">
        <f>SUBSTITUTE(TRIM(IF(D111!$C$7="Aula 8",(D111!$A$1&amp;" "),"")&amp;IF(D211!$C$7="Aula 8",(D211!$A$1&amp;" "),"")&amp;IF(D311!$C$7="Aula 8",(D311!$A$1&amp;" "),"")&amp;IF(D411!$C$7="Aula 8",(D411!$A$1&amp;" "),"")&amp;IF(C111!$C$7="Aula 8",(C111!$A$1&amp;" "),"")&amp;IF(C121!$C$7="Aula 8",(C121!$A$1&amp;" "),"")&amp;IF(C122!$C$7="Aula 8",(C122!$A$1&amp;" "),"")&amp;IF(C211!$C$7="Aula 8",(C211!$A$1&amp;" "),"")&amp;IF(C212!$C$7="Aula 8",(C212!$A$1&amp;" "),"")&amp;IF(C311!$C$7="Aula 8",(C311!$A$1&amp;" "),"")&amp;IF(C312!$C$7="Aula 8",(C312!$A$1&amp;" "),"")&amp;IF(C411!$C$7="Aula 8",(C411!$A$1&amp;" "),"")&amp;IF(C412!$C$7="Aula 8",(C412!$A$1&amp;" "),"")&amp;IF(M111!$C$7="Aula 8",(M111!$A$1&amp;" "),"")&amp;IF(M211!$C$7="Aula 8",(M211!$A$1&amp;" "),"")&amp;IF(M311!$C$7="Aula 8",(M311!$A$1&amp;" "),"")&amp;IF(M411!$C$7="Aula 8",(M411!$A$1&amp;" "),""))," ",",")</f>
        <v/>
      </c>
      <c r="J11" s="2">
        <f>SUBSTITUTE(TRIM(IF(D111!$C$7="Aula 9",(D111!$A$1&amp;" "),"")&amp;IF(D211!$C$7="Aula 9",(D211!$A$1&amp;" "),"")&amp;IF(D311!$C$7="Aula 9",(D311!$A$1&amp;" "),"")&amp;IF(D411!$C$7="Aula 9",(D411!$A$1&amp;" "),"")&amp;IF(C111!$C$7="Aula 9",(C111!$A$1&amp;" "),"")&amp;IF(C121!$C$7="Aula 9",(C121!$A$1&amp;" "),"")&amp;IF(C122!$C$7="Aula 9",(C122!$A$1&amp;" "),"")&amp;IF(C211!$C$7="Aula 9",(C211!$A$1&amp;" "),"")&amp;IF(C212!$C$7="Aula 9",(C212!$A$1&amp;" "),"")&amp;IF(C311!$C$7="Aula 9",(C311!$A$1&amp;" "),"")&amp;IF(C312!$C$7="Aula 9",(C312!$A$1&amp;" "),"")&amp;IF(C411!$C$7="Aula 9",(C411!$A$1&amp;" "),"")&amp;IF(C412!$C$7="Aula 9",(C412!$A$1&amp;" "),"")&amp;IF(M111!$C$7="Aula 9",(M111!$A$1&amp;" "),"")&amp;IF(M211!$C$7="Aula 9",(M211!$A$1&amp;" "),"")&amp;IF(M311!$C$7="Aula 9",(M311!$A$1&amp;" "),"")&amp;IF(M411!$C$7="Aula 9",(M411!$A$1&amp;" "),""))," ",",")</f>
        <v/>
      </c>
      <c r="K11" s="2">
        <f>SUBSTITUTE(TRIM(IF(D111!$C$7="Lab",(D111!$A$1&amp;" "),"")&amp;IF(D211!$C$7="Lab",(D211!$A$1&amp;" "),"")&amp;IF(D311!$C$7="Lab",(D311!$A$1&amp;" "),"")&amp;IF(D411!$C$7="Lab",(D411!$A$1&amp;" "),"")&amp;IF(C111!$C$7="Lab",(C111!$A$1&amp;" "),"")&amp;IF(C121!$C$7="Lab",(C121!$A$1&amp;" "),"")&amp;IF(C122!$C$7="Lab",(C122!$A$1&amp;" "),"")&amp;IF(C211!$C$7="Lab",(C211!$A$1&amp;" "),"")&amp;IF(C212!$C$7="Lab",(C212!$A$1&amp;" "),"")&amp;IF(C311!$C$7="Lab",(C311!$A$1&amp;" "),"")&amp;IF(C312!$C$7="Lab",(C312!$A$1&amp;" "),"")&amp;IF(C411!$C$7="Lab",(C411!$A$1&amp;" "),"")&amp;IF(C412!$C$7="Lab",(C412!$A$1&amp;" "),"")&amp;IF(M111!$C$7="Lab",(M111!$A$1&amp;" "),"")&amp;IF(M211!$C$7="Lab",(M211!$A$1&amp;" "),"")&amp;IF(M311!$C$7="Lab",(M311!$A$1&amp;" "),"")&amp;IF(M411!$C$7="Lab",(M411!$A$1&amp;" "),""))," ",",")</f>
        <v/>
      </c>
      <c r="L11" t="inlineStr"/>
    </row>
    <row r="12">
      <c r="A12" s="2" t="inlineStr">
        <is>
          <t>3</t>
        </is>
      </c>
      <c r="B12" s="2">
        <f>SUBSTITUTE(TRIM(IF(D111!$C$9="Aula 1",(D111!$A$1&amp;" "),"")&amp;IF(D211!$C$9="Aula 1",(D211!$A$1&amp;" "),"")&amp;IF(D311!$C$9="Aula 1",(D311!$A$1&amp;" "),"")&amp;IF(D411!$C$9="Aula 1",(D411!$A$1&amp;" "),"")&amp;IF(C111!$C$9="Aula 1",(C111!$A$1&amp;" "),"")&amp;IF(C121!$C$9="Aula 1",(C121!$A$1&amp;" "),"")&amp;IF(C122!$C$9="Aula 1",(C122!$A$1&amp;" "),"")&amp;IF(C211!$C$9="Aula 1",(C211!$A$1&amp;" "),"")&amp;IF(C212!$C$9="Aula 1",(C212!$A$1&amp;" "),"")&amp;IF(C311!$C$9="Aula 1",(C311!$A$1&amp;" "),"")&amp;IF(C312!$C$9="Aula 1",(C312!$A$1&amp;" "),"")&amp;IF(C411!$C$9="Aula 1",(C411!$A$1&amp;" "),"")&amp;IF(C412!$C$9="Aula 1",(C412!$A$1&amp;" "),"")&amp;IF(M111!$C$9="Aula 1",(M111!$A$1&amp;" "),"")&amp;IF(M211!$C$9="Aula 1",(M211!$A$1&amp;" "),"")&amp;IF(M311!$C$9="Aula 1",(M311!$A$1&amp;" "),"")&amp;IF(M411!$C$9="Aula 1",(M411!$A$1&amp;" "),""))," ",",")</f>
        <v/>
      </c>
      <c r="C12" s="2">
        <f>SUBSTITUTE(TRIM(IF(D111!$C$9="Aula 2",(D111!$A$1&amp;" "),"")&amp;IF(D211!$C$9="Aula 2",(D211!$A$1&amp;" "),"")&amp;IF(D311!$C$9="Aula 2",(D311!$A$1&amp;" "),"")&amp;IF(D411!$C$9="Aula 2",(D411!$A$1&amp;" "),"")&amp;IF(C111!$C$9="Aula 2",(C111!$A$1&amp;" "),"")&amp;IF(C121!$C$9="Aula 2",(C121!$A$1&amp;" "),"")&amp;IF(C122!$C$9="Aula 2",(C122!$A$1&amp;" "),"")&amp;IF(C211!$C$9="Aula 2",(C211!$A$1&amp;" "),"")&amp;IF(C212!$C$9="Aula 2",(C212!$A$1&amp;" "),"")&amp;IF(C311!$C$9="Aula 2",(C311!$A$1&amp;" "),"")&amp;IF(C312!$C$9="Aula 2",(C312!$A$1&amp;" "),"")&amp;IF(C411!$C$9="Aula 2",(C411!$A$1&amp;" "),"")&amp;IF(C412!$C$9="Aula 2",(C412!$A$1&amp;" "),"")&amp;IF(M111!$C$9="Aula 2",(M111!$A$1&amp;" "),"")&amp;IF(M211!$C$9="Aula 2",(M211!$A$1&amp;" "),"")&amp;IF(M311!$C$9="Aula 2",(M311!$A$1&amp;" "),"")&amp;IF(M411!$C$9="Aula 2",(M411!$A$1&amp;" "),""))," ",",")</f>
        <v/>
      </c>
      <c r="D12" s="2">
        <f>SUBSTITUTE(TRIM(IF(D111!$C$9="Aula 3",(D111!$A$1&amp;" "),"")&amp;IF(D211!$C$9="Aula 3",(D211!$A$1&amp;" "),"")&amp;IF(D311!$C$9="Aula 3",(D311!$A$1&amp;" "),"")&amp;IF(D411!$C$9="Aula 3",(D411!$A$1&amp;" "),"")&amp;IF(C111!$C$9="Aula 3",(C111!$A$1&amp;" "),"")&amp;IF(C121!$C$9="Aula 3",(C121!$A$1&amp;" "),"")&amp;IF(C122!$C$9="Aula 3",(C122!$A$1&amp;" "),"")&amp;IF(C211!$C$9="Aula 3",(C211!$A$1&amp;" "),"")&amp;IF(C212!$C$9="Aula 3",(C212!$A$1&amp;" "),"")&amp;IF(C311!$C$9="Aula 3",(C311!$A$1&amp;" "),"")&amp;IF(C312!$C$9="Aula 3",(C312!$A$1&amp;" "),"")&amp;IF(C411!$C$9="Aula 3",(C411!$A$1&amp;" "),"")&amp;IF(C412!$C$9="Aula 3",(C412!$A$1&amp;" "),"")&amp;IF(M111!$C$9="Aula 3",(M111!$A$1&amp;" "),"")&amp;IF(M211!$C$9="Aula 3",(M211!$A$1&amp;" "),"")&amp;IF(M311!$C$9="Aula 3",(M311!$A$1&amp;" "),"")&amp;IF(M411!$C$9="Aula 3",(M411!$A$1&amp;" "),""))," ",",")</f>
        <v/>
      </c>
      <c r="E12" s="2">
        <f>SUBSTITUTE(TRIM(IF(D111!$C$9="Aula 4",(D111!$A$1&amp;" "),"")&amp;IF(D211!$C$9="Aula 4",(D211!$A$1&amp;" "),"")&amp;IF(D311!$C$9="Aula 4",(D311!$A$1&amp;" "),"")&amp;IF(D411!$C$9="Aula 4",(D411!$A$1&amp;" "),"")&amp;IF(C111!$C$9="Aula 4",(C111!$A$1&amp;" "),"")&amp;IF(C121!$C$9="Aula 4",(C121!$A$1&amp;" "),"")&amp;IF(C122!$C$9="Aula 4",(C122!$A$1&amp;" "),"")&amp;IF(C211!$C$9="Aula 4",(C211!$A$1&amp;" "),"")&amp;IF(C212!$C$9="Aula 4",(C212!$A$1&amp;" "),"")&amp;IF(C311!$C$9="Aula 4",(C311!$A$1&amp;" "),"")&amp;IF(C312!$C$9="Aula 4",(C312!$A$1&amp;" "),"")&amp;IF(C411!$C$9="Aula 4",(C411!$A$1&amp;" "),"")&amp;IF(C412!$C$9="Aula 4",(C412!$A$1&amp;" "),"")&amp;IF(M111!$C$9="Aula 4",(M111!$A$1&amp;" "),"")&amp;IF(M211!$C$9="Aula 4",(M211!$A$1&amp;" "),"")&amp;IF(M311!$C$9="Aula 4",(M311!$A$1&amp;" "),"")&amp;IF(M411!$C$9="Aula 4",(M411!$A$1&amp;" "),""))," ",",")</f>
        <v/>
      </c>
      <c r="F12" s="2">
        <f>SUBSTITUTE(TRIM(IF(D111!$C$9="Aula 5",(D111!$A$1&amp;" "),"")&amp;IF(D211!$C$9="Aula 5",(D211!$A$1&amp;" "),"")&amp;IF(D311!$C$9="Aula 5",(D311!$A$1&amp;" "),"")&amp;IF(D411!$C$9="Aula 5",(D411!$A$1&amp;" "),"")&amp;IF(C111!$C$9="Aula 5",(C111!$A$1&amp;" "),"")&amp;IF(C121!$C$9="Aula 5",(C121!$A$1&amp;" "),"")&amp;IF(C122!$C$9="Aula 5",(C122!$A$1&amp;" "),"")&amp;IF(C211!$C$9="Aula 5",(C211!$A$1&amp;" "),"")&amp;IF(C212!$C$9="Aula 5",(C212!$A$1&amp;" "),"")&amp;IF(C311!$C$9="Aula 5",(C311!$A$1&amp;" "),"")&amp;IF(C312!$C$9="Aula 5",(C312!$A$1&amp;" "),"")&amp;IF(C411!$C$9="Aula 5",(C411!$A$1&amp;" "),"")&amp;IF(C412!$C$9="Aula 5",(C412!$A$1&amp;" "),"")&amp;IF(M111!$C$9="Aula 5",(M111!$A$1&amp;" "),"")&amp;IF(M211!$C$9="Aula 5",(M211!$A$1&amp;" "),"")&amp;IF(M311!$C$9="Aula 5",(M311!$A$1&amp;" "),"")&amp;IF(M411!$C$9="Aula 5",(M411!$A$1&amp;" "),""))," ",",")</f>
        <v/>
      </c>
      <c r="G12" s="2">
        <f>SUBSTITUTE(TRIM(IF(D111!$C$9="Aula 6",(D111!$A$1&amp;" "),"")&amp;IF(D211!$C$9="Aula 6",(D211!$A$1&amp;" "),"")&amp;IF(D311!$C$9="Aula 6",(D311!$A$1&amp;" "),"")&amp;IF(D411!$C$9="Aula 6",(D411!$A$1&amp;" "),"")&amp;IF(C111!$C$9="Aula 6",(C111!$A$1&amp;" "),"")&amp;IF(C121!$C$9="Aula 6",(C121!$A$1&amp;" "),"")&amp;IF(C122!$C$9="Aula 6",(C122!$A$1&amp;" "),"")&amp;IF(C211!$C$9="Aula 6",(C211!$A$1&amp;" "),"")&amp;IF(C212!$C$9="Aula 6",(C212!$A$1&amp;" "),"")&amp;IF(C311!$C$9="Aula 6",(C311!$A$1&amp;" "),"")&amp;IF(C312!$C$9="Aula 6",(C312!$A$1&amp;" "),"")&amp;IF(C411!$C$9="Aula 6",(C411!$A$1&amp;" "),"")&amp;IF(C412!$C$9="Aula 6",(C412!$A$1&amp;" "),"")&amp;IF(M111!$C$9="Aula 6",(M111!$A$1&amp;" "),"")&amp;IF(M211!$C$9="Aula 6",(M211!$A$1&amp;" "),"")&amp;IF(M311!$C$9="Aula 6",(M311!$A$1&amp;" "),"")&amp;IF(M411!$C$9="Aula 6",(M411!$A$1&amp;" "),""))," ",",")</f>
        <v/>
      </c>
      <c r="H12" s="2">
        <f>SUBSTITUTE(TRIM(IF(D111!$C$9="Aula 7",(D111!$A$1&amp;" "),"")&amp;IF(D211!$C$9="Aula 7",(D211!$A$1&amp;" "),"")&amp;IF(D311!$C$9="Aula 7",(D311!$A$1&amp;" "),"")&amp;IF(D411!$C$9="Aula 7",(D411!$A$1&amp;" "),"")&amp;IF(C111!$C$9="Aula 7",(C111!$A$1&amp;" "),"")&amp;IF(C121!$C$9="Aula 7",(C121!$A$1&amp;" "),"")&amp;IF(C122!$C$9="Aula 7",(C122!$A$1&amp;" "),"")&amp;IF(C211!$C$9="Aula 7",(C211!$A$1&amp;" "),"")&amp;IF(C212!$C$9="Aula 7",(C212!$A$1&amp;" "),"")&amp;IF(C311!$C$9="Aula 7",(C311!$A$1&amp;" "),"")&amp;IF(C312!$C$9="Aula 7",(C312!$A$1&amp;" "),"")&amp;IF(C411!$C$9="Aula 7",(C411!$A$1&amp;" "),"")&amp;IF(C412!$C$9="Aula 7",(C412!$A$1&amp;" "),"")&amp;IF(M111!$C$9="Aula 7",(M111!$A$1&amp;" "),"")&amp;IF(M211!$C$9="Aula 7",(M211!$A$1&amp;" "),"")&amp;IF(M311!$C$9="Aula 7",(M311!$A$1&amp;" "),"")&amp;IF(M411!$C$9="Aula 7",(M411!$A$1&amp;" "),""))," ",",")</f>
        <v/>
      </c>
      <c r="I12" s="2">
        <f>SUBSTITUTE(TRIM(IF(D111!$C$9="Aula 8",(D111!$A$1&amp;" "),"")&amp;IF(D211!$C$9="Aula 8",(D211!$A$1&amp;" "),"")&amp;IF(D311!$C$9="Aula 8",(D311!$A$1&amp;" "),"")&amp;IF(D411!$C$9="Aula 8",(D411!$A$1&amp;" "),"")&amp;IF(C111!$C$9="Aula 8",(C111!$A$1&amp;" "),"")&amp;IF(C121!$C$9="Aula 8",(C121!$A$1&amp;" "),"")&amp;IF(C122!$C$9="Aula 8",(C122!$A$1&amp;" "),"")&amp;IF(C211!$C$9="Aula 8",(C211!$A$1&amp;" "),"")&amp;IF(C212!$C$9="Aula 8",(C212!$A$1&amp;" "),"")&amp;IF(C311!$C$9="Aula 8",(C311!$A$1&amp;" "),"")&amp;IF(C312!$C$9="Aula 8",(C312!$A$1&amp;" "),"")&amp;IF(C411!$C$9="Aula 8",(C411!$A$1&amp;" "),"")&amp;IF(C412!$C$9="Aula 8",(C412!$A$1&amp;" "),"")&amp;IF(M111!$C$9="Aula 8",(M111!$A$1&amp;" "),"")&amp;IF(M211!$C$9="Aula 8",(M211!$A$1&amp;" "),"")&amp;IF(M311!$C$9="Aula 8",(M311!$A$1&amp;" "),"")&amp;IF(M411!$C$9="Aula 8",(M411!$A$1&amp;" "),""))," ",",")</f>
        <v/>
      </c>
      <c r="J12" s="2">
        <f>SUBSTITUTE(TRIM(IF(D111!$C$9="Aula 9",(D111!$A$1&amp;" "),"")&amp;IF(D211!$C$9="Aula 9",(D211!$A$1&amp;" "),"")&amp;IF(D311!$C$9="Aula 9",(D311!$A$1&amp;" "),"")&amp;IF(D411!$C$9="Aula 9",(D411!$A$1&amp;" "),"")&amp;IF(C111!$C$9="Aula 9",(C111!$A$1&amp;" "),"")&amp;IF(C121!$C$9="Aula 9",(C121!$A$1&amp;" "),"")&amp;IF(C122!$C$9="Aula 9",(C122!$A$1&amp;" "),"")&amp;IF(C211!$C$9="Aula 9",(C211!$A$1&amp;" "),"")&amp;IF(C212!$C$9="Aula 9",(C212!$A$1&amp;" "),"")&amp;IF(C311!$C$9="Aula 9",(C311!$A$1&amp;" "),"")&amp;IF(C312!$C$9="Aula 9",(C312!$A$1&amp;" "),"")&amp;IF(C411!$C$9="Aula 9",(C411!$A$1&amp;" "),"")&amp;IF(C412!$C$9="Aula 9",(C412!$A$1&amp;" "),"")&amp;IF(M111!$C$9="Aula 9",(M111!$A$1&amp;" "),"")&amp;IF(M211!$C$9="Aula 9",(M211!$A$1&amp;" "),"")&amp;IF(M311!$C$9="Aula 9",(M311!$A$1&amp;" "),"")&amp;IF(M411!$C$9="Aula 9",(M411!$A$1&amp;" "),""))," ",",")</f>
        <v/>
      </c>
      <c r="K12" s="2">
        <f>SUBSTITUTE(TRIM(IF(D111!$C$9="Lab",(D111!$A$1&amp;" "),"")&amp;IF(D211!$C$9="Lab",(D211!$A$1&amp;" "),"")&amp;IF(D311!$C$9="Lab",(D311!$A$1&amp;" "),"")&amp;IF(D411!$C$9="Lab",(D411!$A$1&amp;" "),"")&amp;IF(C111!$C$9="Lab",(C111!$A$1&amp;" "),"")&amp;IF(C121!$C$9="Lab",(C121!$A$1&amp;" "),"")&amp;IF(C122!$C$9="Lab",(C122!$A$1&amp;" "),"")&amp;IF(C211!$C$9="Lab",(C211!$A$1&amp;" "),"")&amp;IF(C212!$C$9="Lab",(C212!$A$1&amp;" "),"")&amp;IF(C311!$C$9="Lab",(C311!$A$1&amp;" "),"")&amp;IF(C312!$C$9="Lab",(C312!$A$1&amp;" "),"")&amp;IF(C411!$C$9="Lab",(C411!$A$1&amp;" "),"")&amp;IF(C412!$C$9="Lab",(C412!$A$1&amp;" "),"")&amp;IF(M111!$C$9="Lab",(M111!$A$1&amp;" "),"")&amp;IF(M211!$C$9="Lab",(M211!$A$1&amp;" "),"")&amp;IF(M311!$C$9="Lab",(M311!$A$1&amp;" "),"")&amp;IF(M411!$C$9="Lab",(M411!$A$1&amp;" "),""))," ",",")</f>
        <v/>
      </c>
      <c r="L12" t="inlineStr"/>
    </row>
    <row r="13">
      <c r="A13" s="2" t="inlineStr">
        <is>
          <t>4</t>
        </is>
      </c>
      <c r="B13" s="2">
        <f>SUBSTITUTE(TRIM(IF(D111!$C$11="Aula 1",(D111!$A$1&amp;" "),"")&amp;IF(D211!$C$11="Aula 1",(D211!$A$1&amp;" "),"")&amp;IF(D311!$C$11="Aula 1",(D311!$A$1&amp;" "),"")&amp;IF(D411!$C$11="Aula 1",(D411!$A$1&amp;" "),"")&amp;IF(C111!$C$11="Aula 1",(C111!$A$1&amp;" "),"")&amp;IF(C121!$C$11="Aula 1",(C121!$A$1&amp;" "),"")&amp;IF(C122!$C$11="Aula 1",(C122!$A$1&amp;" "),"")&amp;IF(C211!$C$11="Aula 1",(C211!$A$1&amp;" "),"")&amp;IF(C212!$C$11="Aula 1",(C212!$A$1&amp;" "),"")&amp;IF(C311!$C$11="Aula 1",(C311!$A$1&amp;" "),"")&amp;IF(C312!$C$11="Aula 1",(C312!$A$1&amp;" "),"")&amp;IF(C411!$C$11="Aula 1",(C411!$A$1&amp;" "),"")&amp;IF(C412!$C$11="Aula 1",(C412!$A$1&amp;" "),"")&amp;IF(M111!$C$11="Aula 1",(M111!$A$1&amp;" "),"")&amp;IF(M211!$C$11="Aula 1",(M211!$A$1&amp;" "),"")&amp;IF(M311!$C$11="Aula 1",(M311!$A$1&amp;" "),"")&amp;IF(M411!$C$11="Aula 1",(M411!$A$1&amp;" "),""))," ",",")</f>
        <v/>
      </c>
      <c r="C13" s="2">
        <f>SUBSTITUTE(TRIM(IF(D111!$C$11="Aula 2",(D111!$A$1&amp;" "),"")&amp;IF(D211!$C$11="Aula 2",(D211!$A$1&amp;" "),"")&amp;IF(D311!$C$11="Aula 2",(D311!$A$1&amp;" "),"")&amp;IF(D411!$C$11="Aula 2",(D411!$A$1&amp;" "),"")&amp;IF(C111!$C$11="Aula 2",(C111!$A$1&amp;" "),"")&amp;IF(C121!$C$11="Aula 2",(C121!$A$1&amp;" "),"")&amp;IF(C122!$C$11="Aula 2",(C122!$A$1&amp;" "),"")&amp;IF(C211!$C$11="Aula 2",(C211!$A$1&amp;" "),"")&amp;IF(C212!$C$11="Aula 2",(C212!$A$1&amp;" "),"")&amp;IF(C311!$C$11="Aula 2",(C311!$A$1&amp;" "),"")&amp;IF(C312!$C$11="Aula 2",(C312!$A$1&amp;" "),"")&amp;IF(C411!$C$11="Aula 2",(C411!$A$1&amp;" "),"")&amp;IF(C412!$C$11="Aula 2",(C412!$A$1&amp;" "),"")&amp;IF(M111!$C$11="Aula 2",(M111!$A$1&amp;" "),"")&amp;IF(M211!$C$11="Aula 2",(M211!$A$1&amp;" "),"")&amp;IF(M311!$C$11="Aula 2",(M311!$A$1&amp;" "),"")&amp;IF(M411!$C$11="Aula 2",(M411!$A$1&amp;" "),""))," ",",")</f>
        <v/>
      </c>
      <c r="D13" s="2">
        <f>SUBSTITUTE(TRIM(IF(D111!$C$11="Aula 3",(D111!$A$1&amp;" "),"")&amp;IF(D211!$C$11="Aula 3",(D211!$A$1&amp;" "),"")&amp;IF(D311!$C$11="Aula 3",(D311!$A$1&amp;" "),"")&amp;IF(D411!$C$11="Aula 3",(D411!$A$1&amp;" "),"")&amp;IF(C111!$C$11="Aula 3",(C111!$A$1&amp;" "),"")&amp;IF(C121!$C$11="Aula 3",(C121!$A$1&amp;" "),"")&amp;IF(C122!$C$11="Aula 3",(C122!$A$1&amp;" "),"")&amp;IF(C211!$C$11="Aula 3",(C211!$A$1&amp;" "),"")&amp;IF(C212!$C$11="Aula 3",(C212!$A$1&amp;" "),"")&amp;IF(C311!$C$11="Aula 3",(C311!$A$1&amp;" "),"")&amp;IF(C312!$C$11="Aula 3",(C312!$A$1&amp;" "),"")&amp;IF(C411!$C$11="Aula 3",(C411!$A$1&amp;" "),"")&amp;IF(C412!$C$11="Aula 3",(C412!$A$1&amp;" "),"")&amp;IF(M111!$C$11="Aula 3",(M111!$A$1&amp;" "),"")&amp;IF(M211!$C$11="Aula 3",(M211!$A$1&amp;" "),"")&amp;IF(M311!$C$11="Aula 3",(M311!$A$1&amp;" "),"")&amp;IF(M411!$C$11="Aula 3",(M411!$A$1&amp;" "),""))," ",",")</f>
        <v/>
      </c>
      <c r="E13" s="2">
        <f>SUBSTITUTE(TRIM(IF(D111!$C$11="Aula 4",(D111!$A$1&amp;" "),"")&amp;IF(D211!$C$11="Aula 4",(D211!$A$1&amp;" "),"")&amp;IF(D311!$C$11="Aula 4",(D311!$A$1&amp;" "),"")&amp;IF(D411!$C$11="Aula 4",(D411!$A$1&amp;" "),"")&amp;IF(C111!$C$11="Aula 4",(C111!$A$1&amp;" "),"")&amp;IF(C121!$C$11="Aula 4",(C121!$A$1&amp;" "),"")&amp;IF(C122!$C$11="Aula 4",(C122!$A$1&amp;" "),"")&amp;IF(C211!$C$11="Aula 4",(C211!$A$1&amp;" "),"")&amp;IF(C212!$C$11="Aula 4",(C212!$A$1&amp;" "),"")&amp;IF(C311!$C$11="Aula 4",(C311!$A$1&amp;" "),"")&amp;IF(C312!$C$11="Aula 4",(C312!$A$1&amp;" "),"")&amp;IF(C411!$C$11="Aula 4",(C411!$A$1&amp;" "),"")&amp;IF(C412!$C$11="Aula 4",(C412!$A$1&amp;" "),"")&amp;IF(M111!$C$11="Aula 4",(M111!$A$1&amp;" "),"")&amp;IF(M211!$C$11="Aula 4",(M211!$A$1&amp;" "),"")&amp;IF(M311!$C$11="Aula 4",(M311!$A$1&amp;" "),"")&amp;IF(M411!$C$11="Aula 4",(M411!$A$1&amp;" "),""))," ",",")</f>
        <v/>
      </c>
      <c r="F13" s="2">
        <f>SUBSTITUTE(TRIM(IF(D111!$C$11="Aula 5",(D111!$A$1&amp;" "),"")&amp;IF(D211!$C$11="Aula 5",(D211!$A$1&amp;" "),"")&amp;IF(D311!$C$11="Aula 5",(D311!$A$1&amp;" "),"")&amp;IF(D411!$C$11="Aula 5",(D411!$A$1&amp;" "),"")&amp;IF(C111!$C$11="Aula 5",(C111!$A$1&amp;" "),"")&amp;IF(C121!$C$11="Aula 5",(C121!$A$1&amp;" "),"")&amp;IF(C122!$C$11="Aula 5",(C122!$A$1&amp;" "),"")&amp;IF(C211!$C$11="Aula 5",(C211!$A$1&amp;" "),"")&amp;IF(C212!$C$11="Aula 5",(C212!$A$1&amp;" "),"")&amp;IF(C311!$C$11="Aula 5",(C311!$A$1&amp;" "),"")&amp;IF(C312!$C$11="Aula 5",(C312!$A$1&amp;" "),"")&amp;IF(C411!$C$11="Aula 5",(C411!$A$1&amp;" "),"")&amp;IF(C412!$C$11="Aula 5",(C412!$A$1&amp;" "),"")&amp;IF(M111!$C$11="Aula 5",(M111!$A$1&amp;" "),"")&amp;IF(M211!$C$11="Aula 5",(M211!$A$1&amp;" "),"")&amp;IF(M311!$C$11="Aula 5",(M311!$A$1&amp;" "),"")&amp;IF(M411!$C$11="Aula 5",(M411!$A$1&amp;" "),""))," ",",")</f>
        <v/>
      </c>
      <c r="G13" s="2">
        <f>SUBSTITUTE(TRIM(IF(D111!$C$11="Aula 6",(D111!$A$1&amp;" "),"")&amp;IF(D211!$C$11="Aula 6",(D211!$A$1&amp;" "),"")&amp;IF(D311!$C$11="Aula 6",(D311!$A$1&amp;" "),"")&amp;IF(D411!$C$11="Aula 6",(D411!$A$1&amp;" "),"")&amp;IF(C111!$C$11="Aula 6",(C111!$A$1&amp;" "),"")&amp;IF(C121!$C$11="Aula 6",(C121!$A$1&amp;" "),"")&amp;IF(C122!$C$11="Aula 6",(C122!$A$1&amp;" "),"")&amp;IF(C211!$C$11="Aula 6",(C211!$A$1&amp;" "),"")&amp;IF(C212!$C$11="Aula 6",(C212!$A$1&amp;" "),"")&amp;IF(C311!$C$11="Aula 6",(C311!$A$1&amp;" "),"")&amp;IF(C312!$C$11="Aula 6",(C312!$A$1&amp;" "),"")&amp;IF(C411!$C$11="Aula 6",(C411!$A$1&amp;" "),"")&amp;IF(C412!$C$11="Aula 6",(C412!$A$1&amp;" "),"")&amp;IF(M111!$C$11="Aula 6",(M111!$A$1&amp;" "),"")&amp;IF(M211!$C$11="Aula 6",(M211!$A$1&amp;" "),"")&amp;IF(M311!$C$11="Aula 6",(M311!$A$1&amp;" "),"")&amp;IF(M411!$C$11="Aula 6",(M411!$A$1&amp;" "),""))," ",",")</f>
        <v/>
      </c>
      <c r="H13" s="2">
        <f>SUBSTITUTE(TRIM(IF(D111!$C$11="Aula 7",(D111!$A$1&amp;" "),"")&amp;IF(D211!$C$11="Aula 7",(D211!$A$1&amp;" "),"")&amp;IF(D311!$C$11="Aula 7",(D311!$A$1&amp;" "),"")&amp;IF(D411!$C$11="Aula 7",(D411!$A$1&amp;" "),"")&amp;IF(C111!$C$11="Aula 7",(C111!$A$1&amp;" "),"")&amp;IF(C121!$C$11="Aula 7",(C121!$A$1&amp;" "),"")&amp;IF(C122!$C$11="Aula 7",(C122!$A$1&amp;" "),"")&amp;IF(C211!$C$11="Aula 7",(C211!$A$1&amp;" "),"")&amp;IF(C212!$C$11="Aula 7",(C212!$A$1&amp;" "),"")&amp;IF(C311!$C$11="Aula 7",(C311!$A$1&amp;" "),"")&amp;IF(C312!$C$11="Aula 7",(C312!$A$1&amp;" "),"")&amp;IF(C411!$C$11="Aula 7",(C411!$A$1&amp;" "),"")&amp;IF(C412!$C$11="Aula 7",(C412!$A$1&amp;" "),"")&amp;IF(M111!$C$11="Aula 7",(M111!$A$1&amp;" "),"")&amp;IF(M211!$C$11="Aula 7",(M211!$A$1&amp;" "),"")&amp;IF(M311!$C$11="Aula 7",(M311!$A$1&amp;" "),"")&amp;IF(M411!$C$11="Aula 7",(M411!$A$1&amp;" "),""))," ",",")</f>
        <v/>
      </c>
      <c r="I13" s="2">
        <f>SUBSTITUTE(TRIM(IF(D111!$C$11="Aula 8",(D111!$A$1&amp;" "),"")&amp;IF(D211!$C$11="Aula 8",(D211!$A$1&amp;" "),"")&amp;IF(D311!$C$11="Aula 8",(D311!$A$1&amp;" "),"")&amp;IF(D411!$C$11="Aula 8",(D411!$A$1&amp;" "),"")&amp;IF(C111!$C$11="Aula 8",(C111!$A$1&amp;" "),"")&amp;IF(C121!$C$11="Aula 8",(C121!$A$1&amp;" "),"")&amp;IF(C122!$C$11="Aula 8",(C122!$A$1&amp;" "),"")&amp;IF(C211!$C$11="Aula 8",(C211!$A$1&amp;" "),"")&amp;IF(C212!$C$11="Aula 8",(C212!$A$1&amp;" "),"")&amp;IF(C311!$C$11="Aula 8",(C311!$A$1&amp;" "),"")&amp;IF(C312!$C$11="Aula 8",(C312!$A$1&amp;" "),"")&amp;IF(C411!$C$11="Aula 8",(C411!$A$1&amp;" "),"")&amp;IF(C412!$C$11="Aula 8",(C412!$A$1&amp;" "),"")&amp;IF(M111!$C$11="Aula 8",(M111!$A$1&amp;" "),"")&amp;IF(M211!$C$11="Aula 8",(M211!$A$1&amp;" "),"")&amp;IF(M311!$C$11="Aula 8",(M311!$A$1&amp;" "),"")&amp;IF(M411!$C$11="Aula 8",(M411!$A$1&amp;" "),""))," ",",")</f>
        <v/>
      </c>
      <c r="J13" s="2">
        <f>SUBSTITUTE(TRIM(IF(D111!$C$11="Aula 9",(D111!$A$1&amp;" "),"")&amp;IF(D211!$C$11="Aula 9",(D211!$A$1&amp;" "),"")&amp;IF(D311!$C$11="Aula 9",(D311!$A$1&amp;" "),"")&amp;IF(D411!$C$11="Aula 9",(D411!$A$1&amp;" "),"")&amp;IF(C111!$C$11="Aula 9",(C111!$A$1&amp;" "),"")&amp;IF(C121!$C$11="Aula 9",(C121!$A$1&amp;" "),"")&amp;IF(C122!$C$11="Aula 9",(C122!$A$1&amp;" "),"")&amp;IF(C211!$C$11="Aula 9",(C211!$A$1&amp;" "),"")&amp;IF(C212!$C$11="Aula 9",(C212!$A$1&amp;" "),"")&amp;IF(C311!$C$11="Aula 9",(C311!$A$1&amp;" "),"")&amp;IF(C312!$C$11="Aula 9",(C312!$A$1&amp;" "),"")&amp;IF(C411!$C$11="Aula 9",(C411!$A$1&amp;" "),"")&amp;IF(C412!$C$11="Aula 9",(C412!$A$1&amp;" "),"")&amp;IF(M111!$C$11="Aula 9",(M111!$A$1&amp;" "),"")&amp;IF(M211!$C$11="Aula 9",(M211!$A$1&amp;" "),"")&amp;IF(M311!$C$11="Aula 9",(M311!$A$1&amp;" "),"")&amp;IF(M411!$C$11="Aula 9",(M411!$A$1&amp;" "),""))," ",",")</f>
        <v/>
      </c>
      <c r="K13" s="2">
        <f>SUBSTITUTE(TRIM(IF(D111!$C$11="Lab",(D111!$A$1&amp;" "),"")&amp;IF(D211!$C$11="Lab",(D211!$A$1&amp;" "),"")&amp;IF(D311!$C$11="Lab",(D311!$A$1&amp;" "),"")&amp;IF(D411!$C$11="Lab",(D411!$A$1&amp;" "),"")&amp;IF(C111!$C$11="Lab",(C111!$A$1&amp;" "),"")&amp;IF(C121!$C$11="Lab",(C121!$A$1&amp;" "),"")&amp;IF(C122!$C$11="Lab",(C122!$A$1&amp;" "),"")&amp;IF(C211!$C$11="Lab",(C211!$A$1&amp;" "),"")&amp;IF(C212!$C$11="Lab",(C212!$A$1&amp;" "),"")&amp;IF(C311!$C$11="Lab",(C311!$A$1&amp;" "),"")&amp;IF(C312!$C$11="Lab",(C312!$A$1&amp;" "),"")&amp;IF(C411!$C$11="Lab",(C411!$A$1&amp;" "),"")&amp;IF(C412!$C$11="Lab",(C412!$A$1&amp;" "),"")&amp;IF(M111!$C$11="Lab",(M111!$A$1&amp;" "),"")&amp;IF(M211!$C$11="Lab",(M211!$A$1&amp;" "),"")&amp;IF(M311!$C$11="Lab",(M311!$A$1&amp;" "),"")&amp;IF(M411!$C$11="Lab",(M411!$A$1&amp;" "),""))," ",",")</f>
        <v/>
      </c>
      <c r="L13" t="inlineStr"/>
    </row>
    <row r="14">
      <c r="A14" s="2" t="inlineStr">
        <is>
          <t>5</t>
        </is>
      </c>
      <c r="B14" s="2">
        <f>SUBSTITUTE(TRIM(IF(D111!$C$13="Aula 1",(D111!$A$1&amp;" "),"")&amp;IF(D211!$C$13="Aula 1",(D211!$A$1&amp;" "),"")&amp;IF(D311!$C$13="Aula 1",(D311!$A$1&amp;" "),"")&amp;IF(D411!$C$13="Aula 1",(D411!$A$1&amp;" "),"")&amp;IF(C111!$C$13="Aula 1",(C111!$A$1&amp;" "),"")&amp;IF(C121!$C$13="Aula 1",(C121!$A$1&amp;" "),"")&amp;IF(C122!$C$13="Aula 1",(C122!$A$1&amp;" "),"")&amp;IF(C211!$C$13="Aula 1",(C211!$A$1&amp;" "),"")&amp;IF(C212!$C$13="Aula 1",(C212!$A$1&amp;" "),"")&amp;IF(C311!$C$13="Aula 1",(C311!$A$1&amp;" "),"")&amp;IF(C312!$C$13="Aula 1",(C312!$A$1&amp;" "),"")&amp;IF(C411!$C$13="Aula 1",(C411!$A$1&amp;" "),"")&amp;IF(C412!$C$13="Aula 1",(C412!$A$1&amp;" "),"")&amp;IF(M111!$C$13="Aula 1",(M111!$A$1&amp;" "),"")&amp;IF(M211!$C$13="Aula 1",(M211!$A$1&amp;" "),"")&amp;IF(M311!$C$13="Aula 1",(M311!$A$1&amp;" "),"")&amp;IF(M411!$C$13="Aula 1",(M411!$A$1&amp;" "),""))," ",",")</f>
        <v/>
      </c>
      <c r="C14" s="2">
        <f>SUBSTITUTE(TRIM(IF(D111!$C$13="Aula 2",(D111!$A$1&amp;" "),"")&amp;IF(D211!$C$13="Aula 2",(D211!$A$1&amp;" "),"")&amp;IF(D311!$C$13="Aula 2",(D311!$A$1&amp;" "),"")&amp;IF(D411!$C$13="Aula 2",(D411!$A$1&amp;" "),"")&amp;IF(C111!$C$13="Aula 2",(C111!$A$1&amp;" "),"")&amp;IF(C121!$C$13="Aula 2",(C121!$A$1&amp;" "),"")&amp;IF(C122!$C$13="Aula 2",(C122!$A$1&amp;" "),"")&amp;IF(C211!$C$13="Aula 2",(C211!$A$1&amp;" "),"")&amp;IF(C212!$C$13="Aula 2",(C212!$A$1&amp;" "),"")&amp;IF(C311!$C$13="Aula 2",(C311!$A$1&amp;" "),"")&amp;IF(C312!$C$13="Aula 2",(C312!$A$1&amp;" "),"")&amp;IF(C411!$C$13="Aula 2",(C411!$A$1&amp;" "),"")&amp;IF(C412!$C$13="Aula 2",(C412!$A$1&amp;" "),"")&amp;IF(M111!$C$13="Aula 2",(M111!$A$1&amp;" "),"")&amp;IF(M211!$C$13="Aula 2",(M211!$A$1&amp;" "),"")&amp;IF(M311!$C$13="Aula 2",(M311!$A$1&amp;" "),"")&amp;IF(M411!$C$13="Aula 2",(M411!$A$1&amp;" "),""))," ",",")</f>
        <v/>
      </c>
      <c r="D14" s="2">
        <f>SUBSTITUTE(TRIM(IF(D111!$C$13="Aula 3",(D111!$A$1&amp;" "),"")&amp;IF(D211!$C$13="Aula 3",(D211!$A$1&amp;" "),"")&amp;IF(D311!$C$13="Aula 3",(D311!$A$1&amp;" "),"")&amp;IF(D411!$C$13="Aula 3",(D411!$A$1&amp;" "),"")&amp;IF(C111!$C$13="Aula 3",(C111!$A$1&amp;" "),"")&amp;IF(C121!$C$13="Aula 3",(C121!$A$1&amp;" "),"")&amp;IF(C122!$C$13="Aula 3",(C122!$A$1&amp;" "),"")&amp;IF(C211!$C$13="Aula 3",(C211!$A$1&amp;" "),"")&amp;IF(C212!$C$13="Aula 3",(C212!$A$1&amp;" "),"")&amp;IF(C311!$C$13="Aula 3",(C311!$A$1&amp;" "),"")&amp;IF(C312!$C$13="Aula 3",(C312!$A$1&amp;" "),"")&amp;IF(C411!$C$13="Aula 3",(C411!$A$1&amp;" "),"")&amp;IF(C412!$C$13="Aula 3",(C412!$A$1&amp;" "),"")&amp;IF(M111!$C$13="Aula 3",(M111!$A$1&amp;" "),"")&amp;IF(M211!$C$13="Aula 3",(M211!$A$1&amp;" "),"")&amp;IF(M311!$C$13="Aula 3",(M311!$A$1&amp;" "),"")&amp;IF(M411!$C$13="Aula 3",(M411!$A$1&amp;" "),""))," ",",")</f>
        <v/>
      </c>
      <c r="E14" s="2">
        <f>SUBSTITUTE(TRIM(IF(D111!$C$13="Aula 4",(D111!$A$1&amp;" "),"")&amp;IF(D211!$C$13="Aula 4",(D211!$A$1&amp;" "),"")&amp;IF(D311!$C$13="Aula 4",(D311!$A$1&amp;" "),"")&amp;IF(D411!$C$13="Aula 4",(D411!$A$1&amp;" "),"")&amp;IF(C111!$C$13="Aula 4",(C111!$A$1&amp;" "),"")&amp;IF(C121!$C$13="Aula 4",(C121!$A$1&amp;" "),"")&amp;IF(C122!$C$13="Aula 4",(C122!$A$1&amp;" "),"")&amp;IF(C211!$C$13="Aula 4",(C211!$A$1&amp;" "),"")&amp;IF(C212!$C$13="Aula 4",(C212!$A$1&amp;" "),"")&amp;IF(C311!$C$13="Aula 4",(C311!$A$1&amp;" "),"")&amp;IF(C312!$C$13="Aula 4",(C312!$A$1&amp;" "),"")&amp;IF(C411!$C$13="Aula 4",(C411!$A$1&amp;" "),"")&amp;IF(C412!$C$13="Aula 4",(C412!$A$1&amp;" "),"")&amp;IF(M111!$C$13="Aula 4",(M111!$A$1&amp;" "),"")&amp;IF(M211!$C$13="Aula 4",(M211!$A$1&amp;" "),"")&amp;IF(M311!$C$13="Aula 4",(M311!$A$1&amp;" "),"")&amp;IF(M411!$C$13="Aula 4",(M411!$A$1&amp;" "),""))," ",",")</f>
        <v/>
      </c>
      <c r="F14" s="2">
        <f>SUBSTITUTE(TRIM(IF(D111!$C$13="Aula 5",(D111!$A$1&amp;" "),"")&amp;IF(D211!$C$13="Aula 5",(D211!$A$1&amp;" "),"")&amp;IF(D311!$C$13="Aula 5",(D311!$A$1&amp;" "),"")&amp;IF(D411!$C$13="Aula 5",(D411!$A$1&amp;" "),"")&amp;IF(C111!$C$13="Aula 5",(C111!$A$1&amp;" "),"")&amp;IF(C121!$C$13="Aula 5",(C121!$A$1&amp;" "),"")&amp;IF(C122!$C$13="Aula 5",(C122!$A$1&amp;" "),"")&amp;IF(C211!$C$13="Aula 5",(C211!$A$1&amp;" "),"")&amp;IF(C212!$C$13="Aula 5",(C212!$A$1&amp;" "),"")&amp;IF(C311!$C$13="Aula 5",(C311!$A$1&amp;" "),"")&amp;IF(C312!$C$13="Aula 5",(C312!$A$1&amp;" "),"")&amp;IF(C411!$C$13="Aula 5",(C411!$A$1&amp;" "),"")&amp;IF(C412!$C$13="Aula 5",(C412!$A$1&amp;" "),"")&amp;IF(M111!$C$13="Aula 5",(M111!$A$1&amp;" "),"")&amp;IF(M211!$C$13="Aula 5",(M211!$A$1&amp;" "),"")&amp;IF(M311!$C$13="Aula 5",(M311!$A$1&amp;" "),"")&amp;IF(M411!$C$13="Aula 5",(M411!$A$1&amp;" "),""))," ",",")</f>
        <v/>
      </c>
      <c r="G14" s="2">
        <f>SUBSTITUTE(TRIM(IF(D111!$C$13="Aula 6",(D111!$A$1&amp;" "),"")&amp;IF(D211!$C$13="Aula 6",(D211!$A$1&amp;" "),"")&amp;IF(D311!$C$13="Aula 6",(D311!$A$1&amp;" "),"")&amp;IF(D411!$C$13="Aula 6",(D411!$A$1&amp;" "),"")&amp;IF(C111!$C$13="Aula 6",(C111!$A$1&amp;" "),"")&amp;IF(C121!$C$13="Aula 6",(C121!$A$1&amp;" "),"")&amp;IF(C122!$C$13="Aula 6",(C122!$A$1&amp;" "),"")&amp;IF(C211!$C$13="Aula 6",(C211!$A$1&amp;" "),"")&amp;IF(C212!$C$13="Aula 6",(C212!$A$1&amp;" "),"")&amp;IF(C311!$C$13="Aula 6",(C311!$A$1&amp;" "),"")&amp;IF(C312!$C$13="Aula 6",(C312!$A$1&amp;" "),"")&amp;IF(C411!$C$13="Aula 6",(C411!$A$1&amp;" "),"")&amp;IF(C412!$C$13="Aula 6",(C412!$A$1&amp;" "),"")&amp;IF(M111!$C$13="Aula 6",(M111!$A$1&amp;" "),"")&amp;IF(M211!$C$13="Aula 6",(M211!$A$1&amp;" "),"")&amp;IF(M311!$C$13="Aula 6",(M311!$A$1&amp;" "),"")&amp;IF(M411!$C$13="Aula 6",(M411!$A$1&amp;" "),""))," ",",")</f>
        <v/>
      </c>
      <c r="H14" s="2">
        <f>SUBSTITUTE(TRIM(IF(D111!$C$13="Aula 7",(D111!$A$1&amp;" "),"")&amp;IF(D211!$C$13="Aula 7",(D211!$A$1&amp;" "),"")&amp;IF(D311!$C$13="Aula 7",(D311!$A$1&amp;" "),"")&amp;IF(D411!$C$13="Aula 7",(D411!$A$1&amp;" "),"")&amp;IF(C111!$C$13="Aula 7",(C111!$A$1&amp;" "),"")&amp;IF(C121!$C$13="Aula 7",(C121!$A$1&amp;" "),"")&amp;IF(C122!$C$13="Aula 7",(C122!$A$1&amp;" "),"")&amp;IF(C211!$C$13="Aula 7",(C211!$A$1&amp;" "),"")&amp;IF(C212!$C$13="Aula 7",(C212!$A$1&amp;" "),"")&amp;IF(C311!$C$13="Aula 7",(C311!$A$1&amp;" "),"")&amp;IF(C312!$C$13="Aula 7",(C312!$A$1&amp;" "),"")&amp;IF(C411!$C$13="Aula 7",(C411!$A$1&amp;" "),"")&amp;IF(C412!$C$13="Aula 7",(C412!$A$1&amp;" "),"")&amp;IF(M111!$C$13="Aula 7",(M111!$A$1&amp;" "),"")&amp;IF(M211!$C$13="Aula 7",(M211!$A$1&amp;" "),"")&amp;IF(M311!$C$13="Aula 7",(M311!$A$1&amp;" "),"")&amp;IF(M411!$C$13="Aula 7",(M411!$A$1&amp;" "),""))," ",",")</f>
        <v/>
      </c>
      <c r="I14" s="2">
        <f>SUBSTITUTE(TRIM(IF(D111!$C$13="Aula 8",(D111!$A$1&amp;" "),"")&amp;IF(D211!$C$13="Aula 8",(D211!$A$1&amp;" "),"")&amp;IF(D311!$C$13="Aula 8",(D311!$A$1&amp;" "),"")&amp;IF(D411!$C$13="Aula 8",(D411!$A$1&amp;" "),"")&amp;IF(C111!$C$13="Aula 8",(C111!$A$1&amp;" "),"")&amp;IF(C121!$C$13="Aula 8",(C121!$A$1&amp;" "),"")&amp;IF(C122!$C$13="Aula 8",(C122!$A$1&amp;" "),"")&amp;IF(C211!$C$13="Aula 8",(C211!$A$1&amp;" "),"")&amp;IF(C212!$C$13="Aula 8",(C212!$A$1&amp;" "),"")&amp;IF(C311!$C$13="Aula 8",(C311!$A$1&amp;" "),"")&amp;IF(C312!$C$13="Aula 8",(C312!$A$1&amp;" "),"")&amp;IF(C411!$C$13="Aula 8",(C411!$A$1&amp;" "),"")&amp;IF(C412!$C$13="Aula 8",(C412!$A$1&amp;" "),"")&amp;IF(M111!$C$13="Aula 8",(M111!$A$1&amp;" "),"")&amp;IF(M211!$C$13="Aula 8",(M211!$A$1&amp;" "),"")&amp;IF(M311!$C$13="Aula 8",(M311!$A$1&amp;" "),"")&amp;IF(M411!$C$13="Aula 8",(M411!$A$1&amp;" "),""))," ",",")</f>
        <v/>
      </c>
      <c r="J14" s="2">
        <f>SUBSTITUTE(TRIM(IF(D111!$C$13="Aula 9",(D111!$A$1&amp;" "),"")&amp;IF(D211!$C$13="Aula 9",(D211!$A$1&amp;" "),"")&amp;IF(D311!$C$13="Aula 9",(D311!$A$1&amp;" "),"")&amp;IF(D411!$C$13="Aula 9",(D411!$A$1&amp;" "),"")&amp;IF(C111!$C$13="Aula 9",(C111!$A$1&amp;" "),"")&amp;IF(C121!$C$13="Aula 9",(C121!$A$1&amp;" "),"")&amp;IF(C122!$C$13="Aula 9",(C122!$A$1&amp;" "),"")&amp;IF(C211!$C$13="Aula 9",(C211!$A$1&amp;" "),"")&amp;IF(C212!$C$13="Aula 9",(C212!$A$1&amp;" "),"")&amp;IF(C311!$C$13="Aula 9",(C311!$A$1&amp;" "),"")&amp;IF(C312!$C$13="Aula 9",(C312!$A$1&amp;" "),"")&amp;IF(C411!$C$13="Aula 9",(C411!$A$1&amp;" "),"")&amp;IF(C412!$C$13="Aula 9",(C412!$A$1&amp;" "),"")&amp;IF(M111!$C$13="Aula 9",(M111!$A$1&amp;" "),"")&amp;IF(M211!$C$13="Aula 9",(M211!$A$1&amp;" "),"")&amp;IF(M311!$C$13="Aula 9",(M311!$A$1&amp;" "),"")&amp;IF(M411!$C$13="Aula 9",(M411!$A$1&amp;" "),""))," ",",")</f>
        <v/>
      </c>
      <c r="K14" s="2">
        <f>SUBSTITUTE(TRIM(IF(D111!$C$13="Lab",(D111!$A$1&amp;" "),"")&amp;IF(D211!$C$13="Lab",(D211!$A$1&amp;" "),"")&amp;IF(D311!$C$13="Lab",(D311!$A$1&amp;" "),"")&amp;IF(D411!$C$13="Lab",(D411!$A$1&amp;" "),"")&amp;IF(C111!$C$13="Lab",(C111!$A$1&amp;" "),"")&amp;IF(C121!$C$13="Lab",(C121!$A$1&amp;" "),"")&amp;IF(C122!$C$13="Lab",(C122!$A$1&amp;" "),"")&amp;IF(C211!$C$13="Lab",(C211!$A$1&amp;" "),"")&amp;IF(C212!$C$13="Lab",(C212!$A$1&amp;" "),"")&amp;IF(C311!$C$13="Lab",(C311!$A$1&amp;" "),"")&amp;IF(C312!$C$13="Lab",(C312!$A$1&amp;" "),"")&amp;IF(C411!$C$13="Lab",(C411!$A$1&amp;" "),"")&amp;IF(C412!$C$13="Lab",(C412!$A$1&amp;" "),"")&amp;IF(M111!$C$13="Lab",(M111!$A$1&amp;" "),"")&amp;IF(M211!$C$13="Lab",(M211!$A$1&amp;" "),"")&amp;IF(M311!$C$13="Lab",(M311!$A$1&amp;" "),"")&amp;IF(M411!$C$13="Lab",(M411!$A$1&amp;" "),""))," ",",")</f>
        <v/>
      </c>
      <c r="L14" t="inlineStr"/>
    </row>
    <row r="15">
      <c r="A15" s="2" t="inlineStr">
        <is>
          <t>6</t>
        </is>
      </c>
      <c r="B15" s="2">
        <f>SUBSTITUTE(TRIM(IF(D111!$C$15="Aula 1",(D111!$A$1&amp;" "),"")&amp;IF(D211!$C$15="Aula 1",(D211!$A$1&amp;" "),"")&amp;IF(D311!$C$15="Aula 1",(D311!$A$1&amp;" "),"")&amp;IF(D411!$C$15="Aula 1",(D411!$A$1&amp;" "),"")&amp;IF(C111!$C$15="Aula 1",(C111!$A$1&amp;" "),"")&amp;IF(C121!$C$15="Aula 1",(C121!$A$1&amp;" "),"")&amp;IF(C122!$C$15="Aula 1",(C122!$A$1&amp;" "),"")&amp;IF(C211!$C$15="Aula 1",(C211!$A$1&amp;" "),"")&amp;IF(C212!$C$15="Aula 1",(C212!$A$1&amp;" "),"")&amp;IF(C311!$C$15="Aula 1",(C311!$A$1&amp;" "),"")&amp;IF(C312!$C$15="Aula 1",(C312!$A$1&amp;" "),"")&amp;IF(C411!$C$15="Aula 1",(C411!$A$1&amp;" "),"")&amp;IF(C412!$C$15="Aula 1",(C412!$A$1&amp;" "),"")&amp;IF(M111!$C$15="Aula 1",(M111!$A$1&amp;" "),"")&amp;IF(M211!$C$15="Aula 1",(M211!$A$1&amp;" "),"")&amp;IF(M311!$C$15="Aula 1",(M311!$A$1&amp;" "),"")&amp;IF(M411!$C$15="Aula 1",(M411!$A$1&amp;" "),""))," ",",")</f>
        <v/>
      </c>
      <c r="C15" s="2">
        <f>SUBSTITUTE(TRIM(IF(D111!$C$15="Aula 2",(D111!$A$1&amp;" "),"")&amp;IF(D211!$C$15="Aula 2",(D211!$A$1&amp;" "),"")&amp;IF(D311!$C$15="Aula 2",(D311!$A$1&amp;" "),"")&amp;IF(D411!$C$15="Aula 2",(D411!$A$1&amp;" "),"")&amp;IF(C111!$C$15="Aula 2",(C111!$A$1&amp;" "),"")&amp;IF(C121!$C$15="Aula 2",(C121!$A$1&amp;" "),"")&amp;IF(C122!$C$15="Aula 2",(C122!$A$1&amp;" "),"")&amp;IF(C211!$C$15="Aula 2",(C211!$A$1&amp;" "),"")&amp;IF(C212!$C$15="Aula 2",(C212!$A$1&amp;" "),"")&amp;IF(C311!$C$15="Aula 2",(C311!$A$1&amp;" "),"")&amp;IF(C312!$C$15="Aula 2",(C312!$A$1&amp;" "),"")&amp;IF(C411!$C$15="Aula 2",(C411!$A$1&amp;" "),"")&amp;IF(C412!$C$15="Aula 2",(C412!$A$1&amp;" "),"")&amp;IF(M111!$C$15="Aula 2",(M111!$A$1&amp;" "),"")&amp;IF(M211!$C$15="Aula 2",(M211!$A$1&amp;" "),"")&amp;IF(M311!$C$15="Aula 2",(M311!$A$1&amp;" "),"")&amp;IF(M411!$C$15="Aula 2",(M411!$A$1&amp;" "),""))," ",",")</f>
        <v/>
      </c>
      <c r="D15" s="2">
        <f>SUBSTITUTE(TRIM(IF(D111!$C$15="Aula 3",(D111!$A$1&amp;" "),"")&amp;IF(D211!$C$15="Aula 3",(D211!$A$1&amp;" "),"")&amp;IF(D311!$C$15="Aula 3",(D311!$A$1&amp;" "),"")&amp;IF(D411!$C$15="Aula 3",(D411!$A$1&amp;" "),"")&amp;IF(C111!$C$15="Aula 3",(C111!$A$1&amp;" "),"")&amp;IF(C121!$C$15="Aula 3",(C121!$A$1&amp;" "),"")&amp;IF(C122!$C$15="Aula 3",(C122!$A$1&amp;" "),"")&amp;IF(C211!$C$15="Aula 3",(C211!$A$1&amp;" "),"")&amp;IF(C212!$C$15="Aula 3",(C212!$A$1&amp;" "),"")&amp;IF(C311!$C$15="Aula 3",(C311!$A$1&amp;" "),"")&amp;IF(C312!$C$15="Aula 3",(C312!$A$1&amp;" "),"")&amp;IF(C411!$C$15="Aula 3",(C411!$A$1&amp;" "),"")&amp;IF(C412!$C$15="Aula 3",(C412!$A$1&amp;" "),"")&amp;IF(M111!$C$15="Aula 3",(M111!$A$1&amp;" "),"")&amp;IF(M211!$C$15="Aula 3",(M211!$A$1&amp;" "),"")&amp;IF(M311!$C$15="Aula 3",(M311!$A$1&amp;" "),"")&amp;IF(M411!$C$15="Aula 3",(M411!$A$1&amp;" "),""))," ",",")</f>
        <v/>
      </c>
      <c r="E15" s="2">
        <f>SUBSTITUTE(TRIM(IF(D111!$C$15="Aula 4",(D111!$A$1&amp;" "),"")&amp;IF(D211!$C$15="Aula 4",(D211!$A$1&amp;" "),"")&amp;IF(D311!$C$15="Aula 4",(D311!$A$1&amp;" "),"")&amp;IF(D411!$C$15="Aula 4",(D411!$A$1&amp;" "),"")&amp;IF(C111!$C$15="Aula 4",(C111!$A$1&amp;" "),"")&amp;IF(C121!$C$15="Aula 4",(C121!$A$1&amp;" "),"")&amp;IF(C122!$C$15="Aula 4",(C122!$A$1&amp;" "),"")&amp;IF(C211!$C$15="Aula 4",(C211!$A$1&amp;" "),"")&amp;IF(C212!$C$15="Aula 4",(C212!$A$1&amp;" "),"")&amp;IF(C311!$C$15="Aula 4",(C311!$A$1&amp;" "),"")&amp;IF(C312!$C$15="Aula 4",(C312!$A$1&amp;" "),"")&amp;IF(C411!$C$15="Aula 4",(C411!$A$1&amp;" "),"")&amp;IF(C412!$C$15="Aula 4",(C412!$A$1&amp;" "),"")&amp;IF(M111!$C$15="Aula 4",(M111!$A$1&amp;" "),"")&amp;IF(M211!$C$15="Aula 4",(M211!$A$1&amp;" "),"")&amp;IF(M311!$C$15="Aula 4",(M311!$A$1&amp;" "),"")&amp;IF(M411!$C$15="Aula 4",(M411!$A$1&amp;" "),""))," ",",")</f>
        <v/>
      </c>
      <c r="F15" s="2">
        <f>SUBSTITUTE(TRIM(IF(D111!$C$15="Aula 5",(D111!$A$1&amp;" "),"")&amp;IF(D211!$C$15="Aula 5",(D211!$A$1&amp;" "),"")&amp;IF(D311!$C$15="Aula 5",(D311!$A$1&amp;" "),"")&amp;IF(D411!$C$15="Aula 5",(D411!$A$1&amp;" "),"")&amp;IF(C111!$C$15="Aula 5",(C111!$A$1&amp;" "),"")&amp;IF(C121!$C$15="Aula 5",(C121!$A$1&amp;" "),"")&amp;IF(C122!$C$15="Aula 5",(C122!$A$1&amp;" "),"")&amp;IF(C211!$C$15="Aula 5",(C211!$A$1&amp;" "),"")&amp;IF(C212!$C$15="Aula 5",(C212!$A$1&amp;" "),"")&amp;IF(C311!$C$15="Aula 5",(C311!$A$1&amp;" "),"")&amp;IF(C312!$C$15="Aula 5",(C312!$A$1&amp;" "),"")&amp;IF(C411!$C$15="Aula 5",(C411!$A$1&amp;" "),"")&amp;IF(C412!$C$15="Aula 5",(C412!$A$1&amp;" "),"")&amp;IF(M111!$C$15="Aula 5",(M111!$A$1&amp;" "),"")&amp;IF(M211!$C$15="Aula 5",(M211!$A$1&amp;" "),"")&amp;IF(M311!$C$15="Aula 5",(M311!$A$1&amp;" "),"")&amp;IF(M411!$C$15="Aula 5",(M411!$A$1&amp;" "),""))," ",",")</f>
        <v/>
      </c>
      <c r="G15" s="2">
        <f>SUBSTITUTE(TRIM(IF(D111!$C$15="Aula 6",(D111!$A$1&amp;" "),"")&amp;IF(D211!$C$15="Aula 6",(D211!$A$1&amp;" "),"")&amp;IF(D311!$C$15="Aula 6",(D311!$A$1&amp;" "),"")&amp;IF(D411!$C$15="Aula 6",(D411!$A$1&amp;" "),"")&amp;IF(C111!$C$15="Aula 6",(C111!$A$1&amp;" "),"")&amp;IF(C121!$C$15="Aula 6",(C121!$A$1&amp;" "),"")&amp;IF(C122!$C$15="Aula 6",(C122!$A$1&amp;" "),"")&amp;IF(C211!$C$15="Aula 6",(C211!$A$1&amp;" "),"")&amp;IF(C212!$C$15="Aula 6",(C212!$A$1&amp;" "),"")&amp;IF(C311!$C$15="Aula 6",(C311!$A$1&amp;" "),"")&amp;IF(C312!$C$15="Aula 6",(C312!$A$1&amp;" "),"")&amp;IF(C411!$C$15="Aula 6",(C411!$A$1&amp;" "),"")&amp;IF(C412!$C$15="Aula 6",(C412!$A$1&amp;" "),"")&amp;IF(M111!$C$15="Aula 6",(M111!$A$1&amp;" "),"")&amp;IF(M211!$C$15="Aula 6",(M211!$A$1&amp;" "),"")&amp;IF(M311!$C$15="Aula 6",(M311!$A$1&amp;" "),"")&amp;IF(M411!$C$15="Aula 6",(M411!$A$1&amp;" "),""))," ",",")</f>
        <v/>
      </c>
      <c r="H15" s="2">
        <f>SUBSTITUTE(TRIM(IF(D111!$C$15="Aula 7",(D111!$A$1&amp;" "),"")&amp;IF(D211!$C$15="Aula 7",(D211!$A$1&amp;" "),"")&amp;IF(D311!$C$15="Aula 7",(D311!$A$1&amp;" "),"")&amp;IF(D411!$C$15="Aula 7",(D411!$A$1&amp;" "),"")&amp;IF(C111!$C$15="Aula 7",(C111!$A$1&amp;" "),"")&amp;IF(C121!$C$15="Aula 7",(C121!$A$1&amp;" "),"")&amp;IF(C122!$C$15="Aula 7",(C122!$A$1&amp;" "),"")&amp;IF(C211!$C$15="Aula 7",(C211!$A$1&amp;" "),"")&amp;IF(C212!$C$15="Aula 7",(C212!$A$1&amp;" "),"")&amp;IF(C311!$C$15="Aula 7",(C311!$A$1&amp;" "),"")&amp;IF(C312!$C$15="Aula 7",(C312!$A$1&amp;" "),"")&amp;IF(C411!$C$15="Aula 7",(C411!$A$1&amp;" "),"")&amp;IF(C412!$C$15="Aula 7",(C412!$A$1&amp;" "),"")&amp;IF(M111!$C$15="Aula 7",(M111!$A$1&amp;" "),"")&amp;IF(M211!$C$15="Aula 7",(M211!$A$1&amp;" "),"")&amp;IF(M311!$C$15="Aula 7",(M311!$A$1&amp;" "),"")&amp;IF(M411!$C$15="Aula 7",(M411!$A$1&amp;" "),""))," ",",")</f>
        <v/>
      </c>
      <c r="I15" s="2">
        <f>SUBSTITUTE(TRIM(IF(D111!$C$15="Aula 8",(D111!$A$1&amp;" "),"")&amp;IF(D211!$C$15="Aula 8",(D211!$A$1&amp;" "),"")&amp;IF(D311!$C$15="Aula 8",(D311!$A$1&amp;" "),"")&amp;IF(D411!$C$15="Aula 8",(D411!$A$1&amp;" "),"")&amp;IF(C111!$C$15="Aula 8",(C111!$A$1&amp;" "),"")&amp;IF(C121!$C$15="Aula 8",(C121!$A$1&amp;" "),"")&amp;IF(C122!$C$15="Aula 8",(C122!$A$1&amp;" "),"")&amp;IF(C211!$C$15="Aula 8",(C211!$A$1&amp;" "),"")&amp;IF(C212!$C$15="Aula 8",(C212!$A$1&amp;" "),"")&amp;IF(C311!$C$15="Aula 8",(C311!$A$1&amp;" "),"")&amp;IF(C312!$C$15="Aula 8",(C312!$A$1&amp;" "),"")&amp;IF(C411!$C$15="Aula 8",(C411!$A$1&amp;" "),"")&amp;IF(C412!$C$15="Aula 8",(C412!$A$1&amp;" "),"")&amp;IF(M111!$C$15="Aula 8",(M111!$A$1&amp;" "),"")&amp;IF(M211!$C$15="Aula 8",(M211!$A$1&amp;" "),"")&amp;IF(M311!$C$15="Aula 8",(M311!$A$1&amp;" "),"")&amp;IF(M411!$C$15="Aula 8",(M411!$A$1&amp;" "),""))," ",",")</f>
        <v/>
      </c>
      <c r="J15" s="2">
        <f>SUBSTITUTE(TRIM(IF(D111!$C$15="Aula 9",(D111!$A$1&amp;" "),"")&amp;IF(D211!$C$15="Aula 9",(D211!$A$1&amp;" "),"")&amp;IF(D311!$C$15="Aula 9",(D311!$A$1&amp;" "),"")&amp;IF(D411!$C$15="Aula 9",(D411!$A$1&amp;" "),"")&amp;IF(C111!$C$15="Aula 9",(C111!$A$1&amp;" "),"")&amp;IF(C121!$C$15="Aula 9",(C121!$A$1&amp;" "),"")&amp;IF(C122!$C$15="Aula 9",(C122!$A$1&amp;" "),"")&amp;IF(C211!$C$15="Aula 9",(C211!$A$1&amp;" "),"")&amp;IF(C212!$C$15="Aula 9",(C212!$A$1&amp;" "),"")&amp;IF(C311!$C$15="Aula 9",(C311!$A$1&amp;" "),"")&amp;IF(C312!$C$15="Aula 9",(C312!$A$1&amp;" "),"")&amp;IF(C411!$C$15="Aula 9",(C411!$A$1&amp;" "),"")&amp;IF(C412!$C$15="Aula 9",(C412!$A$1&amp;" "),"")&amp;IF(M111!$C$15="Aula 9",(M111!$A$1&amp;" "),"")&amp;IF(M211!$C$15="Aula 9",(M211!$A$1&amp;" "),"")&amp;IF(M311!$C$15="Aula 9",(M311!$A$1&amp;" "),"")&amp;IF(M411!$C$15="Aula 9",(M411!$A$1&amp;" "),""))," ",",")</f>
        <v/>
      </c>
      <c r="K15" s="2">
        <f>SUBSTITUTE(TRIM(IF(D111!$C$15="Lab",(D111!$A$1&amp;" "),"")&amp;IF(D211!$C$15="Lab",(D211!$A$1&amp;" "),"")&amp;IF(D311!$C$15="Lab",(D311!$A$1&amp;" "),"")&amp;IF(D411!$C$15="Lab",(D411!$A$1&amp;" "),"")&amp;IF(C111!$C$15="Lab",(C111!$A$1&amp;" "),"")&amp;IF(C121!$C$15="Lab",(C121!$A$1&amp;" "),"")&amp;IF(C122!$C$15="Lab",(C122!$A$1&amp;" "),"")&amp;IF(C211!$C$15="Lab",(C211!$A$1&amp;" "),"")&amp;IF(C212!$C$15="Lab",(C212!$A$1&amp;" "),"")&amp;IF(C311!$C$15="Lab",(C311!$A$1&amp;" "),"")&amp;IF(C312!$C$15="Lab",(C312!$A$1&amp;" "),"")&amp;IF(C411!$C$15="Lab",(C411!$A$1&amp;" "),"")&amp;IF(C412!$C$15="Lab",(C412!$A$1&amp;" "),"")&amp;IF(M111!$C$15="Lab",(M111!$A$1&amp;" "),"")&amp;IF(M211!$C$15="Lab",(M211!$A$1&amp;" "),"")&amp;IF(M311!$C$15="Lab",(M311!$A$1&amp;" "),"")&amp;IF(M411!$C$15="Lab",(M411!$A$1&amp;" "),""))," ",",")</f>
        <v/>
      </c>
      <c r="L15" t="inlineStr"/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</row>
    <row r="17">
      <c r="A17" t="inlineStr">
        <is>
          <t>Miercoles</t>
        </is>
      </c>
      <c r="B17" t="inlineStr">
        <is>
          <t>Aula 1</t>
        </is>
      </c>
      <c r="C17" t="inlineStr">
        <is>
          <t>Aula 2</t>
        </is>
      </c>
      <c r="D17" t="inlineStr">
        <is>
          <t>Aula 3</t>
        </is>
      </c>
      <c r="E17" t="inlineStr">
        <is>
          <t>Aula 4</t>
        </is>
      </c>
      <c r="F17" t="inlineStr">
        <is>
          <t>Aula 5</t>
        </is>
      </c>
      <c r="G17" t="inlineStr">
        <is>
          <t>Aula 6</t>
        </is>
      </c>
      <c r="H17" t="inlineStr">
        <is>
          <t>Aula 7</t>
        </is>
      </c>
      <c r="I17" t="inlineStr">
        <is>
          <t>Aula 8</t>
        </is>
      </c>
      <c r="J17" t="inlineStr">
        <is>
          <t>Aula 9</t>
        </is>
      </c>
      <c r="K17" t="inlineStr">
        <is>
          <t>Lab</t>
        </is>
      </c>
      <c r="L17" t="inlineStr"/>
    </row>
    <row r="18">
      <c r="A18" s="2" t="inlineStr">
        <is>
          <t>1</t>
        </is>
      </c>
      <c r="B18" s="2">
        <f>SUBSTITUTE(TRIM(IF(D111!$D$5="Aula 1",(D111!$A$1&amp;" "),"")&amp;IF(D211!$D$5="Aula 1",(D211!$A$1&amp;" "),"")&amp;IF(D311!$D$5="Aula 1",(D311!$A$1&amp;" "),"")&amp;IF(D411!$D$5="Aula 1",(D411!$A$1&amp;" "),"")&amp;IF(C111!$D$5="Aula 1",(C111!$A$1&amp;" "),"")&amp;IF(C121!$D$5="Aula 1",(C121!$A$1&amp;" "),"")&amp;IF(C122!$D$5="Aula 1",(C122!$A$1&amp;" "),"")&amp;IF(C211!$D$5="Aula 1",(C211!$A$1&amp;" "),"")&amp;IF(C212!$D$5="Aula 1",(C212!$A$1&amp;" "),"")&amp;IF(C311!$D$5="Aula 1",(C311!$A$1&amp;" "),"")&amp;IF(C312!$D$5="Aula 1",(C312!$A$1&amp;" "),"")&amp;IF(C411!$D$5="Aula 1",(C411!$A$1&amp;" "),"")&amp;IF(C412!$D$5="Aula 1",(C412!$A$1&amp;" "),"")&amp;IF(M111!$D$5="Aula 1",(M111!$A$1&amp;" "),"")&amp;IF(M211!$D$5="Aula 1",(M211!$A$1&amp;" "),"")&amp;IF(M311!$D$5="Aula 1",(M311!$A$1&amp;" "),"")&amp;IF(M411!$D$5="Aula 1",(M411!$A$1&amp;" "),""))," ",",")</f>
        <v/>
      </c>
      <c r="C18" s="2">
        <f>SUBSTITUTE(TRIM(IF(D111!$D$5="Aula 2",(D111!$A$1&amp;" "),"")&amp;IF(D211!$D$5="Aula 2",(D211!$A$1&amp;" "),"")&amp;IF(D311!$D$5="Aula 2",(D311!$A$1&amp;" "),"")&amp;IF(D411!$D$5="Aula 2",(D411!$A$1&amp;" "),"")&amp;IF(C111!$D$5="Aula 2",(C111!$A$1&amp;" "),"")&amp;IF(C121!$D$5="Aula 2",(C121!$A$1&amp;" "),"")&amp;IF(C122!$D$5="Aula 2",(C122!$A$1&amp;" "),"")&amp;IF(C211!$D$5="Aula 2",(C211!$A$1&amp;" "),"")&amp;IF(C212!$D$5="Aula 2",(C212!$A$1&amp;" "),"")&amp;IF(C311!$D$5="Aula 2",(C311!$A$1&amp;" "),"")&amp;IF(C312!$D$5="Aula 2",(C312!$A$1&amp;" "),"")&amp;IF(C411!$D$5="Aula 2",(C411!$A$1&amp;" "),"")&amp;IF(C412!$D$5="Aula 2",(C412!$A$1&amp;" "),"")&amp;IF(M111!$D$5="Aula 2",(M111!$A$1&amp;" "),"")&amp;IF(M211!$D$5="Aula 2",(M211!$A$1&amp;" "),"")&amp;IF(M311!$D$5="Aula 2",(M311!$A$1&amp;" "),"")&amp;IF(M411!$D$5="Aula 2",(M411!$A$1&amp;" "),""))," ",",")</f>
        <v/>
      </c>
      <c r="D18" s="2">
        <f>SUBSTITUTE(TRIM(IF(D111!$D$5="Aula 3",(D111!$A$1&amp;" "),"")&amp;IF(D211!$D$5="Aula 3",(D211!$A$1&amp;" "),"")&amp;IF(D311!$D$5="Aula 3",(D311!$A$1&amp;" "),"")&amp;IF(D411!$D$5="Aula 3",(D411!$A$1&amp;" "),"")&amp;IF(C111!$D$5="Aula 3",(C111!$A$1&amp;" "),"")&amp;IF(C121!$D$5="Aula 3",(C121!$A$1&amp;" "),"")&amp;IF(C122!$D$5="Aula 3",(C122!$A$1&amp;" "),"")&amp;IF(C211!$D$5="Aula 3",(C211!$A$1&amp;" "),"")&amp;IF(C212!$D$5="Aula 3",(C212!$A$1&amp;" "),"")&amp;IF(C311!$D$5="Aula 3",(C311!$A$1&amp;" "),"")&amp;IF(C312!$D$5="Aula 3",(C312!$A$1&amp;" "),"")&amp;IF(C411!$D$5="Aula 3",(C411!$A$1&amp;" "),"")&amp;IF(C412!$D$5="Aula 3",(C412!$A$1&amp;" "),"")&amp;IF(M111!$D$5="Aula 3",(M111!$A$1&amp;" "),"")&amp;IF(M211!$D$5="Aula 3",(M211!$A$1&amp;" "),"")&amp;IF(M311!$D$5="Aula 3",(M311!$A$1&amp;" "),"")&amp;IF(M411!$D$5="Aula 3",(M411!$A$1&amp;" "),""))," ",",")</f>
        <v/>
      </c>
      <c r="E18" s="2">
        <f>SUBSTITUTE(TRIM(IF(D111!$D$5="Aula 4",(D111!$A$1&amp;" "),"")&amp;IF(D211!$D$5="Aula 4",(D211!$A$1&amp;" "),"")&amp;IF(D311!$D$5="Aula 4",(D311!$A$1&amp;" "),"")&amp;IF(D411!$D$5="Aula 4",(D411!$A$1&amp;" "),"")&amp;IF(C111!$D$5="Aula 4",(C111!$A$1&amp;" "),"")&amp;IF(C121!$D$5="Aula 4",(C121!$A$1&amp;" "),"")&amp;IF(C122!$D$5="Aula 4",(C122!$A$1&amp;" "),"")&amp;IF(C211!$D$5="Aula 4",(C211!$A$1&amp;" "),"")&amp;IF(C212!$D$5="Aula 4",(C212!$A$1&amp;" "),"")&amp;IF(C311!$D$5="Aula 4",(C311!$A$1&amp;" "),"")&amp;IF(C312!$D$5="Aula 4",(C312!$A$1&amp;" "),"")&amp;IF(C411!$D$5="Aula 4",(C411!$A$1&amp;" "),"")&amp;IF(C412!$D$5="Aula 4",(C412!$A$1&amp;" "),"")&amp;IF(M111!$D$5="Aula 4",(M111!$A$1&amp;" "),"")&amp;IF(M211!$D$5="Aula 4",(M211!$A$1&amp;" "),"")&amp;IF(M311!$D$5="Aula 4",(M311!$A$1&amp;" "),"")&amp;IF(M411!$D$5="Aula 4",(M411!$A$1&amp;" "),""))," ",",")</f>
        <v/>
      </c>
      <c r="F18" s="2">
        <f>SUBSTITUTE(TRIM(IF(D111!$D$5="Aula 5",(D111!$A$1&amp;" "),"")&amp;IF(D211!$D$5="Aula 5",(D211!$A$1&amp;" "),"")&amp;IF(D311!$D$5="Aula 5",(D311!$A$1&amp;" "),"")&amp;IF(D411!$D$5="Aula 5",(D411!$A$1&amp;" "),"")&amp;IF(C111!$D$5="Aula 5",(C111!$A$1&amp;" "),"")&amp;IF(C121!$D$5="Aula 5",(C121!$A$1&amp;" "),"")&amp;IF(C122!$D$5="Aula 5",(C122!$A$1&amp;" "),"")&amp;IF(C211!$D$5="Aula 5",(C211!$A$1&amp;" "),"")&amp;IF(C212!$D$5="Aula 5",(C212!$A$1&amp;" "),"")&amp;IF(C311!$D$5="Aula 5",(C311!$A$1&amp;" "),"")&amp;IF(C312!$D$5="Aula 5",(C312!$A$1&amp;" "),"")&amp;IF(C411!$D$5="Aula 5",(C411!$A$1&amp;" "),"")&amp;IF(C412!$D$5="Aula 5",(C412!$A$1&amp;" "),"")&amp;IF(M111!$D$5="Aula 5",(M111!$A$1&amp;" "),"")&amp;IF(M211!$D$5="Aula 5",(M211!$A$1&amp;" "),"")&amp;IF(M311!$D$5="Aula 5",(M311!$A$1&amp;" "),"")&amp;IF(M411!$D$5="Aula 5",(M411!$A$1&amp;" "),""))," ",",")</f>
        <v/>
      </c>
      <c r="G18" s="2">
        <f>SUBSTITUTE(TRIM(IF(D111!$D$5="Aula 6",(D111!$A$1&amp;" "),"")&amp;IF(D211!$D$5="Aula 6",(D211!$A$1&amp;" "),"")&amp;IF(D311!$D$5="Aula 6",(D311!$A$1&amp;" "),"")&amp;IF(D411!$D$5="Aula 6",(D411!$A$1&amp;" "),"")&amp;IF(C111!$D$5="Aula 6",(C111!$A$1&amp;" "),"")&amp;IF(C121!$D$5="Aula 6",(C121!$A$1&amp;" "),"")&amp;IF(C122!$D$5="Aula 6",(C122!$A$1&amp;" "),"")&amp;IF(C211!$D$5="Aula 6",(C211!$A$1&amp;" "),"")&amp;IF(C212!$D$5="Aula 6",(C212!$A$1&amp;" "),"")&amp;IF(C311!$D$5="Aula 6",(C311!$A$1&amp;" "),"")&amp;IF(C312!$D$5="Aula 6",(C312!$A$1&amp;" "),"")&amp;IF(C411!$D$5="Aula 6",(C411!$A$1&amp;" "),"")&amp;IF(C412!$D$5="Aula 6",(C412!$A$1&amp;" "),"")&amp;IF(M111!$D$5="Aula 6",(M111!$A$1&amp;" "),"")&amp;IF(M211!$D$5="Aula 6",(M211!$A$1&amp;" "),"")&amp;IF(M311!$D$5="Aula 6",(M311!$A$1&amp;" "),"")&amp;IF(M411!$D$5="Aula 6",(M411!$A$1&amp;" "),""))," ",",")</f>
        <v/>
      </c>
      <c r="H18" s="2">
        <f>SUBSTITUTE(TRIM(IF(D111!$D$5="Aula 7",(D111!$A$1&amp;" "),"")&amp;IF(D211!$D$5="Aula 7",(D211!$A$1&amp;" "),"")&amp;IF(D311!$D$5="Aula 7",(D311!$A$1&amp;" "),"")&amp;IF(D411!$D$5="Aula 7",(D411!$A$1&amp;" "),"")&amp;IF(C111!$D$5="Aula 7",(C111!$A$1&amp;" "),"")&amp;IF(C121!$D$5="Aula 7",(C121!$A$1&amp;" "),"")&amp;IF(C122!$D$5="Aula 7",(C122!$A$1&amp;" "),"")&amp;IF(C211!$D$5="Aula 7",(C211!$A$1&amp;" "),"")&amp;IF(C212!$D$5="Aula 7",(C212!$A$1&amp;" "),"")&amp;IF(C311!$D$5="Aula 7",(C311!$A$1&amp;" "),"")&amp;IF(C312!$D$5="Aula 7",(C312!$A$1&amp;" "),"")&amp;IF(C411!$D$5="Aula 7",(C411!$A$1&amp;" "),"")&amp;IF(C412!$D$5="Aula 7",(C412!$A$1&amp;" "),"")&amp;IF(M111!$D$5="Aula 7",(M111!$A$1&amp;" "),"")&amp;IF(M211!$D$5="Aula 7",(M211!$A$1&amp;" "),"")&amp;IF(M311!$D$5="Aula 7",(M311!$A$1&amp;" "),"")&amp;IF(M411!$D$5="Aula 7",(M411!$A$1&amp;" "),""))," ",",")</f>
        <v/>
      </c>
      <c r="I18" s="2">
        <f>SUBSTITUTE(TRIM(IF(D111!$D$5="Aula 8",(D111!$A$1&amp;" "),"")&amp;IF(D211!$D$5="Aula 8",(D211!$A$1&amp;" "),"")&amp;IF(D311!$D$5="Aula 8",(D311!$A$1&amp;" "),"")&amp;IF(D411!$D$5="Aula 8",(D411!$A$1&amp;" "),"")&amp;IF(C111!$D$5="Aula 8",(C111!$A$1&amp;" "),"")&amp;IF(C121!$D$5="Aula 8",(C121!$A$1&amp;" "),"")&amp;IF(C122!$D$5="Aula 8",(C122!$A$1&amp;" "),"")&amp;IF(C211!$D$5="Aula 8",(C211!$A$1&amp;" "),"")&amp;IF(C212!$D$5="Aula 8",(C212!$A$1&amp;" "),"")&amp;IF(C311!$D$5="Aula 8",(C311!$A$1&amp;" "),"")&amp;IF(C312!$D$5="Aula 8",(C312!$A$1&amp;" "),"")&amp;IF(C411!$D$5="Aula 8",(C411!$A$1&amp;" "),"")&amp;IF(C412!$D$5="Aula 8",(C412!$A$1&amp;" "),"")&amp;IF(M111!$D$5="Aula 8",(M111!$A$1&amp;" "),"")&amp;IF(M211!$D$5="Aula 8",(M211!$A$1&amp;" "),"")&amp;IF(M311!$D$5="Aula 8",(M311!$A$1&amp;" "),"")&amp;IF(M411!$D$5="Aula 8",(M411!$A$1&amp;" "),""))," ",",")</f>
        <v/>
      </c>
      <c r="J18" s="2">
        <f>SUBSTITUTE(TRIM(IF(D111!$D$5="Aula 9",(D111!$A$1&amp;" "),"")&amp;IF(D211!$D$5="Aula 9",(D211!$A$1&amp;" "),"")&amp;IF(D311!$D$5="Aula 9",(D311!$A$1&amp;" "),"")&amp;IF(D411!$D$5="Aula 9",(D411!$A$1&amp;" "),"")&amp;IF(C111!$D$5="Aula 9",(C111!$A$1&amp;" "),"")&amp;IF(C121!$D$5="Aula 9",(C121!$A$1&amp;" "),"")&amp;IF(C122!$D$5="Aula 9",(C122!$A$1&amp;" "),"")&amp;IF(C211!$D$5="Aula 9",(C211!$A$1&amp;" "),"")&amp;IF(C212!$D$5="Aula 9",(C212!$A$1&amp;" "),"")&amp;IF(C311!$D$5="Aula 9",(C311!$A$1&amp;" "),"")&amp;IF(C312!$D$5="Aula 9",(C312!$A$1&amp;" "),"")&amp;IF(C411!$D$5="Aula 9",(C411!$A$1&amp;" "),"")&amp;IF(C412!$D$5="Aula 9",(C412!$A$1&amp;" "),"")&amp;IF(M111!$D$5="Aula 9",(M111!$A$1&amp;" "),"")&amp;IF(M211!$D$5="Aula 9",(M211!$A$1&amp;" "),"")&amp;IF(M311!$D$5="Aula 9",(M311!$A$1&amp;" "),"")&amp;IF(M411!$D$5="Aula 9",(M411!$A$1&amp;" "),""))," ",",")</f>
        <v/>
      </c>
      <c r="K18" s="2">
        <f>SUBSTITUTE(TRIM(IF(D111!$D$5="Lab",(D111!$A$1&amp;" "),"")&amp;IF(D211!$D$5="Lab",(D211!$A$1&amp;" "),"")&amp;IF(D311!$D$5="Lab",(D311!$A$1&amp;" "),"")&amp;IF(D411!$D$5="Lab",(D411!$A$1&amp;" "),"")&amp;IF(C111!$D$5="Lab",(C111!$A$1&amp;" "),"")&amp;IF(C121!$D$5="Lab",(C121!$A$1&amp;" "),"")&amp;IF(C122!$D$5="Lab",(C122!$A$1&amp;" "),"")&amp;IF(C211!$D$5="Lab",(C211!$A$1&amp;" "),"")&amp;IF(C212!$D$5="Lab",(C212!$A$1&amp;" "),"")&amp;IF(C311!$D$5="Lab",(C311!$A$1&amp;" "),"")&amp;IF(C312!$D$5="Lab",(C312!$A$1&amp;" "),"")&amp;IF(C411!$D$5="Lab",(C411!$A$1&amp;" "),"")&amp;IF(C412!$D$5="Lab",(C412!$A$1&amp;" "),"")&amp;IF(M111!$D$5="Lab",(M111!$A$1&amp;" "),"")&amp;IF(M211!$D$5="Lab",(M211!$A$1&amp;" "),"")&amp;IF(M311!$D$5="Lab",(M311!$A$1&amp;" "),"")&amp;IF(M411!$D$5="Lab",(M411!$A$1&amp;" "),""))," ",",")</f>
        <v/>
      </c>
      <c r="L18" t="inlineStr"/>
    </row>
    <row r="19">
      <c r="A19" s="2" t="inlineStr">
        <is>
          <t>2</t>
        </is>
      </c>
      <c r="B19" s="2">
        <f>SUBSTITUTE(TRIM(IF(D111!$D$7="Aula 1",(D111!$A$1&amp;" "),"")&amp;IF(D211!$D$7="Aula 1",(D211!$A$1&amp;" "),"")&amp;IF(D311!$D$7="Aula 1",(D311!$A$1&amp;" "),"")&amp;IF(D411!$D$7="Aula 1",(D411!$A$1&amp;" "),"")&amp;IF(C111!$D$7="Aula 1",(C111!$A$1&amp;" "),"")&amp;IF(C121!$D$7="Aula 1",(C121!$A$1&amp;" "),"")&amp;IF(C122!$D$7="Aula 1",(C122!$A$1&amp;" "),"")&amp;IF(C211!$D$7="Aula 1",(C211!$A$1&amp;" "),"")&amp;IF(C212!$D$7="Aula 1",(C212!$A$1&amp;" "),"")&amp;IF(C311!$D$7="Aula 1",(C311!$A$1&amp;" "),"")&amp;IF(C312!$D$7="Aula 1",(C312!$A$1&amp;" "),"")&amp;IF(C411!$D$7="Aula 1",(C411!$A$1&amp;" "),"")&amp;IF(C412!$D$7="Aula 1",(C412!$A$1&amp;" "),"")&amp;IF(M111!$D$7="Aula 1",(M111!$A$1&amp;" "),"")&amp;IF(M211!$D$7="Aula 1",(M211!$A$1&amp;" "),"")&amp;IF(M311!$D$7="Aula 1",(M311!$A$1&amp;" "),"")&amp;IF(M411!$D$7="Aula 1",(M411!$A$1&amp;" "),""))," ",",")</f>
        <v/>
      </c>
      <c r="C19" s="2">
        <f>SUBSTITUTE(TRIM(IF(D111!$D$7="Aula 2",(D111!$A$1&amp;" "),"")&amp;IF(D211!$D$7="Aula 2",(D211!$A$1&amp;" "),"")&amp;IF(D311!$D$7="Aula 2",(D311!$A$1&amp;" "),"")&amp;IF(D411!$D$7="Aula 2",(D411!$A$1&amp;" "),"")&amp;IF(C111!$D$7="Aula 2",(C111!$A$1&amp;" "),"")&amp;IF(C121!$D$7="Aula 2",(C121!$A$1&amp;" "),"")&amp;IF(C122!$D$7="Aula 2",(C122!$A$1&amp;" "),"")&amp;IF(C211!$D$7="Aula 2",(C211!$A$1&amp;" "),"")&amp;IF(C212!$D$7="Aula 2",(C212!$A$1&amp;" "),"")&amp;IF(C311!$D$7="Aula 2",(C311!$A$1&amp;" "),"")&amp;IF(C312!$D$7="Aula 2",(C312!$A$1&amp;" "),"")&amp;IF(C411!$D$7="Aula 2",(C411!$A$1&amp;" "),"")&amp;IF(C412!$D$7="Aula 2",(C412!$A$1&amp;" "),"")&amp;IF(M111!$D$7="Aula 2",(M111!$A$1&amp;" "),"")&amp;IF(M211!$D$7="Aula 2",(M211!$A$1&amp;" "),"")&amp;IF(M311!$D$7="Aula 2",(M311!$A$1&amp;" "),"")&amp;IF(M411!$D$7="Aula 2",(M411!$A$1&amp;" "),""))," ",",")</f>
        <v/>
      </c>
      <c r="D19" s="2">
        <f>SUBSTITUTE(TRIM(IF(D111!$D$7="Aula 3",(D111!$A$1&amp;" "),"")&amp;IF(D211!$D$7="Aula 3",(D211!$A$1&amp;" "),"")&amp;IF(D311!$D$7="Aula 3",(D311!$A$1&amp;" "),"")&amp;IF(D411!$D$7="Aula 3",(D411!$A$1&amp;" "),"")&amp;IF(C111!$D$7="Aula 3",(C111!$A$1&amp;" "),"")&amp;IF(C121!$D$7="Aula 3",(C121!$A$1&amp;" "),"")&amp;IF(C122!$D$7="Aula 3",(C122!$A$1&amp;" "),"")&amp;IF(C211!$D$7="Aula 3",(C211!$A$1&amp;" "),"")&amp;IF(C212!$D$7="Aula 3",(C212!$A$1&amp;" "),"")&amp;IF(C311!$D$7="Aula 3",(C311!$A$1&amp;" "),"")&amp;IF(C312!$D$7="Aula 3",(C312!$A$1&amp;" "),"")&amp;IF(C411!$D$7="Aula 3",(C411!$A$1&amp;" "),"")&amp;IF(C412!$D$7="Aula 3",(C412!$A$1&amp;" "),"")&amp;IF(M111!$D$7="Aula 3",(M111!$A$1&amp;" "),"")&amp;IF(M211!$D$7="Aula 3",(M211!$A$1&amp;" "),"")&amp;IF(M311!$D$7="Aula 3",(M311!$A$1&amp;" "),"")&amp;IF(M411!$D$7="Aula 3",(M411!$A$1&amp;" "),""))," ",",")</f>
        <v/>
      </c>
      <c r="E19" s="2">
        <f>SUBSTITUTE(TRIM(IF(D111!$D$7="Aula 4",(D111!$A$1&amp;" "),"")&amp;IF(D211!$D$7="Aula 4",(D211!$A$1&amp;" "),"")&amp;IF(D311!$D$7="Aula 4",(D311!$A$1&amp;" "),"")&amp;IF(D411!$D$7="Aula 4",(D411!$A$1&amp;" "),"")&amp;IF(C111!$D$7="Aula 4",(C111!$A$1&amp;" "),"")&amp;IF(C121!$D$7="Aula 4",(C121!$A$1&amp;" "),"")&amp;IF(C122!$D$7="Aula 4",(C122!$A$1&amp;" "),"")&amp;IF(C211!$D$7="Aula 4",(C211!$A$1&amp;" "),"")&amp;IF(C212!$D$7="Aula 4",(C212!$A$1&amp;" "),"")&amp;IF(C311!$D$7="Aula 4",(C311!$A$1&amp;" "),"")&amp;IF(C312!$D$7="Aula 4",(C312!$A$1&amp;" "),"")&amp;IF(C411!$D$7="Aula 4",(C411!$A$1&amp;" "),"")&amp;IF(C412!$D$7="Aula 4",(C412!$A$1&amp;" "),"")&amp;IF(M111!$D$7="Aula 4",(M111!$A$1&amp;" "),"")&amp;IF(M211!$D$7="Aula 4",(M211!$A$1&amp;" "),"")&amp;IF(M311!$D$7="Aula 4",(M311!$A$1&amp;" "),"")&amp;IF(M411!$D$7="Aula 4",(M411!$A$1&amp;" "),""))," ",",")</f>
        <v/>
      </c>
      <c r="F19" s="2">
        <f>SUBSTITUTE(TRIM(IF(D111!$D$7="Aula 5",(D111!$A$1&amp;" "),"")&amp;IF(D211!$D$7="Aula 5",(D211!$A$1&amp;" "),"")&amp;IF(D311!$D$7="Aula 5",(D311!$A$1&amp;" "),"")&amp;IF(D411!$D$7="Aula 5",(D411!$A$1&amp;" "),"")&amp;IF(C111!$D$7="Aula 5",(C111!$A$1&amp;" "),"")&amp;IF(C121!$D$7="Aula 5",(C121!$A$1&amp;" "),"")&amp;IF(C122!$D$7="Aula 5",(C122!$A$1&amp;" "),"")&amp;IF(C211!$D$7="Aula 5",(C211!$A$1&amp;" "),"")&amp;IF(C212!$D$7="Aula 5",(C212!$A$1&amp;" "),"")&amp;IF(C311!$D$7="Aula 5",(C311!$A$1&amp;" "),"")&amp;IF(C312!$D$7="Aula 5",(C312!$A$1&amp;" "),"")&amp;IF(C411!$D$7="Aula 5",(C411!$A$1&amp;" "),"")&amp;IF(C412!$D$7="Aula 5",(C412!$A$1&amp;" "),"")&amp;IF(M111!$D$7="Aula 5",(M111!$A$1&amp;" "),"")&amp;IF(M211!$D$7="Aula 5",(M211!$A$1&amp;" "),"")&amp;IF(M311!$D$7="Aula 5",(M311!$A$1&amp;" "),"")&amp;IF(M411!$D$7="Aula 5",(M411!$A$1&amp;" "),""))," ",",")</f>
        <v/>
      </c>
      <c r="G19" s="2">
        <f>SUBSTITUTE(TRIM(IF(D111!$D$7="Aula 6",(D111!$A$1&amp;" "),"")&amp;IF(D211!$D$7="Aula 6",(D211!$A$1&amp;" "),"")&amp;IF(D311!$D$7="Aula 6",(D311!$A$1&amp;" "),"")&amp;IF(D411!$D$7="Aula 6",(D411!$A$1&amp;" "),"")&amp;IF(C111!$D$7="Aula 6",(C111!$A$1&amp;" "),"")&amp;IF(C121!$D$7="Aula 6",(C121!$A$1&amp;" "),"")&amp;IF(C122!$D$7="Aula 6",(C122!$A$1&amp;" "),"")&amp;IF(C211!$D$7="Aula 6",(C211!$A$1&amp;" "),"")&amp;IF(C212!$D$7="Aula 6",(C212!$A$1&amp;" "),"")&amp;IF(C311!$D$7="Aula 6",(C311!$A$1&amp;" "),"")&amp;IF(C312!$D$7="Aula 6",(C312!$A$1&amp;" "),"")&amp;IF(C411!$D$7="Aula 6",(C411!$A$1&amp;" "),"")&amp;IF(C412!$D$7="Aula 6",(C412!$A$1&amp;" "),"")&amp;IF(M111!$D$7="Aula 6",(M111!$A$1&amp;" "),"")&amp;IF(M211!$D$7="Aula 6",(M211!$A$1&amp;" "),"")&amp;IF(M311!$D$7="Aula 6",(M311!$A$1&amp;" "),"")&amp;IF(M411!$D$7="Aula 6",(M411!$A$1&amp;" "),""))," ",",")</f>
        <v/>
      </c>
      <c r="H19" s="2">
        <f>SUBSTITUTE(TRIM(IF(D111!$D$7="Aula 7",(D111!$A$1&amp;" "),"")&amp;IF(D211!$D$7="Aula 7",(D211!$A$1&amp;" "),"")&amp;IF(D311!$D$7="Aula 7",(D311!$A$1&amp;" "),"")&amp;IF(D411!$D$7="Aula 7",(D411!$A$1&amp;" "),"")&amp;IF(C111!$D$7="Aula 7",(C111!$A$1&amp;" "),"")&amp;IF(C121!$D$7="Aula 7",(C121!$A$1&amp;" "),"")&amp;IF(C122!$D$7="Aula 7",(C122!$A$1&amp;" "),"")&amp;IF(C211!$D$7="Aula 7",(C211!$A$1&amp;" "),"")&amp;IF(C212!$D$7="Aula 7",(C212!$A$1&amp;" "),"")&amp;IF(C311!$D$7="Aula 7",(C311!$A$1&amp;" "),"")&amp;IF(C312!$D$7="Aula 7",(C312!$A$1&amp;" "),"")&amp;IF(C411!$D$7="Aula 7",(C411!$A$1&amp;" "),"")&amp;IF(C412!$D$7="Aula 7",(C412!$A$1&amp;" "),"")&amp;IF(M111!$D$7="Aula 7",(M111!$A$1&amp;" "),"")&amp;IF(M211!$D$7="Aula 7",(M211!$A$1&amp;" "),"")&amp;IF(M311!$D$7="Aula 7",(M311!$A$1&amp;" "),"")&amp;IF(M411!$D$7="Aula 7",(M411!$A$1&amp;" "),""))," ",",")</f>
        <v/>
      </c>
      <c r="I19" s="2">
        <f>SUBSTITUTE(TRIM(IF(D111!$D$7="Aula 8",(D111!$A$1&amp;" "),"")&amp;IF(D211!$D$7="Aula 8",(D211!$A$1&amp;" "),"")&amp;IF(D311!$D$7="Aula 8",(D311!$A$1&amp;" "),"")&amp;IF(D411!$D$7="Aula 8",(D411!$A$1&amp;" "),"")&amp;IF(C111!$D$7="Aula 8",(C111!$A$1&amp;" "),"")&amp;IF(C121!$D$7="Aula 8",(C121!$A$1&amp;" "),"")&amp;IF(C122!$D$7="Aula 8",(C122!$A$1&amp;" "),"")&amp;IF(C211!$D$7="Aula 8",(C211!$A$1&amp;" "),"")&amp;IF(C212!$D$7="Aula 8",(C212!$A$1&amp;" "),"")&amp;IF(C311!$D$7="Aula 8",(C311!$A$1&amp;" "),"")&amp;IF(C312!$D$7="Aula 8",(C312!$A$1&amp;" "),"")&amp;IF(C411!$D$7="Aula 8",(C411!$A$1&amp;" "),"")&amp;IF(C412!$D$7="Aula 8",(C412!$A$1&amp;" "),"")&amp;IF(M111!$D$7="Aula 8",(M111!$A$1&amp;" "),"")&amp;IF(M211!$D$7="Aula 8",(M211!$A$1&amp;" "),"")&amp;IF(M311!$D$7="Aula 8",(M311!$A$1&amp;" "),"")&amp;IF(M411!$D$7="Aula 8",(M411!$A$1&amp;" "),""))," ",",")</f>
        <v/>
      </c>
      <c r="J19" s="2">
        <f>SUBSTITUTE(TRIM(IF(D111!$D$7="Aula 9",(D111!$A$1&amp;" "),"")&amp;IF(D211!$D$7="Aula 9",(D211!$A$1&amp;" "),"")&amp;IF(D311!$D$7="Aula 9",(D311!$A$1&amp;" "),"")&amp;IF(D411!$D$7="Aula 9",(D411!$A$1&amp;" "),"")&amp;IF(C111!$D$7="Aula 9",(C111!$A$1&amp;" "),"")&amp;IF(C121!$D$7="Aula 9",(C121!$A$1&amp;" "),"")&amp;IF(C122!$D$7="Aula 9",(C122!$A$1&amp;" "),"")&amp;IF(C211!$D$7="Aula 9",(C211!$A$1&amp;" "),"")&amp;IF(C212!$D$7="Aula 9",(C212!$A$1&amp;" "),"")&amp;IF(C311!$D$7="Aula 9",(C311!$A$1&amp;" "),"")&amp;IF(C312!$D$7="Aula 9",(C312!$A$1&amp;" "),"")&amp;IF(C411!$D$7="Aula 9",(C411!$A$1&amp;" "),"")&amp;IF(C412!$D$7="Aula 9",(C412!$A$1&amp;" "),"")&amp;IF(M111!$D$7="Aula 9",(M111!$A$1&amp;" "),"")&amp;IF(M211!$D$7="Aula 9",(M211!$A$1&amp;" "),"")&amp;IF(M311!$D$7="Aula 9",(M311!$A$1&amp;" "),"")&amp;IF(M411!$D$7="Aula 9",(M411!$A$1&amp;" "),""))," ",",")</f>
        <v/>
      </c>
      <c r="K19" s="2">
        <f>SUBSTITUTE(TRIM(IF(D111!$D$7="Lab",(D111!$A$1&amp;" "),"")&amp;IF(D211!$D$7="Lab",(D211!$A$1&amp;" "),"")&amp;IF(D311!$D$7="Lab",(D311!$A$1&amp;" "),"")&amp;IF(D411!$D$7="Lab",(D411!$A$1&amp;" "),"")&amp;IF(C111!$D$7="Lab",(C111!$A$1&amp;" "),"")&amp;IF(C121!$D$7="Lab",(C121!$A$1&amp;" "),"")&amp;IF(C122!$D$7="Lab",(C122!$A$1&amp;" "),"")&amp;IF(C211!$D$7="Lab",(C211!$A$1&amp;" "),"")&amp;IF(C212!$D$7="Lab",(C212!$A$1&amp;" "),"")&amp;IF(C311!$D$7="Lab",(C311!$A$1&amp;" "),"")&amp;IF(C312!$D$7="Lab",(C312!$A$1&amp;" "),"")&amp;IF(C411!$D$7="Lab",(C411!$A$1&amp;" "),"")&amp;IF(C412!$D$7="Lab",(C412!$A$1&amp;" "),"")&amp;IF(M111!$D$7="Lab",(M111!$A$1&amp;" "),"")&amp;IF(M211!$D$7="Lab",(M211!$A$1&amp;" "),"")&amp;IF(M311!$D$7="Lab",(M311!$A$1&amp;" "),"")&amp;IF(M411!$D$7="Lab",(M411!$A$1&amp;" "),""))," ",",")</f>
        <v/>
      </c>
      <c r="L19" t="inlineStr"/>
    </row>
    <row r="20">
      <c r="A20" s="2" t="inlineStr">
        <is>
          <t>3</t>
        </is>
      </c>
      <c r="B20" s="2">
        <f>SUBSTITUTE(TRIM(IF(D111!$D$9="Aula 1",(D111!$A$1&amp;" "),"")&amp;IF(D211!$D$9="Aula 1",(D211!$A$1&amp;" "),"")&amp;IF(D311!$D$9="Aula 1",(D311!$A$1&amp;" "),"")&amp;IF(D411!$D$9="Aula 1",(D411!$A$1&amp;" "),"")&amp;IF(C111!$D$9="Aula 1",(C111!$A$1&amp;" "),"")&amp;IF(C121!$D$9="Aula 1",(C121!$A$1&amp;" "),"")&amp;IF(C122!$D$9="Aula 1",(C122!$A$1&amp;" "),"")&amp;IF(C211!$D$9="Aula 1",(C211!$A$1&amp;" "),"")&amp;IF(C212!$D$9="Aula 1",(C212!$A$1&amp;" "),"")&amp;IF(C311!$D$9="Aula 1",(C311!$A$1&amp;" "),"")&amp;IF(C312!$D$9="Aula 1",(C312!$A$1&amp;" "),"")&amp;IF(C411!$D$9="Aula 1",(C411!$A$1&amp;" "),"")&amp;IF(C412!$D$9="Aula 1",(C412!$A$1&amp;" "),"")&amp;IF(M111!$D$9="Aula 1",(M111!$A$1&amp;" "),"")&amp;IF(M211!$D$9="Aula 1",(M211!$A$1&amp;" "),"")&amp;IF(M311!$D$9="Aula 1",(M311!$A$1&amp;" "),"")&amp;IF(M411!$D$9="Aula 1",(M411!$A$1&amp;" "),""))," ",",")</f>
        <v/>
      </c>
      <c r="C20" s="2">
        <f>SUBSTITUTE(TRIM(IF(D111!$D$9="Aula 2",(D111!$A$1&amp;" "),"")&amp;IF(D211!$D$9="Aula 2",(D211!$A$1&amp;" "),"")&amp;IF(D311!$D$9="Aula 2",(D311!$A$1&amp;" "),"")&amp;IF(D411!$D$9="Aula 2",(D411!$A$1&amp;" "),"")&amp;IF(C111!$D$9="Aula 2",(C111!$A$1&amp;" "),"")&amp;IF(C121!$D$9="Aula 2",(C121!$A$1&amp;" "),"")&amp;IF(C122!$D$9="Aula 2",(C122!$A$1&amp;" "),"")&amp;IF(C211!$D$9="Aula 2",(C211!$A$1&amp;" "),"")&amp;IF(C212!$D$9="Aula 2",(C212!$A$1&amp;" "),"")&amp;IF(C311!$D$9="Aula 2",(C311!$A$1&amp;" "),"")&amp;IF(C312!$D$9="Aula 2",(C312!$A$1&amp;" "),"")&amp;IF(C411!$D$9="Aula 2",(C411!$A$1&amp;" "),"")&amp;IF(C412!$D$9="Aula 2",(C412!$A$1&amp;" "),"")&amp;IF(M111!$D$9="Aula 2",(M111!$A$1&amp;" "),"")&amp;IF(M211!$D$9="Aula 2",(M211!$A$1&amp;" "),"")&amp;IF(M311!$D$9="Aula 2",(M311!$A$1&amp;" "),"")&amp;IF(M411!$D$9="Aula 2",(M411!$A$1&amp;" "),""))," ",",")</f>
        <v/>
      </c>
      <c r="D20" s="2">
        <f>SUBSTITUTE(TRIM(IF(D111!$D$9="Aula 3",(D111!$A$1&amp;" "),"")&amp;IF(D211!$D$9="Aula 3",(D211!$A$1&amp;" "),"")&amp;IF(D311!$D$9="Aula 3",(D311!$A$1&amp;" "),"")&amp;IF(D411!$D$9="Aula 3",(D411!$A$1&amp;" "),"")&amp;IF(C111!$D$9="Aula 3",(C111!$A$1&amp;" "),"")&amp;IF(C121!$D$9="Aula 3",(C121!$A$1&amp;" "),"")&amp;IF(C122!$D$9="Aula 3",(C122!$A$1&amp;" "),"")&amp;IF(C211!$D$9="Aula 3",(C211!$A$1&amp;" "),"")&amp;IF(C212!$D$9="Aula 3",(C212!$A$1&amp;" "),"")&amp;IF(C311!$D$9="Aula 3",(C311!$A$1&amp;" "),"")&amp;IF(C312!$D$9="Aula 3",(C312!$A$1&amp;" "),"")&amp;IF(C411!$D$9="Aula 3",(C411!$A$1&amp;" "),"")&amp;IF(C412!$D$9="Aula 3",(C412!$A$1&amp;" "),"")&amp;IF(M111!$D$9="Aula 3",(M111!$A$1&amp;" "),"")&amp;IF(M211!$D$9="Aula 3",(M211!$A$1&amp;" "),"")&amp;IF(M311!$D$9="Aula 3",(M311!$A$1&amp;" "),"")&amp;IF(M411!$D$9="Aula 3",(M411!$A$1&amp;" "),""))," ",",")</f>
        <v/>
      </c>
      <c r="E20" s="2">
        <f>SUBSTITUTE(TRIM(IF(D111!$D$9="Aula 4",(D111!$A$1&amp;" "),"")&amp;IF(D211!$D$9="Aula 4",(D211!$A$1&amp;" "),"")&amp;IF(D311!$D$9="Aula 4",(D311!$A$1&amp;" "),"")&amp;IF(D411!$D$9="Aula 4",(D411!$A$1&amp;" "),"")&amp;IF(C111!$D$9="Aula 4",(C111!$A$1&amp;" "),"")&amp;IF(C121!$D$9="Aula 4",(C121!$A$1&amp;" "),"")&amp;IF(C122!$D$9="Aula 4",(C122!$A$1&amp;" "),"")&amp;IF(C211!$D$9="Aula 4",(C211!$A$1&amp;" "),"")&amp;IF(C212!$D$9="Aula 4",(C212!$A$1&amp;" "),"")&amp;IF(C311!$D$9="Aula 4",(C311!$A$1&amp;" "),"")&amp;IF(C312!$D$9="Aula 4",(C312!$A$1&amp;" "),"")&amp;IF(C411!$D$9="Aula 4",(C411!$A$1&amp;" "),"")&amp;IF(C412!$D$9="Aula 4",(C412!$A$1&amp;" "),"")&amp;IF(M111!$D$9="Aula 4",(M111!$A$1&amp;" "),"")&amp;IF(M211!$D$9="Aula 4",(M211!$A$1&amp;" "),"")&amp;IF(M311!$D$9="Aula 4",(M311!$A$1&amp;" "),"")&amp;IF(M411!$D$9="Aula 4",(M411!$A$1&amp;" "),""))," ",",")</f>
        <v/>
      </c>
      <c r="F20" s="2">
        <f>SUBSTITUTE(TRIM(IF(D111!$D$9="Aula 5",(D111!$A$1&amp;" "),"")&amp;IF(D211!$D$9="Aula 5",(D211!$A$1&amp;" "),"")&amp;IF(D311!$D$9="Aula 5",(D311!$A$1&amp;" "),"")&amp;IF(D411!$D$9="Aula 5",(D411!$A$1&amp;" "),"")&amp;IF(C111!$D$9="Aula 5",(C111!$A$1&amp;" "),"")&amp;IF(C121!$D$9="Aula 5",(C121!$A$1&amp;" "),"")&amp;IF(C122!$D$9="Aula 5",(C122!$A$1&amp;" "),"")&amp;IF(C211!$D$9="Aula 5",(C211!$A$1&amp;" "),"")&amp;IF(C212!$D$9="Aula 5",(C212!$A$1&amp;" "),"")&amp;IF(C311!$D$9="Aula 5",(C311!$A$1&amp;" "),"")&amp;IF(C312!$D$9="Aula 5",(C312!$A$1&amp;" "),"")&amp;IF(C411!$D$9="Aula 5",(C411!$A$1&amp;" "),"")&amp;IF(C412!$D$9="Aula 5",(C412!$A$1&amp;" "),"")&amp;IF(M111!$D$9="Aula 5",(M111!$A$1&amp;" "),"")&amp;IF(M211!$D$9="Aula 5",(M211!$A$1&amp;" "),"")&amp;IF(M311!$D$9="Aula 5",(M311!$A$1&amp;" "),"")&amp;IF(M411!$D$9="Aula 5",(M411!$A$1&amp;" "),""))," ",",")</f>
        <v/>
      </c>
      <c r="G20" s="2">
        <f>SUBSTITUTE(TRIM(IF(D111!$D$9="Aula 6",(D111!$A$1&amp;" "),"")&amp;IF(D211!$D$9="Aula 6",(D211!$A$1&amp;" "),"")&amp;IF(D311!$D$9="Aula 6",(D311!$A$1&amp;" "),"")&amp;IF(D411!$D$9="Aula 6",(D411!$A$1&amp;" "),"")&amp;IF(C111!$D$9="Aula 6",(C111!$A$1&amp;" "),"")&amp;IF(C121!$D$9="Aula 6",(C121!$A$1&amp;" "),"")&amp;IF(C122!$D$9="Aula 6",(C122!$A$1&amp;" "),"")&amp;IF(C211!$D$9="Aula 6",(C211!$A$1&amp;" "),"")&amp;IF(C212!$D$9="Aula 6",(C212!$A$1&amp;" "),"")&amp;IF(C311!$D$9="Aula 6",(C311!$A$1&amp;" "),"")&amp;IF(C312!$D$9="Aula 6",(C312!$A$1&amp;" "),"")&amp;IF(C411!$D$9="Aula 6",(C411!$A$1&amp;" "),"")&amp;IF(C412!$D$9="Aula 6",(C412!$A$1&amp;" "),"")&amp;IF(M111!$D$9="Aula 6",(M111!$A$1&amp;" "),"")&amp;IF(M211!$D$9="Aula 6",(M211!$A$1&amp;" "),"")&amp;IF(M311!$D$9="Aula 6",(M311!$A$1&amp;" "),"")&amp;IF(M411!$D$9="Aula 6",(M411!$A$1&amp;" "),""))," ",",")</f>
        <v/>
      </c>
      <c r="H20" s="2">
        <f>SUBSTITUTE(TRIM(IF(D111!$D$9="Aula 7",(D111!$A$1&amp;" "),"")&amp;IF(D211!$D$9="Aula 7",(D211!$A$1&amp;" "),"")&amp;IF(D311!$D$9="Aula 7",(D311!$A$1&amp;" "),"")&amp;IF(D411!$D$9="Aula 7",(D411!$A$1&amp;" "),"")&amp;IF(C111!$D$9="Aula 7",(C111!$A$1&amp;" "),"")&amp;IF(C121!$D$9="Aula 7",(C121!$A$1&amp;" "),"")&amp;IF(C122!$D$9="Aula 7",(C122!$A$1&amp;" "),"")&amp;IF(C211!$D$9="Aula 7",(C211!$A$1&amp;" "),"")&amp;IF(C212!$D$9="Aula 7",(C212!$A$1&amp;" "),"")&amp;IF(C311!$D$9="Aula 7",(C311!$A$1&amp;" "),"")&amp;IF(C312!$D$9="Aula 7",(C312!$A$1&amp;" "),"")&amp;IF(C411!$D$9="Aula 7",(C411!$A$1&amp;" "),"")&amp;IF(C412!$D$9="Aula 7",(C412!$A$1&amp;" "),"")&amp;IF(M111!$D$9="Aula 7",(M111!$A$1&amp;" "),"")&amp;IF(M211!$D$9="Aula 7",(M211!$A$1&amp;" "),"")&amp;IF(M311!$D$9="Aula 7",(M311!$A$1&amp;" "),"")&amp;IF(M411!$D$9="Aula 7",(M411!$A$1&amp;" "),""))," ",",")</f>
        <v/>
      </c>
      <c r="I20" s="2">
        <f>SUBSTITUTE(TRIM(IF(D111!$D$9="Aula 8",(D111!$A$1&amp;" "),"")&amp;IF(D211!$D$9="Aula 8",(D211!$A$1&amp;" "),"")&amp;IF(D311!$D$9="Aula 8",(D311!$A$1&amp;" "),"")&amp;IF(D411!$D$9="Aula 8",(D411!$A$1&amp;" "),"")&amp;IF(C111!$D$9="Aula 8",(C111!$A$1&amp;" "),"")&amp;IF(C121!$D$9="Aula 8",(C121!$A$1&amp;" "),"")&amp;IF(C122!$D$9="Aula 8",(C122!$A$1&amp;" "),"")&amp;IF(C211!$D$9="Aula 8",(C211!$A$1&amp;" "),"")&amp;IF(C212!$D$9="Aula 8",(C212!$A$1&amp;" "),"")&amp;IF(C311!$D$9="Aula 8",(C311!$A$1&amp;" "),"")&amp;IF(C312!$D$9="Aula 8",(C312!$A$1&amp;" "),"")&amp;IF(C411!$D$9="Aula 8",(C411!$A$1&amp;" "),"")&amp;IF(C412!$D$9="Aula 8",(C412!$A$1&amp;" "),"")&amp;IF(M111!$D$9="Aula 8",(M111!$A$1&amp;" "),"")&amp;IF(M211!$D$9="Aula 8",(M211!$A$1&amp;" "),"")&amp;IF(M311!$D$9="Aula 8",(M311!$A$1&amp;" "),"")&amp;IF(M411!$D$9="Aula 8",(M411!$A$1&amp;" "),""))," ",",")</f>
        <v/>
      </c>
      <c r="J20" s="2">
        <f>SUBSTITUTE(TRIM(IF(D111!$D$9="Aula 9",(D111!$A$1&amp;" "),"")&amp;IF(D211!$D$9="Aula 9",(D211!$A$1&amp;" "),"")&amp;IF(D311!$D$9="Aula 9",(D311!$A$1&amp;" "),"")&amp;IF(D411!$D$9="Aula 9",(D411!$A$1&amp;" "),"")&amp;IF(C111!$D$9="Aula 9",(C111!$A$1&amp;" "),"")&amp;IF(C121!$D$9="Aula 9",(C121!$A$1&amp;" "),"")&amp;IF(C122!$D$9="Aula 9",(C122!$A$1&amp;" "),"")&amp;IF(C211!$D$9="Aula 9",(C211!$A$1&amp;" "),"")&amp;IF(C212!$D$9="Aula 9",(C212!$A$1&amp;" "),"")&amp;IF(C311!$D$9="Aula 9",(C311!$A$1&amp;" "),"")&amp;IF(C312!$D$9="Aula 9",(C312!$A$1&amp;" "),"")&amp;IF(C411!$D$9="Aula 9",(C411!$A$1&amp;" "),"")&amp;IF(C412!$D$9="Aula 9",(C412!$A$1&amp;" "),"")&amp;IF(M111!$D$9="Aula 9",(M111!$A$1&amp;" "),"")&amp;IF(M211!$D$9="Aula 9",(M211!$A$1&amp;" "),"")&amp;IF(M311!$D$9="Aula 9",(M311!$A$1&amp;" "),"")&amp;IF(M411!$D$9="Aula 9",(M411!$A$1&amp;" "),""))," ",",")</f>
        <v/>
      </c>
      <c r="K20" s="2">
        <f>SUBSTITUTE(TRIM(IF(D111!$D$9="Lab",(D111!$A$1&amp;" "),"")&amp;IF(D211!$D$9="Lab",(D211!$A$1&amp;" "),"")&amp;IF(D311!$D$9="Lab",(D311!$A$1&amp;" "),"")&amp;IF(D411!$D$9="Lab",(D411!$A$1&amp;" "),"")&amp;IF(C111!$D$9="Lab",(C111!$A$1&amp;" "),"")&amp;IF(C121!$D$9="Lab",(C121!$A$1&amp;" "),"")&amp;IF(C122!$D$9="Lab",(C122!$A$1&amp;" "),"")&amp;IF(C211!$D$9="Lab",(C211!$A$1&amp;" "),"")&amp;IF(C212!$D$9="Lab",(C212!$A$1&amp;" "),"")&amp;IF(C311!$D$9="Lab",(C311!$A$1&amp;" "),"")&amp;IF(C312!$D$9="Lab",(C312!$A$1&amp;" "),"")&amp;IF(C411!$D$9="Lab",(C411!$A$1&amp;" "),"")&amp;IF(C412!$D$9="Lab",(C412!$A$1&amp;" "),"")&amp;IF(M111!$D$9="Lab",(M111!$A$1&amp;" "),"")&amp;IF(M211!$D$9="Lab",(M211!$A$1&amp;" "),"")&amp;IF(M311!$D$9="Lab",(M311!$A$1&amp;" "),"")&amp;IF(M411!$D$9="Lab",(M411!$A$1&amp;" "),""))," ",",")</f>
        <v/>
      </c>
      <c r="L20" t="inlineStr"/>
    </row>
    <row r="21">
      <c r="A21" s="2" t="inlineStr">
        <is>
          <t>4</t>
        </is>
      </c>
      <c r="B21" s="2">
        <f>SUBSTITUTE(TRIM(IF(D111!$D$11="Aula 1",(D111!$A$1&amp;" "),"")&amp;IF(D211!$D$11="Aula 1",(D211!$A$1&amp;" "),"")&amp;IF(D311!$D$11="Aula 1",(D311!$A$1&amp;" "),"")&amp;IF(D411!$D$11="Aula 1",(D411!$A$1&amp;" "),"")&amp;IF(C111!$D$11="Aula 1",(C111!$A$1&amp;" "),"")&amp;IF(C121!$D$11="Aula 1",(C121!$A$1&amp;" "),"")&amp;IF(C122!$D$11="Aula 1",(C122!$A$1&amp;" "),"")&amp;IF(C211!$D$11="Aula 1",(C211!$A$1&amp;" "),"")&amp;IF(C212!$D$11="Aula 1",(C212!$A$1&amp;" "),"")&amp;IF(C311!$D$11="Aula 1",(C311!$A$1&amp;" "),"")&amp;IF(C312!$D$11="Aula 1",(C312!$A$1&amp;" "),"")&amp;IF(C411!$D$11="Aula 1",(C411!$A$1&amp;" "),"")&amp;IF(C412!$D$11="Aula 1",(C412!$A$1&amp;" "),"")&amp;IF(M111!$D$11="Aula 1",(M111!$A$1&amp;" "),"")&amp;IF(M211!$D$11="Aula 1",(M211!$A$1&amp;" "),"")&amp;IF(M311!$D$11="Aula 1",(M311!$A$1&amp;" "),"")&amp;IF(M411!$D$11="Aula 1",(M411!$A$1&amp;" "),""))," ",",")</f>
        <v/>
      </c>
      <c r="C21" s="2">
        <f>SUBSTITUTE(TRIM(IF(D111!$D$11="Aula 2",(D111!$A$1&amp;" "),"")&amp;IF(D211!$D$11="Aula 2",(D211!$A$1&amp;" "),"")&amp;IF(D311!$D$11="Aula 2",(D311!$A$1&amp;" "),"")&amp;IF(D411!$D$11="Aula 2",(D411!$A$1&amp;" "),"")&amp;IF(C111!$D$11="Aula 2",(C111!$A$1&amp;" "),"")&amp;IF(C121!$D$11="Aula 2",(C121!$A$1&amp;" "),"")&amp;IF(C122!$D$11="Aula 2",(C122!$A$1&amp;" "),"")&amp;IF(C211!$D$11="Aula 2",(C211!$A$1&amp;" "),"")&amp;IF(C212!$D$11="Aula 2",(C212!$A$1&amp;" "),"")&amp;IF(C311!$D$11="Aula 2",(C311!$A$1&amp;" "),"")&amp;IF(C312!$D$11="Aula 2",(C312!$A$1&amp;" "),"")&amp;IF(C411!$D$11="Aula 2",(C411!$A$1&amp;" "),"")&amp;IF(C412!$D$11="Aula 2",(C412!$A$1&amp;" "),"")&amp;IF(M111!$D$11="Aula 2",(M111!$A$1&amp;" "),"")&amp;IF(M211!$D$11="Aula 2",(M211!$A$1&amp;" "),"")&amp;IF(M311!$D$11="Aula 2",(M311!$A$1&amp;" "),"")&amp;IF(M411!$D$11="Aula 2",(M411!$A$1&amp;" "),""))," ",",")</f>
        <v/>
      </c>
      <c r="D21" s="2">
        <f>SUBSTITUTE(TRIM(IF(D111!$D$11="Aula 3",(D111!$A$1&amp;" "),"")&amp;IF(D211!$D$11="Aula 3",(D211!$A$1&amp;" "),"")&amp;IF(D311!$D$11="Aula 3",(D311!$A$1&amp;" "),"")&amp;IF(D411!$D$11="Aula 3",(D411!$A$1&amp;" "),"")&amp;IF(C111!$D$11="Aula 3",(C111!$A$1&amp;" "),"")&amp;IF(C121!$D$11="Aula 3",(C121!$A$1&amp;" "),"")&amp;IF(C122!$D$11="Aula 3",(C122!$A$1&amp;" "),"")&amp;IF(C211!$D$11="Aula 3",(C211!$A$1&amp;" "),"")&amp;IF(C212!$D$11="Aula 3",(C212!$A$1&amp;" "),"")&amp;IF(C311!$D$11="Aula 3",(C311!$A$1&amp;" "),"")&amp;IF(C312!$D$11="Aula 3",(C312!$A$1&amp;" "),"")&amp;IF(C411!$D$11="Aula 3",(C411!$A$1&amp;" "),"")&amp;IF(C412!$D$11="Aula 3",(C412!$A$1&amp;" "),"")&amp;IF(M111!$D$11="Aula 3",(M111!$A$1&amp;" "),"")&amp;IF(M211!$D$11="Aula 3",(M211!$A$1&amp;" "),"")&amp;IF(M311!$D$11="Aula 3",(M311!$A$1&amp;" "),"")&amp;IF(M411!$D$11="Aula 3",(M411!$A$1&amp;" "),""))," ",",")</f>
        <v/>
      </c>
      <c r="E21" s="2">
        <f>SUBSTITUTE(TRIM(IF(D111!$D$11="Aula 4",(D111!$A$1&amp;" "),"")&amp;IF(D211!$D$11="Aula 4",(D211!$A$1&amp;" "),"")&amp;IF(D311!$D$11="Aula 4",(D311!$A$1&amp;" "),"")&amp;IF(D411!$D$11="Aula 4",(D411!$A$1&amp;" "),"")&amp;IF(C111!$D$11="Aula 4",(C111!$A$1&amp;" "),"")&amp;IF(C121!$D$11="Aula 4",(C121!$A$1&amp;" "),"")&amp;IF(C122!$D$11="Aula 4",(C122!$A$1&amp;" "),"")&amp;IF(C211!$D$11="Aula 4",(C211!$A$1&amp;" "),"")&amp;IF(C212!$D$11="Aula 4",(C212!$A$1&amp;" "),"")&amp;IF(C311!$D$11="Aula 4",(C311!$A$1&amp;" "),"")&amp;IF(C312!$D$11="Aula 4",(C312!$A$1&amp;" "),"")&amp;IF(C411!$D$11="Aula 4",(C411!$A$1&amp;" "),"")&amp;IF(C412!$D$11="Aula 4",(C412!$A$1&amp;" "),"")&amp;IF(M111!$D$11="Aula 4",(M111!$A$1&amp;" "),"")&amp;IF(M211!$D$11="Aula 4",(M211!$A$1&amp;" "),"")&amp;IF(M311!$D$11="Aula 4",(M311!$A$1&amp;" "),"")&amp;IF(M411!$D$11="Aula 4",(M411!$A$1&amp;" "),""))," ",",")</f>
        <v/>
      </c>
      <c r="F21" s="2">
        <f>SUBSTITUTE(TRIM(IF(D111!$D$11="Aula 5",(D111!$A$1&amp;" "),"")&amp;IF(D211!$D$11="Aula 5",(D211!$A$1&amp;" "),"")&amp;IF(D311!$D$11="Aula 5",(D311!$A$1&amp;" "),"")&amp;IF(D411!$D$11="Aula 5",(D411!$A$1&amp;" "),"")&amp;IF(C111!$D$11="Aula 5",(C111!$A$1&amp;" "),"")&amp;IF(C121!$D$11="Aula 5",(C121!$A$1&amp;" "),"")&amp;IF(C122!$D$11="Aula 5",(C122!$A$1&amp;" "),"")&amp;IF(C211!$D$11="Aula 5",(C211!$A$1&amp;" "),"")&amp;IF(C212!$D$11="Aula 5",(C212!$A$1&amp;" "),"")&amp;IF(C311!$D$11="Aula 5",(C311!$A$1&amp;" "),"")&amp;IF(C312!$D$11="Aula 5",(C312!$A$1&amp;" "),"")&amp;IF(C411!$D$11="Aula 5",(C411!$A$1&amp;" "),"")&amp;IF(C412!$D$11="Aula 5",(C412!$A$1&amp;" "),"")&amp;IF(M111!$D$11="Aula 5",(M111!$A$1&amp;" "),"")&amp;IF(M211!$D$11="Aula 5",(M211!$A$1&amp;" "),"")&amp;IF(M311!$D$11="Aula 5",(M311!$A$1&amp;" "),"")&amp;IF(M411!$D$11="Aula 5",(M411!$A$1&amp;" "),""))," ",",")</f>
        <v/>
      </c>
      <c r="G21" s="2">
        <f>SUBSTITUTE(TRIM(IF(D111!$D$11="Aula 6",(D111!$A$1&amp;" "),"")&amp;IF(D211!$D$11="Aula 6",(D211!$A$1&amp;" "),"")&amp;IF(D311!$D$11="Aula 6",(D311!$A$1&amp;" "),"")&amp;IF(D411!$D$11="Aula 6",(D411!$A$1&amp;" "),"")&amp;IF(C111!$D$11="Aula 6",(C111!$A$1&amp;" "),"")&amp;IF(C121!$D$11="Aula 6",(C121!$A$1&amp;" "),"")&amp;IF(C122!$D$11="Aula 6",(C122!$A$1&amp;" "),"")&amp;IF(C211!$D$11="Aula 6",(C211!$A$1&amp;" "),"")&amp;IF(C212!$D$11="Aula 6",(C212!$A$1&amp;" "),"")&amp;IF(C311!$D$11="Aula 6",(C311!$A$1&amp;" "),"")&amp;IF(C312!$D$11="Aula 6",(C312!$A$1&amp;" "),"")&amp;IF(C411!$D$11="Aula 6",(C411!$A$1&amp;" "),"")&amp;IF(C412!$D$11="Aula 6",(C412!$A$1&amp;" "),"")&amp;IF(M111!$D$11="Aula 6",(M111!$A$1&amp;" "),"")&amp;IF(M211!$D$11="Aula 6",(M211!$A$1&amp;" "),"")&amp;IF(M311!$D$11="Aula 6",(M311!$A$1&amp;" "),"")&amp;IF(M411!$D$11="Aula 6",(M411!$A$1&amp;" "),""))," ",",")</f>
        <v/>
      </c>
      <c r="H21" s="2">
        <f>SUBSTITUTE(TRIM(IF(D111!$D$11="Aula 7",(D111!$A$1&amp;" "),"")&amp;IF(D211!$D$11="Aula 7",(D211!$A$1&amp;" "),"")&amp;IF(D311!$D$11="Aula 7",(D311!$A$1&amp;" "),"")&amp;IF(D411!$D$11="Aula 7",(D411!$A$1&amp;" "),"")&amp;IF(C111!$D$11="Aula 7",(C111!$A$1&amp;" "),"")&amp;IF(C121!$D$11="Aula 7",(C121!$A$1&amp;" "),"")&amp;IF(C122!$D$11="Aula 7",(C122!$A$1&amp;" "),"")&amp;IF(C211!$D$11="Aula 7",(C211!$A$1&amp;" "),"")&amp;IF(C212!$D$11="Aula 7",(C212!$A$1&amp;" "),"")&amp;IF(C311!$D$11="Aula 7",(C311!$A$1&amp;" "),"")&amp;IF(C312!$D$11="Aula 7",(C312!$A$1&amp;" "),"")&amp;IF(C411!$D$11="Aula 7",(C411!$A$1&amp;" "),"")&amp;IF(C412!$D$11="Aula 7",(C412!$A$1&amp;" "),"")&amp;IF(M111!$D$11="Aula 7",(M111!$A$1&amp;" "),"")&amp;IF(M211!$D$11="Aula 7",(M211!$A$1&amp;" "),"")&amp;IF(M311!$D$11="Aula 7",(M311!$A$1&amp;" "),"")&amp;IF(M411!$D$11="Aula 7",(M411!$A$1&amp;" "),""))," ",",")</f>
        <v/>
      </c>
      <c r="I21" s="2">
        <f>SUBSTITUTE(TRIM(IF(D111!$D$11="Aula 8",(D111!$A$1&amp;" "),"")&amp;IF(D211!$D$11="Aula 8",(D211!$A$1&amp;" "),"")&amp;IF(D311!$D$11="Aula 8",(D311!$A$1&amp;" "),"")&amp;IF(D411!$D$11="Aula 8",(D411!$A$1&amp;" "),"")&amp;IF(C111!$D$11="Aula 8",(C111!$A$1&amp;" "),"")&amp;IF(C121!$D$11="Aula 8",(C121!$A$1&amp;" "),"")&amp;IF(C122!$D$11="Aula 8",(C122!$A$1&amp;" "),"")&amp;IF(C211!$D$11="Aula 8",(C211!$A$1&amp;" "),"")&amp;IF(C212!$D$11="Aula 8",(C212!$A$1&amp;" "),"")&amp;IF(C311!$D$11="Aula 8",(C311!$A$1&amp;" "),"")&amp;IF(C312!$D$11="Aula 8",(C312!$A$1&amp;" "),"")&amp;IF(C411!$D$11="Aula 8",(C411!$A$1&amp;" "),"")&amp;IF(C412!$D$11="Aula 8",(C412!$A$1&amp;" "),"")&amp;IF(M111!$D$11="Aula 8",(M111!$A$1&amp;" "),"")&amp;IF(M211!$D$11="Aula 8",(M211!$A$1&amp;" "),"")&amp;IF(M311!$D$11="Aula 8",(M311!$A$1&amp;" "),"")&amp;IF(M411!$D$11="Aula 8",(M411!$A$1&amp;" "),""))," ",",")</f>
        <v/>
      </c>
      <c r="J21" s="2">
        <f>SUBSTITUTE(TRIM(IF(D111!$D$11="Aula 9",(D111!$A$1&amp;" "),"")&amp;IF(D211!$D$11="Aula 9",(D211!$A$1&amp;" "),"")&amp;IF(D311!$D$11="Aula 9",(D311!$A$1&amp;" "),"")&amp;IF(D411!$D$11="Aula 9",(D411!$A$1&amp;" "),"")&amp;IF(C111!$D$11="Aula 9",(C111!$A$1&amp;" "),"")&amp;IF(C121!$D$11="Aula 9",(C121!$A$1&amp;" "),"")&amp;IF(C122!$D$11="Aula 9",(C122!$A$1&amp;" "),"")&amp;IF(C211!$D$11="Aula 9",(C211!$A$1&amp;" "),"")&amp;IF(C212!$D$11="Aula 9",(C212!$A$1&amp;" "),"")&amp;IF(C311!$D$11="Aula 9",(C311!$A$1&amp;" "),"")&amp;IF(C312!$D$11="Aula 9",(C312!$A$1&amp;" "),"")&amp;IF(C411!$D$11="Aula 9",(C411!$A$1&amp;" "),"")&amp;IF(C412!$D$11="Aula 9",(C412!$A$1&amp;" "),"")&amp;IF(M111!$D$11="Aula 9",(M111!$A$1&amp;" "),"")&amp;IF(M211!$D$11="Aula 9",(M211!$A$1&amp;" "),"")&amp;IF(M311!$D$11="Aula 9",(M311!$A$1&amp;" "),"")&amp;IF(M411!$D$11="Aula 9",(M411!$A$1&amp;" "),""))," ",",")</f>
        <v/>
      </c>
      <c r="K21" s="2">
        <f>SUBSTITUTE(TRIM(IF(D111!$D$11="Lab",(D111!$A$1&amp;" "),"")&amp;IF(D211!$D$11="Lab",(D211!$A$1&amp;" "),"")&amp;IF(D311!$D$11="Lab",(D311!$A$1&amp;" "),"")&amp;IF(D411!$D$11="Lab",(D411!$A$1&amp;" "),"")&amp;IF(C111!$D$11="Lab",(C111!$A$1&amp;" "),"")&amp;IF(C121!$D$11="Lab",(C121!$A$1&amp;" "),"")&amp;IF(C122!$D$11="Lab",(C122!$A$1&amp;" "),"")&amp;IF(C211!$D$11="Lab",(C211!$A$1&amp;" "),"")&amp;IF(C212!$D$11="Lab",(C212!$A$1&amp;" "),"")&amp;IF(C311!$D$11="Lab",(C311!$A$1&amp;" "),"")&amp;IF(C312!$D$11="Lab",(C312!$A$1&amp;" "),"")&amp;IF(C411!$D$11="Lab",(C411!$A$1&amp;" "),"")&amp;IF(C412!$D$11="Lab",(C412!$A$1&amp;" "),"")&amp;IF(M111!$D$11="Lab",(M111!$A$1&amp;" "),"")&amp;IF(M211!$D$11="Lab",(M211!$A$1&amp;" "),"")&amp;IF(M311!$D$11="Lab",(M311!$A$1&amp;" "),"")&amp;IF(M411!$D$11="Lab",(M411!$A$1&amp;" "),""))," ",",")</f>
        <v/>
      </c>
      <c r="L21" t="inlineStr"/>
    </row>
    <row r="22">
      <c r="A22" s="2" t="inlineStr">
        <is>
          <t>5</t>
        </is>
      </c>
      <c r="B22" s="2">
        <f>SUBSTITUTE(TRIM(IF(D111!$D$13="Aula 1",(D111!$A$1&amp;" "),"")&amp;IF(D211!$D$13="Aula 1",(D211!$A$1&amp;" "),"")&amp;IF(D311!$D$13="Aula 1",(D311!$A$1&amp;" "),"")&amp;IF(D411!$D$13="Aula 1",(D411!$A$1&amp;" "),"")&amp;IF(C111!$D$13="Aula 1",(C111!$A$1&amp;" "),"")&amp;IF(C121!$D$13="Aula 1",(C121!$A$1&amp;" "),"")&amp;IF(C122!$D$13="Aula 1",(C122!$A$1&amp;" "),"")&amp;IF(C211!$D$13="Aula 1",(C211!$A$1&amp;" "),"")&amp;IF(C212!$D$13="Aula 1",(C212!$A$1&amp;" "),"")&amp;IF(C311!$D$13="Aula 1",(C311!$A$1&amp;" "),"")&amp;IF(C312!$D$13="Aula 1",(C312!$A$1&amp;" "),"")&amp;IF(C411!$D$13="Aula 1",(C411!$A$1&amp;" "),"")&amp;IF(C412!$D$13="Aula 1",(C412!$A$1&amp;" "),"")&amp;IF(M111!$D$13="Aula 1",(M111!$A$1&amp;" "),"")&amp;IF(M211!$D$13="Aula 1",(M211!$A$1&amp;" "),"")&amp;IF(M311!$D$13="Aula 1",(M311!$A$1&amp;" "),"")&amp;IF(M411!$D$13="Aula 1",(M411!$A$1&amp;" "),""))," ",",")</f>
        <v/>
      </c>
      <c r="C22" s="2">
        <f>SUBSTITUTE(TRIM(IF(D111!$D$13="Aula 2",(D111!$A$1&amp;" "),"")&amp;IF(D211!$D$13="Aula 2",(D211!$A$1&amp;" "),"")&amp;IF(D311!$D$13="Aula 2",(D311!$A$1&amp;" "),"")&amp;IF(D411!$D$13="Aula 2",(D411!$A$1&amp;" "),"")&amp;IF(C111!$D$13="Aula 2",(C111!$A$1&amp;" "),"")&amp;IF(C121!$D$13="Aula 2",(C121!$A$1&amp;" "),"")&amp;IF(C122!$D$13="Aula 2",(C122!$A$1&amp;" "),"")&amp;IF(C211!$D$13="Aula 2",(C211!$A$1&amp;" "),"")&amp;IF(C212!$D$13="Aula 2",(C212!$A$1&amp;" "),"")&amp;IF(C311!$D$13="Aula 2",(C311!$A$1&amp;" "),"")&amp;IF(C312!$D$13="Aula 2",(C312!$A$1&amp;" "),"")&amp;IF(C411!$D$13="Aula 2",(C411!$A$1&amp;" "),"")&amp;IF(C412!$D$13="Aula 2",(C412!$A$1&amp;" "),"")&amp;IF(M111!$D$13="Aula 2",(M111!$A$1&amp;" "),"")&amp;IF(M211!$D$13="Aula 2",(M211!$A$1&amp;" "),"")&amp;IF(M311!$D$13="Aula 2",(M311!$A$1&amp;" "),"")&amp;IF(M411!$D$13="Aula 2",(M411!$A$1&amp;" "),""))," ",",")</f>
        <v/>
      </c>
      <c r="D22" s="2">
        <f>SUBSTITUTE(TRIM(IF(D111!$D$13="Aula 3",(D111!$A$1&amp;" "),"")&amp;IF(D211!$D$13="Aula 3",(D211!$A$1&amp;" "),"")&amp;IF(D311!$D$13="Aula 3",(D311!$A$1&amp;" "),"")&amp;IF(D411!$D$13="Aula 3",(D411!$A$1&amp;" "),"")&amp;IF(C111!$D$13="Aula 3",(C111!$A$1&amp;" "),"")&amp;IF(C121!$D$13="Aula 3",(C121!$A$1&amp;" "),"")&amp;IF(C122!$D$13="Aula 3",(C122!$A$1&amp;" "),"")&amp;IF(C211!$D$13="Aula 3",(C211!$A$1&amp;" "),"")&amp;IF(C212!$D$13="Aula 3",(C212!$A$1&amp;" "),"")&amp;IF(C311!$D$13="Aula 3",(C311!$A$1&amp;" "),"")&amp;IF(C312!$D$13="Aula 3",(C312!$A$1&amp;" "),"")&amp;IF(C411!$D$13="Aula 3",(C411!$A$1&amp;" "),"")&amp;IF(C412!$D$13="Aula 3",(C412!$A$1&amp;" "),"")&amp;IF(M111!$D$13="Aula 3",(M111!$A$1&amp;" "),"")&amp;IF(M211!$D$13="Aula 3",(M211!$A$1&amp;" "),"")&amp;IF(M311!$D$13="Aula 3",(M311!$A$1&amp;" "),"")&amp;IF(M411!$D$13="Aula 3",(M411!$A$1&amp;" "),""))," ",",")</f>
        <v/>
      </c>
      <c r="E22" s="2">
        <f>SUBSTITUTE(TRIM(IF(D111!$D$13="Aula 4",(D111!$A$1&amp;" "),"")&amp;IF(D211!$D$13="Aula 4",(D211!$A$1&amp;" "),"")&amp;IF(D311!$D$13="Aula 4",(D311!$A$1&amp;" "),"")&amp;IF(D411!$D$13="Aula 4",(D411!$A$1&amp;" "),"")&amp;IF(C111!$D$13="Aula 4",(C111!$A$1&amp;" "),"")&amp;IF(C121!$D$13="Aula 4",(C121!$A$1&amp;" "),"")&amp;IF(C122!$D$13="Aula 4",(C122!$A$1&amp;" "),"")&amp;IF(C211!$D$13="Aula 4",(C211!$A$1&amp;" "),"")&amp;IF(C212!$D$13="Aula 4",(C212!$A$1&amp;" "),"")&amp;IF(C311!$D$13="Aula 4",(C311!$A$1&amp;" "),"")&amp;IF(C312!$D$13="Aula 4",(C312!$A$1&amp;" "),"")&amp;IF(C411!$D$13="Aula 4",(C411!$A$1&amp;" "),"")&amp;IF(C412!$D$13="Aula 4",(C412!$A$1&amp;" "),"")&amp;IF(M111!$D$13="Aula 4",(M111!$A$1&amp;" "),"")&amp;IF(M211!$D$13="Aula 4",(M211!$A$1&amp;" "),"")&amp;IF(M311!$D$13="Aula 4",(M311!$A$1&amp;" "),"")&amp;IF(M411!$D$13="Aula 4",(M411!$A$1&amp;" "),""))," ",",")</f>
        <v/>
      </c>
      <c r="F22" s="2">
        <f>SUBSTITUTE(TRIM(IF(D111!$D$13="Aula 5",(D111!$A$1&amp;" "),"")&amp;IF(D211!$D$13="Aula 5",(D211!$A$1&amp;" "),"")&amp;IF(D311!$D$13="Aula 5",(D311!$A$1&amp;" "),"")&amp;IF(D411!$D$13="Aula 5",(D411!$A$1&amp;" "),"")&amp;IF(C111!$D$13="Aula 5",(C111!$A$1&amp;" "),"")&amp;IF(C121!$D$13="Aula 5",(C121!$A$1&amp;" "),"")&amp;IF(C122!$D$13="Aula 5",(C122!$A$1&amp;" "),"")&amp;IF(C211!$D$13="Aula 5",(C211!$A$1&amp;" "),"")&amp;IF(C212!$D$13="Aula 5",(C212!$A$1&amp;" "),"")&amp;IF(C311!$D$13="Aula 5",(C311!$A$1&amp;" "),"")&amp;IF(C312!$D$13="Aula 5",(C312!$A$1&amp;" "),"")&amp;IF(C411!$D$13="Aula 5",(C411!$A$1&amp;" "),"")&amp;IF(C412!$D$13="Aula 5",(C412!$A$1&amp;" "),"")&amp;IF(M111!$D$13="Aula 5",(M111!$A$1&amp;" "),"")&amp;IF(M211!$D$13="Aula 5",(M211!$A$1&amp;" "),"")&amp;IF(M311!$D$13="Aula 5",(M311!$A$1&amp;" "),"")&amp;IF(M411!$D$13="Aula 5",(M411!$A$1&amp;" "),""))," ",",")</f>
        <v/>
      </c>
      <c r="G22" s="2">
        <f>SUBSTITUTE(TRIM(IF(D111!$D$13="Aula 6",(D111!$A$1&amp;" "),"")&amp;IF(D211!$D$13="Aula 6",(D211!$A$1&amp;" "),"")&amp;IF(D311!$D$13="Aula 6",(D311!$A$1&amp;" "),"")&amp;IF(D411!$D$13="Aula 6",(D411!$A$1&amp;" "),"")&amp;IF(C111!$D$13="Aula 6",(C111!$A$1&amp;" "),"")&amp;IF(C121!$D$13="Aula 6",(C121!$A$1&amp;" "),"")&amp;IF(C122!$D$13="Aula 6",(C122!$A$1&amp;" "),"")&amp;IF(C211!$D$13="Aula 6",(C211!$A$1&amp;" "),"")&amp;IF(C212!$D$13="Aula 6",(C212!$A$1&amp;" "),"")&amp;IF(C311!$D$13="Aula 6",(C311!$A$1&amp;" "),"")&amp;IF(C312!$D$13="Aula 6",(C312!$A$1&amp;" "),"")&amp;IF(C411!$D$13="Aula 6",(C411!$A$1&amp;" "),"")&amp;IF(C412!$D$13="Aula 6",(C412!$A$1&amp;" "),"")&amp;IF(M111!$D$13="Aula 6",(M111!$A$1&amp;" "),"")&amp;IF(M211!$D$13="Aula 6",(M211!$A$1&amp;" "),"")&amp;IF(M311!$D$13="Aula 6",(M311!$A$1&amp;" "),"")&amp;IF(M411!$D$13="Aula 6",(M411!$A$1&amp;" "),""))," ",",")</f>
        <v/>
      </c>
      <c r="H22" s="2">
        <f>SUBSTITUTE(TRIM(IF(D111!$D$13="Aula 7",(D111!$A$1&amp;" "),"")&amp;IF(D211!$D$13="Aula 7",(D211!$A$1&amp;" "),"")&amp;IF(D311!$D$13="Aula 7",(D311!$A$1&amp;" "),"")&amp;IF(D411!$D$13="Aula 7",(D411!$A$1&amp;" "),"")&amp;IF(C111!$D$13="Aula 7",(C111!$A$1&amp;" "),"")&amp;IF(C121!$D$13="Aula 7",(C121!$A$1&amp;" "),"")&amp;IF(C122!$D$13="Aula 7",(C122!$A$1&amp;" "),"")&amp;IF(C211!$D$13="Aula 7",(C211!$A$1&amp;" "),"")&amp;IF(C212!$D$13="Aula 7",(C212!$A$1&amp;" "),"")&amp;IF(C311!$D$13="Aula 7",(C311!$A$1&amp;" "),"")&amp;IF(C312!$D$13="Aula 7",(C312!$A$1&amp;" "),"")&amp;IF(C411!$D$13="Aula 7",(C411!$A$1&amp;" "),"")&amp;IF(C412!$D$13="Aula 7",(C412!$A$1&amp;" "),"")&amp;IF(M111!$D$13="Aula 7",(M111!$A$1&amp;" "),"")&amp;IF(M211!$D$13="Aula 7",(M211!$A$1&amp;" "),"")&amp;IF(M311!$D$13="Aula 7",(M311!$A$1&amp;" "),"")&amp;IF(M411!$D$13="Aula 7",(M411!$A$1&amp;" "),""))," ",",")</f>
        <v/>
      </c>
      <c r="I22" s="2">
        <f>SUBSTITUTE(TRIM(IF(D111!$D$13="Aula 8",(D111!$A$1&amp;" "),"")&amp;IF(D211!$D$13="Aula 8",(D211!$A$1&amp;" "),"")&amp;IF(D311!$D$13="Aula 8",(D311!$A$1&amp;" "),"")&amp;IF(D411!$D$13="Aula 8",(D411!$A$1&amp;" "),"")&amp;IF(C111!$D$13="Aula 8",(C111!$A$1&amp;" "),"")&amp;IF(C121!$D$13="Aula 8",(C121!$A$1&amp;" "),"")&amp;IF(C122!$D$13="Aula 8",(C122!$A$1&amp;" "),"")&amp;IF(C211!$D$13="Aula 8",(C211!$A$1&amp;" "),"")&amp;IF(C212!$D$13="Aula 8",(C212!$A$1&amp;" "),"")&amp;IF(C311!$D$13="Aula 8",(C311!$A$1&amp;" "),"")&amp;IF(C312!$D$13="Aula 8",(C312!$A$1&amp;" "),"")&amp;IF(C411!$D$13="Aula 8",(C411!$A$1&amp;" "),"")&amp;IF(C412!$D$13="Aula 8",(C412!$A$1&amp;" "),"")&amp;IF(M111!$D$13="Aula 8",(M111!$A$1&amp;" "),"")&amp;IF(M211!$D$13="Aula 8",(M211!$A$1&amp;" "),"")&amp;IF(M311!$D$13="Aula 8",(M311!$A$1&amp;" "),"")&amp;IF(M411!$D$13="Aula 8",(M411!$A$1&amp;" "),""))," ",",")</f>
        <v/>
      </c>
      <c r="J22" s="2">
        <f>SUBSTITUTE(TRIM(IF(D111!$D$13="Aula 9",(D111!$A$1&amp;" "),"")&amp;IF(D211!$D$13="Aula 9",(D211!$A$1&amp;" "),"")&amp;IF(D311!$D$13="Aula 9",(D311!$A$1&amp;" "),"")&amp;IF(D411!$D$13="Aula 9",(D411!$A$1&amp;" "),"")&amp;IF(C111!$D$13="Aula 9",(C111!$A$1&amp;" "),"")&amp;IF(C121!$D$13="Aula 9",(C121!$A$1&amp;" "),"")&amp;IF(C122!$D$13="Aula 9",(C122!$A$1&amp;" "),"")&amp;IF(C211!$D$13="Aula 9",(C211!$A$1&amp;" "),"")&amp;IF(C212!$D$13="Aula 9",(C212!$A$1&amp;" "),"")&amp;IF(C311!$D$13="Aula 9",(C311!$A$1&amp;" "),"")&amp;IF(C312!$D$13="Aula 9",(C312!$A$1&amp;" "),"")&amp;IF(C411!$D$13="Aula 9",(C411!$A$1&amp;" "),"")&amp;IF(C412!$D$13="Aula 9",(C412!$A$1&amp;" "),"")&amp;IF(M111!$D$13="Aula 9",(M111!$A$1&amp;" "),"")&amp;IF(M211!$D$13="Aula 9",(M211!$A$1&amp;" "),"")&amp;IF(M311!$D$13="Aula 9",(M311!$A$1&amp;" "),"")&amp;IF(M411!$D$13="Aula 9",(M411!$A$1&amp;" "),""))," ",",")</f>
        <v/>
      </c>
      <c r="K22" s="2">
        <f>SUBSTITUTE(TRIM(IF(D111!$D$13="Lab",(D111!$A$1&amp;" "),"")&amp;IF(D211!$D$13="Lab",(D211!$A$1&amp;" "),"")&amp;IF(D311!$D$13="Lab",(D311!$A$1&amp;" "),"")&amp;IF(D411!$D$13="Lab",(D411!$A$1&amp;" "),"")&amp;IF(C111!$D$13="Lab",(C111!$A$1&amp;" "),"")&amp;IF(C121!$D$13="Lab",(C121!$A$1&amp;" "),"")&amp;IF(C122!$D$13="Lab",(C122!$A$1&amp;" "),"")&amp;IF(C211!$D$13="Lab",(C211!$A$1&amp;" "),"")&amp;IF(C212!$D$13="Lab",(C212!$A$1&amp;" "),"")&amp;IF(C311!$D$13="Lab",(C311!$A$1&amp;" "),"")&amp;IF(C312!$D$13="Lab",(C312!$A$1&amp;" "),"")&amp;IF(C411!$D$13="Lab",(C411!$A$1&amp;" "),"")&amp;IF(C412!$D$13="Lab",(C412!$A$1&amp;" "),"")&amp;IF(M111!$D$13="Lab",(M111!$A$1&amp;" "),"")&amp;IF(M211!$D$13="Lab",(M211!$A$1&amp;" "),"")&amp;IF(M311!$D$13="Lab",(M311!$A$1&amp;" "),"")&amp;IF(M411!$D$13="Lab",(M411!$A$1&amp;" "),""))," ",",")</f>
        <v/>
      </c>
      <c r="L22" t="inlineStr"/>
    </row>
    <row r="23">
      <c r="A23" s="2" t="inlineStr">
        <is>
          <t>6</t>
        </is>
      </c>
      <c r="B23" s="2">
        <f>SUBSTITUTE(TRIM(IF(D111!$D$15="Aula 1",(D111!$A$1&amp;" "),"")&amp;IF(D211!$D$15="Aula 1",(D211!$A$1&amp;" "),"")&amp;IF(D311!$D$15="Aula 1",(D311!$A$1&amp;" "),"")&amp;IF(D411!$D$15="Aula 1",(D411!$A$1&amp;" "),"")&amp;IF(C111!$D$15="Aula 1",(C111!$A$1&amp;" "),"")&amp;IF(C121!$D$15="Aula 1",(C121!$A$1&amp;" "),"")&amp;IF(C122!$D$15="Aula 1",(C122!$A$1&amp;" "),"")&amp;IF(C211!$D$15="Aula 1",(C211!$A$1&amp;" "),"")&amp;IF(C212!$D$15="Aula 1",(C212!$A$1&amp;" "),"")&amp;IF(C311!$D$15="Aula 1",(C311!$A$1&amp;" "),"")&amp;IF(C312!$D$15="Aula 1",(C312!$A$1&amp;" "),"")&amp;IF(C411!$D$15="Aula 1",(C411!$A$1&amp;" "),"")&amp;IF(C412!$D$15="Aula 1",(C412!$A$1&amp;" "),"")&amp;IF(M111!$D$15="Aula 1",(M111!$A$1&amp;" "),"")&amp;IF(M211!$D$15="Aula 1",(M211!$A$1&amp;" "),"")&amp;IF(M311!$D$15="Aula 1",(M311!$A$1&amp;" "),"")&amp;IF(M411!$D$15="Aula 1",(M411!$A$1&amp;" "),""))," ",",")</f>
        <v/>
      </c>
      <c r="C23" s="2">
        <f>SUBSTITUTE(TRIM(IF(D111!$D$15="Aula 2",(D111!$A$1&amp;" "),"")&amp;IF(D211!$D$15="Aula 2",(D211!$A$1&amp;" "),"")&amp;IF(D311!$D$15="Aula 2",(D311!$A$1&amp;" "),"")&amp;IF(D411!$D$15="Aula 2",(D411!$A$1&amp;" "),"")&amp;IF(C111!$D$15="Aula 2",(C111!$A$1&amp;" "),"")&amp;IF(C121!$D$15="Aula 2",(C121!$A$1&amp;" "),"")&amp;IF(C122!$D$15="Aula 2",(C122!$A$1&amp;" "),"")&amp;IF(C211!$D$15="Aula 2",(C211!$A$1&amp;" "),"")&amp;IF(C212!$D$15="Aula 2",(C212!$A$1&amp;" "),"")&amp;IF(C311!$D$15="Aula 2",(C311!$A$1&amp;" "),"")&amp;IF(C312!$D$15="Aula 2",(C312!$A$1&amp;" "),"")&amp;IF(C411!$D$15="Aula 2",(C411!$A$1&amp;" "),"")&amp;IF(C412!$D$15="Aula 2",(C412!$A$1&amp;" "),"")&amp;IF(M111!$D$15="Aula 2",(M111!$A$1&amp;" "),"")&amp;IF(M211!$D$15="Aula 2",(M211!$A$1&amp;" "),"")&amp;IF(M311!$D$15="Aula 2",(M311!$A$1&amp;" "),"")&amp;IF(M411!$D$15="Aula 2",(M411!$A$1&amp;" "),""))," ",",")</f>
        <v/>
      </c>
      <c r="D23" s="2">
        <f>SUBSTITUTE(TRIM(IF(D111!$D$15="Aula 3",(D111!$A$1&amp;" "),"")&amp;IF(D211!$D$15="Aula 3",(D211!$A$1&amp;" "),"")&amp;IF(D311!$D$15="Aula 3",(D311!$A$1&amp;" "),"")&amp;IF(D411!$D$15="Aula 3",(D411!$A$1&amp;" "),"")&amp;IF(C111!$D$15="Aula 3",(C111!$A$1&amp;" "),"")&amp;IF(C121!$D$15="Aula 3",(C121!$A$1&amp;" "),"")&amp;IF(C122!$D$15="Aula 3",(C122!$A$1&amp;" "),"")&amp;IF(C211!$D$15="Aula 3",(C211!$A$1&amp;" "),"")&amp;IF(C212!$D$15="Aula 3",(C212!$A$1&amp;" "),"")&amp;IF(C311!$D$15="Aula 3",(C311!$A$1&amp;" "),"")&amp;IF(C312!$D$15="Aula 3",(C312!$A$1&amp;" "),"")&amp;IF(C411!$D$15="Aula 3",(C411!$A$1&amp;" "),"")&amp;IF(C412!$D$15="Aula 3",(C412!$A$1&amp;" "),"")&amp;IF(M111!$D$15="Aula 3",(M111!$A$1&amp;" "),"")&amp;IF(M211!$D$15="Aula 3",(M211!$A$1&amp;" "),"")&amp;IF(M311!$D$15="Aula 3",(M311!$A$1&amp;" "),"")&amp;IF(M411!$D$15="Aula 3",(M411!$A$1&amp;" "),""))," ",",")</f>
        <v/>
      </c>
      <c r="E23" s="2">
        <f>SUBSTITUTE(TRIM(IF(D111!$D$15="Aula 4",(D111!$A$1&amp;" "),"")&amp;IF(D211!$D$15="Aula 4",(D211!$A$1&amp;" "),"")&amp;IF(D311!$D$15="Aula 4",(D311!$A$1&amp;" "),"")&amp;IF(D411!$D$15="Aula 4",(D411!$A$1&amp;" "),"")&amp;IF(C111!$D$15="Aula 4",(C111!$A$1&amp;" "),"")&amp;IF(C121!$D$15="Aula 4",(C121!$A$1&amp;" "),"")&amp;IF(C122!$D$15="Aula 4",(C122!$A$1&amp;" "),"")&amp;IF(C211!$D$15="Aula 4",(C211!$A$1&amp;" "),"")&amp;IF(C212!$D$15="Aula 4",(C212!$A$1&amp;" "),"")&amp;IF(C311!$D$15="Aula 4",(C311!$A$1&amp;" "),"")&amp;IF(C312!$D$15="Aula 4",(C312!$A$1&amp;" "),"")&amp;IF(C411!$D$15="Aula 4",(C411!$A$1&amp;" "),"")&amp;IF(C412!$D$15="Aula 4",(C412!$A$1&amp;" "),"")&amp;IF(M111!$D$15="Aula 4",(M111!$A$1&amp;" "),"")&amp;IF(M211!$D$15="Aula 4",(M211!$A$1&amp;" "),"")&amp;IF(M311!$D$15="Aula 4",(M311!$A$1&amp;" "),"")&amp;IF(M411!$D$15="Aula 4",(M411!$A$1&amp;" "),""))," ",",")</f>
        <v/>
      </c>
      <c r="F23" s="2">
        <f>SUBSTITUTE(TRIM(IF(D111!$D$15="Aula 5",(D111!$A$1&amp;" "),"")&amp;IF(D211!$D$15="Aula 5",(D211!$A$1&amp;" "),"")&amp;IF(D311!$D$15="Aula 5",(D311!$A$1&amp;" "),"")&amp;IF(D411!$D$15="Aula 5",(D411!$A$1&amp;" "),"")&amp;IF(C111!$D$15="Aula 5",(C111!$A$1&amp;" "),"")&amp;IF(C121!$D$15="Aula 5",(C121!$A$1&amp;" "),"")&amp;IF(C122!$D$15="Aula 5",(C122!$A$1&amp;" "),"")&amp;IF(C211!$D$15="Aula 5",(C211!$A$1&amp;" "),"")&amp;IF(C212!$D$15="Aula 5",(C212!$A$1&amp;" "),"")&amp;IF(C311!$D$15="Aula 5",(C311!$A$1&amp;" "),"")&amp;IF(C312!$D$15="Aula 5",(C312!$A$1&amp;" "),"")&amp;IF(C411!$D$15="Aula 5",(C411!$A$1&amp;" "),"")&amp;IF(C412!$D$15="Aula 5",(C412!$A$1&amp;" "),"")&amp;IF(M111!$D$15="Aula 5",(M111!$A$1&amp;" "),"")&amp;IF(M211!$D$15="Aula 5",(M211!$A$1&amp;" "),"")&amp;IF(M311!$D$15="Aula 5",(M311!$A$1&amp;" "),"")&amp;IF(M411!$D$15="Aula 5",(M411!$A$1&amp;" "),""))," ",",")</f>
        <v/>
      </c>
      <c r="G23" s="2">
        <f>SUBSTITUTE(TRIM(IF(D111!$D$15="Aula 6",(D111!$A$1&amp;" "),"")&amp;IF(D211!$D$15="Aula 6",(D211!$A$1&amp;" "),"")&amp;IF(D311!$D$15="Aula 6",(D311!$A$1&amp;" "),"")&amp;IF(D411!$D$15="Aula 6",(D411!$A$1&amp;" "),"")&amp;IF(C111!$D$15="Aula 6",(C111!$A$1&amp;" "),"")&amp;IF(C121!$D$15="Aula 6",(C121!$A$1&amp;" "),"")&amp;IF(C122!$D$15="Aula 6",(C122!$A$1&amp;" "),"")&amp;IF(C211!$D$15="Aula 6",(C211!$A$1&amp;" "),"")&amp;IF(C212!$D$15="Aula 6",(C212!$A$1&amp;" "),"")&amp;IF(C311!$D$15="Aula 6",(C311!$A$1&amp;" "),"")&amp;IF(C312!$D$15="Aula 6",(C312!$A$1&amp;" "),"")&amp;IF(C411!$D$15="Aula 6",(C411!$A$1&amp;" "),"")&amp;IF(C412!$D$15="Aula 6",(C412!$A$1&amp;" "),"")&amp;IF(M111!$D$15="Aula 6",(M111!$A$1&amp;" "),"")&amp;IF(M211!$D$15="Aula 6",(M211!$A$1&amp;" "),"")&amp;IF(M311!$D$15="Aula 6",(M311!$A$1&amp;" "),"")&amp;IF(M411!$D$15="Aula 6",(M411!$A$1&amp;" "),""))," ",",")</f>
        <v/>
      </c>
      <c r="H23" s="2">
        <f>SUBSTITUTE(TRIM(IF(D111!$D$15="Aula 7",(D111!$A$1&amp;" "),"")&amp;IF(D211!$D$15="Aula 7",(D211!$A$1&amp;" "),"")&amp;IF(D311!$D$15="Aula 7",(D311!$A$1&amp;" "),"")&amp;IF(D411!$D$15="Aula 7",(D411!$A$1&amp;" "),"")&amp;IF(C111!$D$15="Aula 7",(C111!$A$1&amp;" "),"")&amp;IF(C121!$D$15="Aula 7",(C121!$A$1&amp;" "),"")&amp;IF(C122!$D$15="Aula 7",(C122!$A$1&amp;" "),"")&amp;IF(C211!$D$15="Aula 7",(C211!$A$1&amp;" "),"")&amp;IF(C212!$D$15="Aula 7",(C212!$A$1&amp;" "),"")&amp;IF(C311!$D$15="Aula 7",(C311!$A$1&amp;" "),"")&amp;IF(C312!$D$15="Aula 7",(C312!$A$1&amp;" "),"")&amp;IF(C411!$D$15="Aula 7",(C411!$A$1&amp;" "),"")&amp;IF(C412!$D$15="Aula 7",(C412!$A$1&amp;" "),"")&amp;IF(M111!$D$15="Aula 7",(M111!$A$1&amp;" "),"")&amp;IF(M211!$D$15="Aula 7",(M211!$A$1&amp;" "),"")&amp;IF(M311!$D$15="Aula 7",(M311!$A$1&amp;" "),"")&amp;IF(M411!$D$15="Aula 7",(M411!$A$1&amp;" "),""))," ",",")</f>
        <v/>
      </c>
      <c r="I23" s="2">
        <f>SUBSTITUTE(TRIM(IF(D111!$D$15="Aula 8",(D111!$A$1&amp;" "),"")&amp;IF(D211!$D$15="Aula 8",(D211!$A$1&amp;" "),"")&amp;IF(D311!$D$15="Aula 8",(D311!$A$1&amp;" "),"")&amp;IF(D411!$D$15="Aula 8",(D411!$A$1&amp;" "),"")&amp;IF(C111!$D$15="Aula 8",(C111!$A$1&amp;" "),"")&amp;IF(C121!$D$15="Aula 8",(C121!$A$1&amp;" "),"")&amp;IF(C122!$D$15="Aula 8",(C122!$A$1&amp;" "),"")&amp;IF(C211!$D$15="Aula 8",(C211!$A$1&amp;" "),"")&amp;IF(C212!$D$15="Aula 8",(C212!$A$1&amp;" "),"")&amp;IF(C311!$D$15="Aula 8",(C311!$A$1&amp;" "),"")&amp;IF(C312!$D$15="Aula 8",(C312!$A$1&amp;" "),"")&amp;IF(C411!$D$15="Aula 8",(C411!$A$1&amp;" "),"")&amp;IF(C412!$D$15="Aula 8",(C412!$A$1&amp;" "),"")&amp;IF(M111!$D$15="Aula 8",(M111!$A$1&amp;" "),"")&amp;IF(M211!$D$15="Aula 8",(M211!$A$1&amp;" "),"")&amp;IF(M311!$D$15="Aula 8",(M311!$A$1&amp;" "),"")&amp;IF(M411!$D$15="Aula 8",(M411!$A$1&amp;" "),""))," ",",")</f>
        <v/>
      </c>
      <c r="J23" s="2">
        <f>SUBSTITUTE(TRIM(IF(D111!$D$15="Aula 9",(D111!$A$1&amp;" "),"")&amp;IF(D211!$D$15="Aula 9",(D211!$A$1&amp;" "),"")&amp;IF(D311!$D$15="Aula 9",(D311!$A$1&amp;" "),"")&amp;IF(D411!$D$15="Aula 9",(D411!$A$1&amp;" "),"")&amp;IF(C111!$D$15="Aula 9",(C111!$A$1&amp;" "),"")&amp;IF(C121!$D$15="Aula 9",(C121!$A$1&amp;" "),"")&amp;IF(C122!$D$15="Aula 9",(C122!$A$1&amp;" "),"")&amp;IF(C211!$D$15="Aula 9",(C211!$A$1&amp;" "),"")&amp;IF(C212!$D$15="Aula 9",(C212!$A$1&amp;" "),"")&amp;IF(C311!$D$15="Aula 9",(C311!$A$1&amp;" "),"")&amp;IF(C312!$D$15="Aula 9",(C312!$A$1&amp;" "),"")&amp;IF(C411!$D$15="Aula 9",(C411!$A$1&amp;" "),"")&amp;IF(C412!$D$15="Aula 9",(C412!$A$1&amp;" "),"")&amp;IF(M111!$D$15="Aula 9",(M111!$A$1&amp;" "),"")&amp;IF(M211!$D$15="Aula 9",(M211!$A$1&amp;" "),"")&amp;IF(M311!$D$15="Aula 9",(M311!$A$1&amp;" "),"")&amp;IF(M411!$D$15="Aula 9",(M411!$A$1&amp;" "),""))," ",",")</f>
        <v/>
      </c>
      <c r="K23" s="2">
        <f>SUBSTITUTE(TRIM(IF(D111!$D$15="Lab",(D111!$A$1&amp;" "),"")&amp;IF(D211!$D$15="Lab",(D211!$A$1&amp;" "),"")&amp;IF(D311!$D$15="Lab",(D311!$A$1&amp;" "),"")&amp;IF(D411!$D$15="Lab",(D411!$A$1&amp;" "),"")&amp;IF(C111!$D$15="Lab",(C111!$A$1&amp;" "),"")&amp;IF(C121!$D$15="Lab",(C121!$A$1&amp;" "),"")&amp;IF(C122!$D$15="Lab",(C122!$A$1&amp;" "),"")&amp;IF(C211!$D$15="Lab",(C211!$A$1&amp;" "),"")&amp;IF(C212!$D$15="Lab",(C212!$A$1&amp;" "),"")&amp;IF(C311!$D$15="Lab",(C311!$A$1&amp;" "),"")&amp;IF(C312!$D$15="Lab",(C312!$A$1&amp;" "),"")&amp;IF(C411!$D$15="Lab",(C411!$A$1&amp;" "),"")&amp;IF(C412!$D$15="Lab",(C412!$A$1&amp;" "),"")&amp;IF(M111!$D$15="Lab",(M111!$A$1&amp;" "),"")&amp;IF(M211!$D$15="Lab",(M211!$A$1&amp;" "),"")&amp;IF(M311!$D$15="Lab",(M311!$A$1&amp;" "),"")&amp;IF(M411!$D$15="Lab",(M411!$A$1&amp;" "),""))," ",",")</f>
        <v/>
      </c>
      <c r="L23" t="inlineStr"/>
    </row>
    <row r="24">
      <c r="A24" t="inlineStr"/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</row>
    <row r="25">
      <c r="A25" t="inlineStr">
        <is>
          <t>Jueves</t>
        </is>
      </c>
      <c r="B25" t="inlineStr">
        <is>
          <t>Aula 1</t>
        </is>
      </c>
      <c r="C25" t="inlineStr">
        <is>
          <t>Aula 2</t>
        </is>
      </c>
      <c r="D25" t="inlineStr">
        <is>
          <t>Aula 3</t>
        </is>
      </c>
      <c r="E25" t="inlineStr">
        <is>
          <t>Aula 4</t>
        </is>
      </c>
      <c r="F25" t="inlineStr">
        <is>
          <t>Aula 5</t>
        </is>
      </c>
      <c r="G25" t="inlineStr">
        <is>
          <t>Aula 6</t>
        </is>
      </c>
      <c r="H25" t="inlineStr">
        <is>
          <t>Aula 7</t>
        </is>
      </c>
      <c r="I25" t="inlineStr">
        <is>
          <t>Aula 8</t>
        </is>
      </c>
      <c r="J25" t="inlineStr">
        <is>
          <t>Aula 9</t>
        </is>
      </c>
      <c r="K25" t="inlineStr">
        <is>
          <t>Lab</t>
        </is>
      </c>
      <c r="L25" t="inlineStr"/>
    </row>
    <row r="26">
      <c r="A26" s="2" t="inlineStr">
        <is>
          <t>1</t>
        </is>
      </c>
      <c r="B26" s="2">
        <f>SUBSTITUTE(TRIM(IF(D111!$E$5="Aula 1",(D111!$A$1&amp;" "),"")&amp;IF(D211!$E$5="Aula 1",(D211!$A$1&amp;" "),"")&amp;IF(D311!$E$5="Aula 1",(D311!$A$1&amp;" "),"")&amp;IF(D411!$E$5="Aula 1",(D411!$A$1&amp;" "),"")&amp;IF(C111!$E$5="Aula 1",(C111!$A$1&amp;" "),"")&amp;IF(C121!$E$5="Aula 1",(C121!$A$1&amp;" "),"")&amp;IF(C122!$E$5="Aula 1",(C122!$A$1&amp;" "),"")&amp;IF(C211!$E$5="Aula 1",(C211!$A$1&amp;" "),"")&amp;IF(C212!$E$5="Aula 1",(C212!$A$1&amp;" "),"")&amp;IF(C311!$E$5="Aula 1",(C311!$A$1&amp;" "),"")&amp;IF(C312!$E$5="Aula 1",(C312!$A$1&amp;" "),"")&amp;IF(C411!$E$5="Aula 1",(C411!$A$1&amp;" "),"")&amp;IF(C412!$E$5="Aula 1",(C412!$A$1&amp;" "),"")&amp;IF(M111!$E$5="Aula 1",(M111!$A$1&amp;" "),"")&amp;IF(M211!$E$5="Aula 1",(M211!$A$1&amp;" "),"")&amp;IF(M311!$E$5="Aula 1",(M311!$A$1&amp;" "),"")&amp;IF(M411!$E$5="Aula 1",(M411!$A$1&amp;" "),""))," ",",")</f>
        <v/>
      </c>
      <c r="C26" s="2">
        <f>SUBSTITUTE(TRIM(IF(D111!$E$5="Aula 2",(D111!$A$1&amp;" "),"")&amp;IF(D211!$E$5="Aula 2",(D211!$A$1&amp;" "),"")&amp;IF(D311!$E$5="Aula 2",(D311!$A$1&amp;" "),"")&amp;IF(D411!$E$5="Aula 2",(D411!$A$1&amp;" "),"")&amp;IF(C111!$E$5="Aula 2",(C111!$A$1&amp;" "),"")&amp;IF(C121!$E$5="Aula 2",(C121!$A$1&amp;" "),"")&amp;IF(C122!$E$5="Aula 2",(C122!$A$1&amp;" "),"")&amp;IF(C211!$E$5="Aula 2",(C211!$A$1&amp;" "),"")&amp;IF(C212!$E$5="Aula 2",(C212!$A$1&amp;" "),"")&amp;IF(C311!$E$5="Aula 2",(C311!$A$1&amp;" "),"")&amp;IF(C312!$E$5="Aula 2",(C312!$A$1&amp;" "),"")&amp;IF(C411!$E$5="Aula 2",(C411!$A$1&amp;" "),"")&amp;IF(C412!$E$5="Aula 2",(C412!$A$1&amp;" "),"")&amp;IF(M111!$E$5="Aula 2",(M111!$A$1&amp;" "),"")&amp;IF(M211!$E$5="Aula 2",(M211!$A$1&amp;" "),"")&amp;IF(M311!$E$5="Aula 2",(M311!$A$1&amp;" "),"")&amp;IF(M411!$E$5="Aula 2",(M411!$A$1&amp;" "),""))," ",",")</f>
        <v/>
      </c>
      <c r="D26" s="2">
        <f>SUBSTITUTE(TRIM(IF(D111!$E$5="Aula 3",(D111!$A$1&amp;" "),"")&amp;IF(D211!$E$5="Aula 3",(D211!$A$1&amp;" "),"")&amp;IF(D311!$E$5="Aula 3",(D311!$A$1&amp;" "),"")&amp;IF(D411!$E$5="Aula 3",(D411!$A$1&amp;" "),"")&amp;IF(C111!$E$5="Aula 3",(C111!$A$1&amp;" "),"")&amp;IF(C121!$E$5="Aula 3",(C121!$A$1&amp;" "),"")&amp;IF(C122!$E$5="Aula 3",(C122!$A$1&amp;" "),"")&amp;IF(C211!$E$5="Aula 3",(C211!$A$1&amp;" "),"")&amp;IF(C212!$E$5="Aula 3",(C212!$A$1&amp;" "),"")&amp;IF(C311!$E$5="Aula 3",(C311!$A$1&amp;" "),"")&amp;IF(C312!$E$5="Aula 3",(C312!$A$1&amp;" "),"")&amp;IF(C411!$E$5="Aula 3",(C411!$A$1&amp;" "),"")&amp;IF(C412!$E$5="Aula 3",(C412!$A$1&amp;" "),"")&amp;IF(M111!$E$5="Aula 3",(M111!$A$1&amp;" "),"")&amp;IF(M211!$E$5="Aula 3",(M211!$A$1&amp;" "),"")&amp;IF(M311!$E$5="Aula 3",(M311!$A$1&amp;" "),"")&amp;IF(M411!$E$5="Aula 3",(M411!$A$1&amp;" "),""))," ",",")</f>
        <v/>
      </c>
      <c r="E26" s="2">
        <f>SUBSTITUTE(TRIM(IF(D111!$E$5="Aula 4",(D111!$A$1&amp;" "),"")&amp;IF(D211!$E$5="Aula 4",(D211!$A$1&amp;" "),"")&amp;IF(D311!$E$5="Aula 4",(D311!$A$1&amp;" "),"")&amp;IF(D411!$E$5="Aula 4",(D411!$A$1&amp;" "),"")&amp;IF(C111!$E$5="Aula 4",(C111!$A$1&amp;" "),"")&amp;IF(C121!$E$5="Aula 4",(C121!$A$1&amp;" "),"")&amp;IF(C122!$E$5="Aula 4",(C122!$A$1&amp;" "),"")&amp;IF(C211!$E$5="Aula 4",(C211!$A$1&amp;" "),"")&amp;IF(C212!$E$5="Aula 4",(C212!$A$1&amp;" "),"")&amp;IF(C311!$E$5="Aula 4",(C311!$A$1&amp;" "),"")&amp;IF(C312!$E$5="Aula 4",(C312!$A$1&amp;" "),"")&amp;IF(C411!$E$5="Aula 4",(C411!$A$1&amp;" "),"")&amp;IF(C412!$E$5="Aula 4",(C412!$A$1&amp;" "),"")&amp;IF(M111!$E$5="Aula 4",(M111!$A$1&amp;" "),"")&amp;IF(M211!$E$5="Aula 4",(M211!$A$1&amp;" "),"")&amp;IF(M311!$E$5="Aula 4",(M311!$A$1&amp;" "),"")&amp;IF(M411!$E$5="Aula 4",(M411!$A$1&amp;" "),""))," ",",")</f>
        <v/>
      </c>
      <c r="F26" s="2">
        <f>SUBSTITUTE(TRIM(IF(D111!$E$5="Aula 5",(D111!$A$1&amp;" "),"")&amp;IF(D211!$E$5="Aula 5",(D211!$A$1&amp;" "),"")&amp;IF(D311!$E$5="Aula 5",(D311!$A$1&amp;" "),"")&amp;IF(D411!$E$5="Aula 5",(D411!$A$1&amp;" "),"")&amp;IF(C111!$E$5="Aula 5",(C111!$A$1&amp;" "),"")&amp;IF(C121!$E$5="Aula 5",(C121!$A$1&amp;" "),"")&amp;IF(C122!$E$5="Aula 5",(C122!$A$1&amp;" "),"")&amp;IF(C211!$E$5="Aula 5",(C211!$A$1&amp;" "),"")&amp;IF(C212!$E$5="Aula 5",(C212!$A$1&amp;" "),"")&amp;IF(C311!$E$5="Aula 5",(C311!$A$1&amp;" "),"")&amp;IF(C312!$E$5="Aula 5",(C312!$A$1&amp;" "),"")&amp;IF(C411!$E$5="Aula 5",(C411!$A$1&amp;" "),"")&amp;IF(C412!$E$5="Aula 5",(C412!$A$1&amp;" "),"")&amp;IF(M111!$E$5="Aula 5",(M111!$A$1&amp;" "),"")&amp;IF(M211!$E$5="Aula 5",(M211!$A$1&amp;" "),"")&amp;IF(M311!$E$5="Aula 5",(M311!$A$1&amp;" "),"")&amp;IF(M411!$E$5="Aula 5",(M411!$A$1&amp;" "),""))," ",",")</f>
        <v/>
      </c>
      <c r="G26" s="2">
        <f>SUBSTITUTE(TRIM(IF(D111!$E$5="Aula 6",(D111!$A$1&amp;" "),"")&amp;IF(D211!$E$5="Aula 6",(D211!$A$1&amp;" "),"")&amp;IF(D311!$E$5="Aula 6",(D311!$A$1&amp;" "),"")&amp;IF(D411!$E$5="Aula 6",(D411!$A$1&amp;" "),"")&amp;IF(C111!$E$5="Aula 6",(C111!$A$1&amp;" "),"")&amp;IF(C121!$E$5="Aula 6",(C121!$A$1&amp;" "),"")&amp;IF(C122!$E$5="Aula 6",(C122!$A$1&amp;" "),"")&amp;IF(C211!$E$5="Aula 6",(C211!$A$1&amp;" "),"")&amp;IF(C212!$E$5="Aula 6",(C212!$A$1&amp;" "),"")&amp;IF(C311!$E$5="Aula 6",(C311!$A$1&amp;" "),"")&amp;IF(C312!$E$5="Aula 6",(C312!$A$1&amp;" "),"")&amp;IF(C411!$E$5="Aula 6",(C411!$A$1&amp;" "),"")&amp;IF(C412!$E$5="Aula 6",(C412!$A$1&amp;" "),"")&amp;IF(M111!$E$5="Aula 6",(M111!$A$1&amp;" "),"")&amp;IF(M211!$E$5="Aula 6",(M211!$A$1&amp;" "),"")&amp;IF(M311!$E$5="Aula 6",(M311!$A$1&amp;" "),"")&amp;IF(M411!$E$5="Aula 6",(M411!$A$1&amp;" "),""))," ",",")</f>
        <v/>
      </c>
      <c r="H26" s="2">
        <f>SUBSTITUTE(TRIM(IF(D111!$E$5="Aula 7",(D111!$A$1&amp;" "),"")&amp;IF(D211!$E$5="Aula 7",(D211!$A$1&amp;" "),"")&amp;IF(D311!$E$5="Aula 7",(D311!$A$1&amp;" "),"")&amp;IF(D411!$E$5="Aula 7",(D411!$A$1&amp;" "),"")&amp;IF(C111!$E$5="Aula 7",(C111!$A$1&amp;" "),"")&amp;IF(C121!$E$5="Aula 7",(C121!$A$1&amp;" "),"")&amp;IF(C122!$E$5="Aula 7",(C122!$A$1&amp;" "),"")&amp;IF(C211!$E$5="Aula 7",(C211!$A$1&amp;" "),"")&amp;IF(C212!$E$5="Aula 7",(C212!$A$1&amp;" "),"")&amp;IF(C311!$E$5="Aula 7",(C311!$A$1&amp;" "),"")&amp;IF(C312!$E$5="Aula 7",(C312!$A$1&amp;" "),"")&amp;IF(C411!$E$5="Aula 7",(C411!$A$1&amp;" "),"")&amp;IF(C412!$E$5="Aula 7",(C412!$A$1&amp;" "),"")&amp;IF(M111!$E$5="Aula 7",(M111!$A$1&amp;" "),"")&amp;IF(M211!$E$5="Aula 7",(M211!$A$1&amp;" "),"")&amp;IF(M311!$E$5="Aula 7",(M311!$A$1&amp;" "),"")&amp;IF(M411!$E$5="Aula 7",(M411!$A$1&amp;" "),""))," ",",")</f>
        <v/>
      </c>
      <c r="I26" s="2">
        <f>SUBSTITUTE(TRIM(IF(D111!$E$5="Aula 8",(D111!$A$1&amp;" "),"")&amp;IF(D211!$E$5="Aula 8",(D211!$A$1&amp;" "),"")&amp;IF(D311!$E$5="Aula 8",(D311!$A$1&amp;" "),"")&amp;IF(D411!$E$5="Aula 8",(D411!$A$1&amp;" "),"")&amp;IF(C111!$E$5="Aula 8",(C111!$A$1&amp;" "),"")&amp;IF(C121!$E$5="Aula 8",(C121!$A$1&amp;" "),"")&amp;IF(C122!$E$5="Aula 8",(C122!$A$1&amp;" "),"")&amp;IF(C211!$E$5="Aula 8",(C211!$A$1&amp;" "),"")&amp;IF(C212!$E$5="Aula 8",(C212!$A$1&amp;" "),"")&amp;IF(C311!$E$5="Aula 8",(C311!$A$1&amp;" "),"")&amp;IF(C312!$E$5="Aula 8",(C312!$A$1&amp;" "),"")&amp;IF(C411!$E$5="Aula 8",(C411!$A$1&amp;" "),"")&amp;IF(C412!$E$5="Aula 8",(C412!$A$1&amp;" "),"")&amp;IF(M111!$E$5="Aula 8",(M111!$A$1&amp;" "),"")&amp;IF(M211!$E$5="Aula 8",(M211!$A$1&amp;" "),"")&amp;IF(M311!$E$5="Aula 8",(M311!$A$1&amp;" "),"")&amp;IF(M411!$E$5="Aula 8",(M411!$A$1&amp;" "),""))," ",",")</f>
        <v/>
      </c>
      <c r="J26" s="2">
        <f>SUBSTITUTE(TRIM(IF(D111!$E$5="Aula 9",(D111!$A$1&amp;" "),"")&amp;IF(D211!$E$5="Aula 9",(D211!$A$1&amp;" "),"")&amp;IF(D311!$E$5="Aula 9",(D311!$A$1&amp;" "),"")&amp;IF(D411!$E$5="Aula 9",(D411!$A$1&amp;" "),"")&amp;IF(C111!$E$5="Aula 9",(C111!$A$1&amp;" "),"")&amp;IF(C121!$E$5="Aula 9",(C121!$A$1&amp;" "),"")&amp;IF(C122!$E$5="Aula 9",(C122!$A$1&amp;" "),"")&amp;IF(C211!$E$5="Aula 9",(C211!$A$1&amp;" "),"")&amp;IF(C212!$E$5="Aula 9",(C212!$A$1&amp;" "),"")&amp;IF(C311!$E$5="Aula 9",(C311!$A$1&amp;" "),"")&amp;IF(C312!$E$5="Aula 9",(C312!$A$1&amp;" "),"")&amp;IF(C411!$E$5="Aula 9",(C411!$A$1&amp;" "),"")&amp;IF(C412!$E$5="Aula 9",(C412!$A$1&amp;" "),"")&amp;IF(M111!$E$5="Aula 9",(M111!$A$1&amp;" "),"")&amp;IF(M211!$E$5="Aula 9",(M211!$A$1&amp;" "),"")&amp;IF(M311!$E$5="Aula 9",(M311!$A$1&amp;" "),"")&amp;IF(M411!$E$5="Aula 9",(M411!$A$1&amp;" "),""))," ",",")</f>
        <v/>
      </c>
      <c r="K26" s="2">
        <f>SUBSTITUTE(TRIM(IF(D111!$E$5="Lab",(D111!$A$1&amp;" "),"")&amp;IF(D211!$E$5="Lab",(D211!$A$1&amp;" "),"")&amp;IF(D311!$E$5="Lab",(D311!$A$1&amp;" "),"")&amp;IF(D411!$E$5="Lab",(D411!$A$1&amp;" "),"")&amp;IF(C111!$E$5="Lab",(C111!$A$1&amp;" "),"")&amp;IF(C121!$E$5="Lab",(C121!$A$1&amp;" "),"")&amp;IF(C122!$E$5="Lab",(C122!$A$1&amp;" "),"")&amp;IF(C211!$E$5="Lab",(C211!$A$1&amp;" "),"")&amp;IF(C212!$E$5="Lab",(C212!$A$1&amp;" "),"")&amp;IF(C311!$E$5="Lab",(C311!$A$1&amp;" "),"")&amp;IF(C312!$E$5="Lab",(C312!$A$1&amp;" "),"")&amp;IF(C411!$E$5="Lab",(C411!$A$1&amp;" "),"")&amp;IF(C412!$E$5="Lab",(C412!$A$1&amp;" "),"")&amp;IF(M111!$E$5="Lab",(M111!$A$1&amp;" "),"")&amp;IF(M211!$E$5="Lab",(M211!$A$1&amp;" "),"")&amp;IF(M311!$E$5="Lab",(M311!$A$1&amp;" "),"")&amp;IF(M411!$E$5="Lab",(M411!$A$1&amp;" "),""))," ",",")</f>
        <v/>
      </c>
      <c r="L26" t="inlineStr"/>
    </row>
    <row r="27">
      <c r="A27" s="2" t="inlineStr">
        <is>
          <t>2</t>
        </is>
      </c>
      <c r="B27" s="2">
        <f>SUBSTITUTE(TRIM(IF(D111!$E$7="Aula 1",(D111!$A$1&amp;" "),"")&amp;IF(D211!$E$7="Aula 1",(D211!$A$1&amp;" "),"")&amp;IF(D311!$E$7="Aula 1",(D311!$A$1&amp;" "),"")&amp;IF(D411!$E$7="Aula 1",(D411!$A$1&amp;" "),"")&amp;IF(C111!$E$7="Aula 1",(C111!$A$1&amp;" "),"")&amp;IF(C121!$E$7="Aula 1",(C121!$A$1&amp;" "),"")&amp;IF(C122!$E$7="Aula 1",(C122!$A$1&amp;" "),"")&amp;IF(C211!$E$7="Aula 1",(C211!$A$1&amp;" "),"")&amp;IF(C212!$E$7="Aula 1",(C212!$A$1&amp;" "),"")&amp;IF(C311!$E$7="Aula 1",(C311!$A$1&amp;" "),"")&amp;IF(C312!$E$7="Aula 1",(C312!$A$1&amp;" "),"")&amp;IF(C411!$E$7="Aula 1",(C411!$A$1&amp;" "),"")&amp;IF(C412!$E$7="Aula 1",(C412!$A$1&amp;" "),"")&amp;IF(M111!$E$7="Aula 1",(M111!$A$1&amp;" "),"")&amp;IF(M211!$E$7="Aula 1",(M211!$A$1&amp;" "),"")&amp;IF(M311!$E$7="Aula 1",(M311!$A$1&amp;" "),"")&amp;IF(M411!$E$7="Aula 1",(M411!$A$1&amp;" "),""))," ",",")</f>
        <v/>
      </c>
      <c r="C27" s="2">
        <f>SUBSTITUTE(TRIM(IF(D111!$E$7="Aula 2",(D111!$A$1&amp;" "),"")&amp;IF(D211!$E$7="Aula 2",(D211!$A$1&amp;" "),"")&amp;IF(D311!$E$7="Aula 2",(D311!$A$1&amp;" "),"")&amp;IF(D411!$E$7="Aula 2",(D411!$A$1&amp;" "),"")&amp;IF(C111!$E$7="Aula 2",(C111!$A$1&amp;" "),"")&amp;IF(C121!$E$7="Aula 2",(C121!$A$1&amp;" "),"")&amp;IF(C122!$E$7="Aula 2",(C122!$A$1&amp;" "),"")&amp;IF(C211!$E$7="Aula 2",(C211!$A$1&amp;" "),"")&amp;IF(C212!$E$7="Aula 2",(C212!$A$1&amp;" "),"")&amp;IF(C311!$E$7="Aula 2",(C311!$A$1&amp;" "),"")&amp;IF(C312!$E$7="Aula 2",(C312!$A$1&amp;" "),"")&amp;IF(C411!$E$7="Aula 2",(C411!$A$1&amp;" "),"")&amp;IF(C412!$E$7="Aula 2",(C412!$A$1&amp;" "),"")&amp;IF(M111!$E$7="Aula 2",(M111!$A$1&amp;" "),"")&amp;IF(M211!$E$7="Aula 2",(M211!$A$1&amp;" "),"")&amp;IF(M311!$E$7="Aula 2",(M311!$A$1&amp;" "),"")&amp;IF(M411!$E$7="Aula 2",(M411!$A$1&amp;" "),""))," ",",")</f>
        <v/>
      </c>
      <c r="D27" s="2">
        <f>SUBSTITUTE(TRIM(IF(D111!$E$7="Aula 3",(D111!$A$1&amp;" "),"")&amp;IF(D211!$E$7="Aula 3",(D211!$A$1&amp;" "),"")&amp;IF(D311!$E$7="Aula 3",(D311!$A$1&amp;" "),"")&amp;IF(D411!$E$7="Aula 3",(D411!$A$1&amp;" "),"")&amp;IF(C111!$E$7="Aula 3",(C111!$A$1&amp;" "),"")&amp;IF(C121!$E$7="Aula 3",(C121!$A$1&amp;" "),"")&amp;IF(C122!$E$7="Aula 3",(C122!$A$1&amp;" "),"")&amp;IF(C211!$E$7="Aula 3",(C211!$A$1&amp;" "),"")&amp;IF(C212!$E$7="Aula 3",(C212!$A$1&amp;" "),"")&amp;IF(C311!$E$7="Aula 3",(C311!$A$1&amp;" "),"")&amp;IF(C312!$E$7="Aula 3",(C312!$A$1&amp;" "),"")&amp;IF(C411!$E$7="Aula 3",(C411!$A$1&amp;" "),"")&amp;IF(C412!$E$7="Aula 3",(C412!$A$1&amp;" "),"")&amp;IF(M111!$E$7="Aula 3",(M111!$A$1&amp;" "),"")&amp;IF(M211!$E$7="Aula 3",(M211!$A$1&amp;" "),"")&amp;IF(M311!$E$7="Aula 3",(M311!$A$1&amp;" "),"")&amp;IF(M411!$E$7="Aula 3",(M411!$A$1&amp;" "),""))," ",",")</f>
        <v/>
      </c>
      <c r="E27" s="2">
        <f>SUBSTITUTE(TRIM(IF(D111!$E$7="Aula 4",(D111!$A$1&amp;" "),"")&amp;IF(D211!$E$7="Aula 4",(D211!$A$1&amp;" "),"")&amp;IF(D311!$E$7="Aula 4",(D311!$A$1&amp;" "),"")&amp;IF(D411!$E$7="Aula 4",(D411!$A$1&amp;" "),"")&amp;IF(C111!$E$7="Aula 4",(C111!$A$1&amp;" "),"")&amp;IF(C121!$E$7="Aula 4",(C121!$A$1&amp;" "),"")&amp;IF(C122!$E$7="Aula 4",(C122!$A$1&amp;" "),"")&amp;IF(C211!$E$7="Aula 4",(C211!$A$1&amp;" "),"")&amp;IF(C212!$E$7="Aula 4",(C212!$A$1&amp;" "),"")&amp;IF(C311!$E$7="Aula 4",(C311!$A$1&amp;" "),"")&amp;IF(C312!$E$7="Aula 4",(C312!$A$1&amp;" "),"")&amp;IF(C411!$E$7="Aula 4",(C411!$A$1&amp;" "),"")&amp;IF(C412!$E$7="Aula 4",(C412!$A$1&amp;" "),"")&amp;IF(M111!$E$7="Aula 4",(M111!$A$1&amp;" "),"")&amp;IF(M211!$E$7="Aula 4",(M211!$A$1&amp;" "),"")&amp;IF(M311!$E$7="Aula 4",(M311!$A$1&amp;" "),"")&amp;IF(M411!$E$7="Aula 4",(M411!$A$1&amp;" "),""))," ",",")</f>
        <v/>
      </c>
      <c r="F27" s="2">
        <f>SUBSTITUTE(TRIM(IF(D111!$E$7="Aula 5",(D111!$A$1&amp;" "),"")&amp;IF(D211!$E$7="Aula 5",(D211!$A$1&amp;" "),"")&amp;IF(D311!$E$7="Aula 5",(D311!$A$1&amp;" "),"")&amp;IF(D411!$E$7="Aula 5",(D411!$A$1&amp;" "),"")&amp;IF(C111!$E$7="Aula 5",(C111!$A$1&amp;" "),"")&amp;IF(C121!$E$7="Aula 5",(C121!$A$1&amp;" "),"")&amp;IF(C122!$E$7="Aula 5",(C122!$A$1&amp;" "),"")&amp;IF(C211!$E$7="Aula 5",(C211!$A$1&amp;" "),"")&amp;IF(C212!$E$7="Aula 5",(C212!$A$1&amp;" "),"")&amp;IF(C311!$E$7="Aula 5",(C311!$A$1&amp;" "),"")&amp;IF(C312!$E$7="Aula 5",(C312!$A$1&amp;" "),"")&amp;IF(C411!$E$7="Aula 5",(C411!$A$1&amp;" "),"")&amp;IF(C412!$E$7="Aula 5",(C412!$A$1&amp;" "),"")&amp;IF(M111!$E$7="Aula 5",(M111!$A$1&amp;" "),"")&amp;IF(M211!$E$7="Aula 5",(M211!$A$1&amp;" "),"")&amp;IF(M311!$E$7="Aula 5",(M311!$A$1&amp;" "),"")&amp;IF(M411!$E$7="Aula 5",(M411!$A$1&amp;" "),""))," ",",")</f>
        <v/>
      </c>
      <c r="G27" s="2">
        <f>SUBSTITUTE(TRIM(IF(D111!$E$7="Aula 6",(D111!$A$1&amp;" "),"")&amp;IF(D211!$E$7="Aula 6",(D211!$A$1&amp;" "),"")&amp;IF(D311!$E$7="Aula 6",(D311!$A$1&amp;" "),"")&amp;IF(D411!$E$7="Aula 6",(D411!$A$1&amp;" "),"")&amp;IF(C111!$E$7="Aula 6",(C111!$A$1&amp;" "),"")&amp;IF(C121!$E$7="Aula 6",(C121!$A$1&amp;" "),"")&amp;IF(C122!$E$7="Aula 6",(C122!$A$1&amp;" "),"")&amp;IF(C211!$E$7="Aula 6",(C211!$A$1&amp;" "),"")&amp;IF(C212!$E$7="Aula 6",(C212!$A$1&amp;" "),"")&amp;IF(C311!$E$7="Aula 6",(C311!$A$1&amp;" "),"")&amp;IF(C312!$E$7="Aula 6",(C312!$A$1&amp;" "),"")&amp;IF(C411!$E$7="Aula 6",(C411!$A$1&amp;" "),"")&amp;IF(C412!$E$7="Aula 6",(C412!$A$1&amp;" "),"")&amp;IF(M111!$E$7="Aula 6",(M111!$A$1&amp;" "),"")&amp;IF(M211!$E$7="Aula 6",(M211!$A$1&amp;" "),"")&amp;IF(M311!$E$7="Aula 6",(M311!$A$1&amp;" "),"")&amp;IF(M411!$E$7="Aula 6",(M411!$A$1&amp;" "),""))," ",",")</f>
        <v/>
      </c>
      <c r="H27" s="2">
        <f>SUBSTITUTE(TRIM(IF(D111!$E$7="Aula 7",(D111!$A$1&amp;" "),"")&amp;IF(D211!$E$7="Aula 7",(D211!$A$1&amp;" "),"")&amp;IF(D311!$E$7="Aula 7",(D311!$A$1&amp;" "),"")&amp;IF(D411!$E$7="Aula 7",(D411!$A$1&amp;" "),"")&amp;IF(C111!$E$7="Aula 7",(C111!$A$1&amp;" "),"")&amp;IF(C121!$E$7="Aula 7",(C121!$A$1&amp;" "),"")&amp;IF(C122!$E$7="Aula 7",(C122!$A$1&amp;" "),"")&amp;IF(C211!$E$7="Aula 7",(C211!$A$1&amp;" "),"")&amp;IF(C212!$E$7="Aula 7",(C212!$A$1&amp;" "),"")&amp;IF(C311!$E$7="Aula 7",(C311!$A$1&amp;" "),"")&amp;IF(C312!$E$7="Aula 7",(C312!$A$1&amp;" "),"")&amp;IF(C411!$E$7="Aula 7",(C411!$A$1&amp;" "),"")&amp;IF(C412!$E$7="Aula 7",(C412!$A$1&amp;" "),"")&amp;IF(M111!$E$7="Aula 7",(M111!$A$1&amp;" "),"")&amp;IF(M211!$E$7="Aula 7",(M211!$A$1&amp;" "),"")&amp;IF(M311!$E$7="Aula 7",(M311!$A$1&amp;" "),"")&amp;IF(M411!$E$7="Aula 7",(M411!$A$1&amp;" "),""))," ",",")</f>
        <v/>
      </c>
      <c r="I27" s="2">
        <f>SUBSTITUTE(TRIM(IF(D111!$E$7="Aula 8",(D111!$A$1&amp;" "),"")&amp;IF(D211!$E$7="Aula 8",(D211!$A$1&amp;" "),"")&amp;IF(D311!$E$7="Aula 8",(D311!$A$1&amp;" "),"")&amp;IF(D411!$E$7="Aula 8",(D411!$A$1&amp;" "),"")&amp;IF(C111!$E$7="Aula 8",(C111!$A$1&amp;" "),"")&amp;IF(C121!$E$7="Aula 8",(C121!$A$1&amp;" "),"")&amp;IF(C122!$E$7="Aula 8",(C122!$A$1&amp;" "),"")&amp;IF(C211!$E$7="Aula 8",(C211!$A$1&amp;" "),"")&amp;IF(C212!$E$7="Aula 8",(C212!$A$1&amp;" "),"")&amp;IF(C311!$E$7="Aula 8",(C311!$A$1&amp;" "),"")&amp;IF(C312!$E$7="Aula 8",(C312!$A$1&amp;" "),"")&amp;IF(C411!$E$7="Aula 8",(C411!$A$1&amp;" "),"")&amp;IF(C412!$E$7="Aula 8",(C412!$A$1&amp;" "),"")&amp;IF(M111!$E$7="Aula 8",(M111!$A$1&amp;" "),"")&amp;IF(M211!$E$7="Aula 8",(M211!$A$1&amp;" "),"")&amp;IF(M311!$E$7="Aula 8",(M311!$A$1&amp;" "),"")&amp;IF(M411!$E$7="Aula 8",(M411!$A$1&amp;" "),""))," ",",")</f>
        <v/>
      </c>
      <c r="J27" s="2">
        <f>SUBSTITUTE(TRIM(IF(D111!$E$7="Aula 9",(D111!$A$1&amp;" "),"")&amp;IF(D211!$E$7="Aula 9",(D211!$A$1&amp;" "),"")&amp;IF(D311!$E$7="Aula 9",(D311!$A$1&amp;" "),"")&amp;IF(D411!$E$7="Aula 9",(D411!$A$1&amp;" "),"")&amp;IF(C111!$E$7="Aula 9",(C111!$A$1&amp;" "),"")&amp;IF(C121!$E$7="Aula 9",(C121!$A$1&amp;" "),"")&amp;IF(C122!$E$7="Aula 9",(C122!$A$1&amp;" "),"")&amp;IF(C211!$E$7="Aula 9",(C211!$A$1&amp;" "),"")&amp;IF(C212!$E$7="Aula 9",(C212!$A$1&amp;" "),"")&amp;IF(C311!$E$7="Aula 9",(C311!$A$1&amp;" "),"")&amp;IF(C312!$E$7="Aula 9",(C312!$A$1&amp;" "),"")&amp;IF(C411!$E$7="Aula 9",(C411!$A$1&amp;" "),"")&amp;IF(C412!$E$7="Aula 9",(C412!$A$1&amp;" "),"")&amp;IF(M111!$E$7="Aula 9",(M111!$A$1&amp;" "),"")&amp;IF(M211!$E$7="Aula 9",(M211!$A$1&amp;" "),"")&amp;IF(M311!$E$7="Aula 9",(M311!$A$1&amp;" "),"")&amp;IF(M411!$E$7="Aula 9",(M411!$A$1&amp;" "),""))," ",",")</f>
        <v/>
      </c>
      <c r="K27" s="2">
        <f>SUBSTITUTE(TRIM(IF(D111!$E$7="Lab",(D111!$A$1&amp;" "),"")&amp;IF(D211!$E$7="Lab",(D211!$A$1&amp;" "),"")&amp;IF(D311!$E$7="Lab",(D311!$A$1&amp;" "),"")&amp;IF(D411!$E$7="Lab",(D411!$A$1&amp;" "),"")&amp;IF(C111!$E$7="Lab",(C111!$A$1&amp;" "),"")&amp;IF(C121!$E$7="Lab",(C121!$A$1&amp;" "),"")&amp;IF(C122!$E$7="Lab",(C122!$A$1&amp;" "),"")&amp;IF(C211!$E$7="Lab",(C211!$A$1&amp;" "),"")&amp;IF(C212!$E$7="Lab",(C212!$A$1&amp;" "),"")&amp;IF(C311!$E$7="Lab",(C311!$A$1&amp;" "),"")&amp;IF(C312!$E$7="Lab",(C312!$A$1&amp;" "),"")&amp;IF(C411!$E$7="Lab",(C411!$A$1&amp;" "),"")&amp;IF(C412!$E$7="Lab",(C412!$A$1&amp;" "),"")&amp;IF(M111!$E$7="Lab",(M111!$A$1&amp;" "),"")&amp;IF(M211!$E$7="Lab",(M211!$A$1&amp;" "),"")&amp;IF(M311!$E$7="Lab",(M311!$A$1&amp;" "),"")&amp;IF(M411!$E$7="Lab",(M411!$A$1&amp;" "),""))," ",",")</f>
        <v/>
      </c>
      <c r="L27" t="inlineStr"/>
    </row>
    <row r="28">
      <c r="A28" s="2" t="inlineStr">
        <is>
          <t>3</t>
        </is>
      </c>
      <c r="B28" s="2">
        <f>SUBSTITUTE(TRIM(IF(D111!$E$9="Aula 1",(D111!$A$1&amp;" "),"")&amp;IF(D211!$E$9="Aula 1",(D211!$A$1&amp;" "),"")&amp;IF(D311!$E$9="Aula 1",(D311!$A$1&amp;" "),"")&amp;IF(D411!$E$9="Aula 1",(D411!$A$1&amp;" "),"")&amp;IF(C111!$E$9="Aula 1",(C111!$A$1&amp;" "),"")&amp;IF(C121!$E$9="Aula 1",(C121!$A$1&amp;" "),"")&amp;IF(C122!$E$9="Aula 1",(C122!$A$1&amp;" "),"")&amp;IF(C211!$E$9="Aula 1",(C211!$A$1&amp;" "),"")&amp;IF(C212!$E$9="Aula 1",(C212!$A$1&amp;" "),"")&amp;IF(C311!$E$9="Aula 1",(C311!$A$1&amp;" "),"")&amp;IF(C312!$E$9="Aula 1",(C312!$A$1&amp;" "),"")&amp;IF(C411!$E$9="Aula 1",(C411!$A$1&amp;" "),"")&amp;IF(C412!$E$9="Aula 1",(C412!$A$1&amp;" "),"")&amp;IF(M111!$E$9="Aula 1",(M111!$A$1&amp;" "),"")&amp;IF(M211!$E$9="Aula 1",(M211!$A$1&amp;" "),"")&amp;IF(M311!$E$9="Aula 1",(M311!$A$1&amp;" "),"")&amp;IF(M411!$E$9="Aula 1",(M411!$A$1&amp;" "),""))," ",",")</f>
        <v/>
      </c>
      <c r="C28" s="2">
        <f>SUBSTITUTE(TRIM(IF(D111!$E$9="Aula 2",(D111!$A$1&amp;" "),"")&amp;IF(D211!$E$9="Aula 2",(D211!$A$1&amp;" "),"")&amp;IF(D311!$E$9="Aula 2",(D311!$A$1&amp;" "),"")&amp;IF(D411!$E$9="Aula 2",(D411!$A$1&amp;" "),"")&amp;IF(C111!$E$9="Aula 2",(C111!$A$1&amp;" "),"")&amp;IF(C121!$E$9="Aula 2",(C121!$A$1&amp;" "),"")&amp;IF(C122!$E$9="Aula 2",(C122!$A$1&amp;" "),"")&amp;IF(C211!$E$9="Aula 2",(C211!$A$1&amp;" "),"")&amp;IF(C212!$E$9="Aula 2",(C212!$A$1&amp;" "),"")&amp;IF(C311!$E$9="Aula 2",(C311!$A$1&amp;" "),"")&amp;IF(C312!$E$9="Aula 2",(C312!$A$1&amp;" "),"")&amp;IF(C411!$E$9="Aula 2",(C411!$A$1&amp;" "),"")&amp;IF(C412!$E$9="Aula 2",(C412!$A$1&amp;" "),"")&amp;IF(M111!$E$9="Aula 2",(M111!$A$1&amp;" "),"")&amp;IF(M211!$E$9="Aula 2",(M211!$A$1&amp;" "),"")&amp;IF(M311!$E$9="Aula 2",(M311!$A$1&amp;" "),"")&amp;IF(M411!$E$9="Aula 2",(M411!$A$1&amp;" "),""))," ",",")</f>
        <v/>
      </c>
      <c r="D28" s="2">
        <f>SUBSTITUTE(TRIM(IF(D111!$E$9="Aula 3",(D111!$A$1&amp;" "),"")&amp;IF(D211!$E$9="Aula 3",(D211!$A$1&amp;" "),"")&amp;IF(D311!$E$9="Aula 3",(D311!$A$1&amp;" "),"")&amp;IF(D411!$E$9="Aula 3",(D411!$A$1&amp;" "),"")&amp;IF(C111!$E$9="Aula 3",(C111!$A$1&amp;" "),"")&amp;IF(C121!$E$9="Aula 3",(C121!$A$1&amp;" "),"")&amp;IF(C122!$E$9="Aula 3",(C122!$A$1&amp;" "),"")&amp;IF(C211!$E$9="Aula 3",(C211!$A$1&amp;" "),"")&amp;IF(C212!$E$9="Aula 3",(C212!$A$1&amp;" "),"")&amp;IF(C311!$E$9="Aula 3",(C311!$A$1&amp;" "),"")&amp;IF(C312!$E$9="Aula 3",(C312!$A$1&amp;" "),"")&amp;IF(C411!$E$9="Aula 3",(C411!$A$1&amp;" "),"")&amp;IF(C412!$E$9="Aula 3",(C412!$A$1&amp;" "),"")&amp;IF(M111!$E$9="Aula 3",(M111!$A$1&amp;" "),"")&amp;IF(M211!$E$9="Aula 3",(M211!$A$1&amp;" "),"")&amp;IF(M311!$E$9="Aula 3",(M311!$A$1&amp;" "),"")&amp;IF(M411!$E$9="Aula 3",(M411!$A$1&amp;" "),""))," ",",")</f>
        <v/>
      </c>
      <c r="E28" s="2">
        <f>SUBSTITUTE(TRIM(IF(D111!$E$9="Aula 4",(D111!$A$1&amp;" "),"")&amp;IF(D211!$E$9="Aula 4",(D211!$A$1&amp;" "),"")&amp;IF(D311!$E$9="Aula 4",(D311!$A$1&amp;" "),"")&amp;IF(D411!$E$9="Aula 4",(D411!$A$1&amp;" "),"")&amp;IF(C111!$E$9="Aula 4",(C111!$A$1&amp;" "),"")&amp;IF(C121!$E$9="Aula 4",(C121!$A$1&amp;" "),"")&amp;IF(C122!$E$9="Aula 4",(C122!$A$1&amp;" "),"")&amp;IF(C211!$E$9="Aula 4",(C211!$A$1&amp;" "),"")&amp;IF(C212!$E$9="Aula 4",(C212!$A$1&amp;" "),"")&amp;IF(C311!$E$9="Aula 4",(C311!$A$1&amp;" "),"")&amp;IF(C312!$E$9="Aula 4",(C312!$A$1&amp;" "),"")&amp;IF(C411!$E$9="Aula 4",(C411!$A$1&amp;" "),"")&amp;IF(C412!$E$9="Aula 4",(C412!$A$1&amp;" "),"")&amp;IF(M111!$E$9="Aula 4",(M111!$A$1&amp;" "),"")&amp;IF(M211!$E$9="Aula 4",(M211!$A$1&amp;" "),"")&amp;IF(M311!$E$9="Aula 4",(M311!$A$1&amp;" "),"")&amp;IF(M411!$E$9="Aula 4",(M411!$A$1&amp;" "),""))," ",",")</f>
        <v/>
      </c>
      <c r="F28" s="2">
        <f>SUBSTITUTE(TRIM(IF(D111!$E$9="Aula 5",(D111!$A$1&amp;" "),"")&amp;IF(D211!$E$9="Aula 5",(D211!$A$1&amp;" "),"")&amp;IF(D311!$E$9="Aula 5",(D311!$A$1&amp;" "),"")&amp;IF(D411!$E$9="Aula 5",(D411!$A$1&amp;" "),"")&amp;IF(C111!$E$9="Aula 5",(C111!$A$1&amp;" "),"")&amp;IF(C121!$E$9="Aula 5",(C121!$A$1&amp;" "),"")&amp;IF(C122!$E$9="Aula 5",(C122!$A$1&amp;" "),"")&amp;IF(C211!$E$9="Aula 5",(C211!$A$1&amp;" "),"")&amp;IF(C212!$E$9="Aula 5",(C212!$A$1&amp;" "),"")&amp;IF(C311!$E$9="Aula 5",(C311!$A$1&amp;" "),"")&amp;IF(C312!$E$9="Aula 5",(C312!$A$1&amp;" "),"")&amp;IF(C411!$E$9="Aula 5",(C411!$A$1&amp;" "),"")&amp;IF(C412!$E$9="Aula 5",(C412!$A$1&amp;" "),"")&amp;IF(M111!$E$9="Aula 5",(M111!$A$1&amp;" "),"")&amp;IF(M211!$E$9="Aula 5",(M211!$A$1&amp;" "),"")&amp;IF(M311!$E$9="Aula 5",(M311!$A$1&amp;" "),"")&amp;IF(M411!$E$9="Aula 5",(M411!$A$1&amp;" "),""))," ",",")</f>
        <v/>
      </c>
      <c r="G28" s="2">
        <f>SUBSTITUTE(TRIM(IF(D111!$E$9="Aula 6",(D111!$A$1&amp;" "),"")&amp;IF(D211!$E$9="Aula 6",(D211!$A$1&amp;" "),"")&amp;IF(D311!$E$9="Aula 6",(D311!$A$1&amp;" "),"")&amp;IF(D411!$E$9="Aula 6",(D411!$A$1&amp;" "),"")&amp;IF(C111!$E$9="Aula 6",(C111!$A$1&amp;" "),"")&amp;IF(C121!$E$9="Aula 6",(C121!$A$1&amp;" "),"")&amp;IF(C122!$E$9="Aula 6",(C122!$A$1&amp;" "),"")&amp;IF(C211!$E$9="Aula 6",(C211!$A$1&amp;" "),"")&amp;IF(C212!$E$9="Aula 6",(C212!$A$1&amp;" "),"")&amp;IF(C311!$E$9="Aula 6",(C311!$A$1&amp;" "),"")&amp;IF(C312!$E$9="Aula 6",(C312!$A$1&amp;" "),"")&amp;IF(C411!$E$9="Aula 6",(C411!$A$1&amp;" "),"")&amp;IF(C412!$E$9="Aula 6",(C412!$A$1&amp;" "),"")&amp;IF(M111!$E$9="Aula 6",(M111!$A$1&amp;" "),"")&amp;IF(M211!$E$9="Aula 6",(M211!$A$1&amp;" "),"")&amp;IF(M311!$E$9="Aula 6",(M311!$A$1&amp;" "),"")&amp;IF(M411!$E$9="Aula 6",(M411!$A$1&amp;" "),""))," ",",")</f>
        <v/>
      </c>
      <c r="H28" s="2">
        <f>SUBSTITUTE(TRIM(IF(D111!$E$9="Aula 7",(D111!$A$1&amp;" "),"")&amp;IF(D211!$E$9="Aula 7",(D211!$A$1&amp;" "),"")&amp;IF(D311!$E$9="Aula 7",(D311!$A$1&amp;" "),"")&amp;IF(D411!$E$9="Aula 7",(D411!$A$1&amp;" "),"")&amp;IF(C111!$E$9="Aula 7",(C111!$A$1&amp;" "),"")&amp;IF(C121!$E$9="Aula 7",(C121!$A$1&amp;" "),"")&amp;IF(C122!$E$9="Aula 7",(C122!$A$1&amp;" "),"")&amp;IF(C211!$E$9="Aula 7",(C211!$A$1&amp;" "),"")&amp;IF(C212!$E$9="Aula 7",(C212!$A$1&amp;" "),"")&amp;IF(C311!$E$9="Aula 7",(C311!$A$1&amp;" "),"")&amp;IF(C312!$E$9="Aula 7",(C312!$A$1&amp;" "),"")&amp;IF(C411!$E$9="Aula 7",(C411!$A$1&amp;" "),"")&amp;IF(C412!$E$9="Aula 7",(C412!$A$1&amp;" "),"")&amp;IF(M111!$E$9="Aula 7",(M111!$A$1&amp;" "),"")&amp;IF(M211!$E$9="Aula 7",(M211!$A$1&amp;" "),"")&amp;IF(M311!$E$9="Aula 7",(M311!$A$1&amp;" "),"")&amp;IF(M411!$E$9="Aula 7",(M411!$A$1&amp;" "),""))," ",",")</f>
        <v/>
      </c>
      <c r="I28" s="2">
        <f>SUBSTITUTE(TRIM(IF(D111!$E$9="Aula 8",(D111!$A$1&amp;" "),"")&amp;IF(D211!$E$9="Aula 8",(D211!$A$1&amp;" "),"")&amp;IF(D311!$E$9="Aula 8",(D311!$A$1&amp;" "),"")&amp;IF(D411!$E$9="Aula 8",(D411!$A$1&amp;" "),"")&amp;IF(C111!$E$9="Aula 8",(C111!$A$1&amp;" "),"")&amp;IF(C121!$E$9="Aula 8",(C121!$A$1&amp;" "),"")&amp;IF(C122!$E$9="Aula 8",(C122!$A$1&amp;" "),"")&amp;IF(C211!$E$9="Aula 8",(C211!$A$1&amp;" "),"")&amp;IF(C212!$E$9="Aula 8",(C212!$A$1&amp;" "),"")&amp;IF(C311!$E$9="Aula 8",(C311!$A$1&amp;" "),"")&amp;IF(C312!$E$9="Aula 8",(C312!$A$1&amp;" "),"")&amp;IF(C411!$E$9="Aula 8",(C411!$A$1&amp;" "),"")&amp;IF(C412!$E$9="Aula 8",(C412!$A$1&amp;" "),"")&amp;IF(M111!$E$9="Aula 8",(M111!$A$1&amp;" "),"")&amp;IF(M211!$E$9="Aula 8",(M211!$A$1&amp;" "),"")&amp;IF(M311!$E$9="Aula 8",(M311!$A$1&amp;" "),"")&amp;IF(M411!$E$9="Aula 8",(M411!$A$1&amp;" "),""))," ",",")</f>
        <v/>
      </c>
      <c r="J28" s="2">
        <f>SUBSTITUTE(TRIM(IF(D111!$E$9="Aula 9",(D111!$A$1&amp;" "),"")&amp;IF(D211!$E$9="Aula 9",(D211!$A$1&amp;" "),"")&amp;IF(D311!$E$9="Aula 9",(D311!$A$1&amp;" "),"")&amp;IF(D411!$E$9="Aula 9",(D411!$A$1&amp;" "),"")&amp;IF(C111!$E$9="Aula 9",(C111!$A$1&amp;" "),"")&amp;IF(C121!$E$9="Aula 9",(C121!$A$1&amp;" "),"")&amp;IF(C122!$E$9="Aula 9",(C122!$A$1&amp;" "),"")&amp;IF(C211!$E$9="Aula 9",(C211!$A$1&amp;" "),"")&amp;IF(C212!$E$9="Aula 9",(C212!$A$1&amp;" "),"")&amp;IF(C311!$E$9="Aula 9",(C311!$A$1&amp;" "),"")&amp;IF(C312!$E$9="Aula 9",(C312!$A$1&amp;" "),"")&amp;IF(C411!$E$9="Aula 9",(C411!$A$1&amp;" "),"")&amp;IF(C412!$E$9="Aula 9",(C412!$A$1&amp;" "),"")&amp;IF(M111!$E$9="Aula 9",(M111!$A$1&amp;" "),"")&amp;IF(M211!$E$9="Aula 9",(M211!$A$1&amp;" "),"")&amp;IF(M311!$E$9="Aula 9",(M311!$A$1&amp;" "),"")&amp;IF(M411!$E$9="Aula 9",(M411!$A$1&amp;" "),""))," ",",")</f>
        <v/>
      </c>
      <c r="K28" s="2">
        <f>SUBSTITUTE(TRIM(IF(D111!$E$9="Lab",(D111!$A$1&amp;" "),"")&amp;IF(D211!$E$9="Lab",(D211!$A$1&amp;" "),"")&amp;IF(D311!$E$9="Lab",(D311!$A$1&amp;" "),"")&amp;IF(D411!$E$9="Lab",(D411!$A$1&amp;" "),"")&amp;IF(C111!$E$9="Lab",(C111!$A$1&amp;" "),"")&amp;IF(C121!$E$9="Lab",(C121!$A$1&amp;" "),"")&amp;IF(C122!$E$9="Lab",(C122!$A$1&amp;" "),"")&amp;IF(C211!$E$9="Lab",(C211!$A$1&amp;" "),"")&amp;IF(C212!$E$9="Lab",(C212!$A$1&amp;" "),"")&amp;IF(C311!$E$9="Lab",(C311!$A$1&amp;" "),"")&amp;IF(C312!$E$9="Lab",(C312!$A$1&amp;" "),"")&amp;IF(C411!$E$9="Lab",(C411!$A$1&amp;" "),"")&amp;IF(C412!$E$9="Lab",(C412!$A$1&amp;" "),"")&amp;IF(M111!$E$9="Lab",(M111!$A$1&amp;" "),"")&amp;IF(M211!$E$9="Lab",(M211!$A$1&amp;" "),"")&amp;IF(M311!$E$9="Lab",(M311!$A$1&amp;" "),"")&amp;IF(M411!$E$9="Lab",(M411!$A$1&amp;" "),""))," ",",")</f>
        <v/>
      </c>
      <c r="L28" t="inlineStr"/>
    </row>
    <row r="29">
      <c r="A29" s="2" t="inlineStr">
        <is>
          <t>4</t>
        </is>
      </c>
      <c r="B29" s="2">
        <f>SUBSTITUTE(TRIM(IF(D111!$E$11="Aula 1",(D111!$A$1&amp;" "),"")&amp;IF(D211!$E$11="Aula 1",(D211!$A$1&amp;" "),"")&amp;IF(D311!$E$11="Aula 1",(D311!$A$1&amp;" "),"")&amp;IF(D411!$E$11="Aula 1",(D411!$A$1&amp;" "),"")&amp;IF(C111!$E$11="Aula 1",(C111!$A$1&amp;" "),"")&amp;IF(C121!$E$11="Aula 1",(C121!$A$1&amp;" "),"")&amp;IF(C122!$E$11="Aula 1",(C122!$A$1&amp;" "),"")&amp;IF(C211!$E$11="Aula 1",(C211!$A$1&amp;" "),"")&amp;IF(C212!$E$11="Aula 1",(C212!$A$1&amp;" "),"")&amp;IF(C311!$E$11="Aula 1",(C311!$A$1&amp;" "),"")&amp;IF(C312!$E$11="Aula 1",(C312!$A$1&amp;" "),"")&amp;IF(C411!$E$11="Aula 1",(C411!$A$1&amp;" "),"")&amp;IF(C412!$E$11="Aula 1",(C412!$A$1&amp;" "),"")&amp;IF(M111!$E$11="Aula 1",(M111!$A$1&amp;" "),"")&amp;IF(M211!$E$11="Aula 1",(M211!$A$1&amp;" "),"")&amp;IF(M311!$E$11="Aula 1",(M311!$A$1&amp;" "),"")&amp;IF(M411!$E$11="Aula 1",(M411!$A$1&amp;" "),""))," ",",")</f>
        <v/>
      </c>
      <c r="C29" s="2">
        <f>SUBSTITUTE(TRIM(IF(D111!$E$11="Aula 2",(D111!$A$1&amp;" "),"")&amp;IF(D211!$E$11="Aula 2",(D211!$A$1&amp;" "),"")&amp;IF(D311!$E$11="Aula 2",(D311!$A$1&amp;" "),"")&amp;IF(D411!$E$11="Aula 2",(D411!$A$1&amp;" "),"")&amp;IF(C111!$E$11="Aula 2",(C111!$A$1&amp;" "),"")&amp;IF(C121!$E$11="Aula 2",(C121!$A$1&amp;" "),"")&amp;IF(C122!$E$11="Aula 2",(C122!$A$1&amp;" "),"")&amp;IF(C211!$E$11="Aula 2",(C211!$A$1&amp;" "),"")&amp;IF(C212!$E$11="Aula 2",(C212!$A$1&amp;" "),"")&amp;IF(C311!$E$11="Aula 2",(C311!$A$1&amp;" "),"")&amp;IF(C312!$E$11="Aula 2",(C312!$A$1&amp;" "),"")&amp;IF(C411!$E$11="Aula 2",(C411!$A$1&amp;" "),"")&amp;IF(C412!$E$11="Aula 2",(C412!$A$1&amp;" "),"")&amp;IF(M111!$E$11="Aula 2",(M111!$A$1&amp;" "),"")&amp;IF(M211!$E$11="Aula 2",(M211!$A$1&amp;" "),"")&amp;IF(M311!$E$11="Aula 2",(M311!$A$1&amp;" "),"")&amp;IF(M411!$E$11="Aula 2",(M411!$A$1&amp;" "),""))," ",",")</f>
        <v/>
      </c>
      <c r="D29" s="2">
        <f>SUBSTITUTE(TRIM(IF(D111!$E$11="Aula 3",(D111!$A$1&amp;" "),"")&amp;IF(D211!$E$11="Aula 3",(D211!$A$1&amp;" "),"")&amp;IF(D311!$E$11="Aula 3",(D311!$A$1&amp;" "),"")&amp;IF(D411!$E$11="Aula 3",(D411!$A$1&amp;" "),"")&amp;IF(C111!$E$11="Aula 3",(C111!$A$1&amp;" "),"")&amp;IF(C121!$E$11="Aula 3",(C121!$A$1&amp;" "),"")&amp;IF(C122!$E$11="Aula 3",(C122!$A$1&amp;" "),"")&amp;IF(C211!$E$11="Aula 3",(C211!$A$1&amp;" "),"")&amp;IF(C212!$E$11="Aula 3",(C212!$A$1&amp;" "),"")&amp;IF(C311!$E$11="Aula 3",(C311!$A$1&amp;" "),"")&amp;IF(C312!$E$11="Aula 3",(C312!$A$1&amp;" "),"")&amp;IF(C411!$E$11="Aula 3",(C411!$A$1&amp;" "),"")&amp;IF(C412!$E$11="Aula 3",(C412!$A$1&amp;" "),"")&amp;IF(M111!$E$11="Aula 3",(M111!$A$1&amp;" "),"")&amp;IF(M211!$E$11="Aula 3",(M211!$A$1&amp;" "),"")&amp;IF(M311!$E$11="Aula 3",(M311!$A$1&amp;" "),"")&amp;IF(M411!$E$11="Aula 3",(M411!$A$1&amp;" "),""))," ",",")</f>
        <v/>
      </c>
      <c r="E29" s="2">
        <f>SUBSTITUTE(TRIM(IF(D111!$E$11="Aula 4",(D111!$A$1&amp;" "),"")&amp;IF(D211!$E$11="Aula 4",(D211!$A$1&amp;" "),"")&amp;IF(D311!$E$11="Aula 4",(D311!$A$1&amp;" "),"")&amp;IF(D411!$E$11="Aula 4",(D411!$A$1&amp;" "),"")&amp;IF(C111!$E$11="Aula 4",(C111!$A$1&amp;" "),"")&amp;IF(C121!$E$11="Aula 4",(C121!$A$1&amp;" "),"")&amp;IF(C122!$E$11="Aula 4",(C122!$A$1&amp;" "),"")&amp;IF(C211!$E$11="Aula 4",(C211!$A$1&amp;" "),"")&amp;IF(C212!$E$11="Aula 4",(C212!$A$1&amp;" "),"")&amp;IF(C311!$E$11="Aula 4",(C311!$A$1&amp;" "),"")&amp;IF(C312!$E$11="Aula 4",(C312!$A$1&amp;" "),"")&amp;IF(C411!$E$11="Aula 4",(C411!$A$1&amp;" "),"")&amp;IF(C412!$E$11="Aula 4",(C412!$A$1&amp;" "),"")&amp;IF(M111!$E$11="Aula 4",(M111!$A$1&amp;" "),"")&amp;IF(M211!$E$11="Aula 4",(M211!$A$1&amp;" "),"")&amp;IF(M311!$E$11="Aula 4",(M311!$A$1&amp;" "),"")&amp;IF(M411!$E$11="Aula 4",(M411!$A$1&amp;" "),""))," ",",")</f>
        <v/>
      </c>
      <c r="F29" s="2">
        <f>SUBSTITUTE(TRIM(IF(D111!$E$11="Aula 5",(D111!$A$1&amp;" "),"")&amp;IF(D211!$E$11="Aula 5",(D211!$A$1&amp;" "),"")&amp;IF(D311!$E$11="Aula 5",(D311!$A$1&amp;" "),"")&amp;IF(D411!$E$11="Aula 5",(D411!$A$1&amp;" "),"")&amp;IF(C111!$E$11="Aula 5",(C111!$A$1&amp;" "),"")&amp;IF(C121!$E$11="Aula 5",(C121!$A$1&amp;" "),"")&amp;IF(C122!$E$11="Aula 5",(C122!$A$1&amp;" "),"")&amp;IF(C211!$E$11="Aula 5",(C211!$A$1&amp;" "),"")&amp;IF(C212!$E$11="Aula 5",(C212!$A$1&amp;" "),"")&amp;IF(C311!$E$11="Aula 5",(C311!$A$1&amp;" "),"")&amp;IF(C312!$E$11="Aula 5",(C312!$A$1&amp;" "),"")&amp;IF(C411!$E$11="Aula 5",(C411!$A$1&amp;" "),"")&amp;IF(C412!$E$11="Aula 5",(C412!$A$1&amp;" "),"")&amp;IF(M111!$E$11="Aula 5",(M111!$A$1&amp;" "),"")&amp;IF(M211!$E$11="Aula 5",(M211!$A$1&amp;" "),"")&amp;IF(M311!$E$11="Aula 5",(M311!$A$1&amp;" "),"")&amp;IF(M411!$E$11="Aula 5",(M411!$A$1&amp;" "),""))," ",",")</f>
        <v/>
      </c>
      <c r="G29" s="2">
        <f>SUBSTITUTE(TRIM(IF(D111!$E$11="Aula 6",(D111!$A$1&amp;" "),"")&amp;IF(D211!$E$11="Aula 6",(D211!$A$1&amp;" "),"")&amp;IF(D311!$E$11="Aula 6",(D311!$A$1&amp;" "),"")&amp;IF(D411!$E$11="Aula 6",(D411!$A$1&amp;" "),"")&amp;IF(C111!$E$11="Aula 6",(C111!$A$1&amp;" "),"")&amp;IF(C121!$E$11="Aula 6",(C121!$A$1&amp;" "),"")&amp;IF(C122!$E$11="Aula 6",(C122!$A$1&amp;" "),"")&amp;IF(C211!$E$11="Aula 6",(C211!$A$1&amp;" "),"")&amp;IF(C212!$E$11="Aula 6",(C212!$A$1&amp;" "),"")&amp;IF(C311!$E$11="Aula 6",(C311!$A$1&amp;" "),"")&amp;IF(C312!$E$11="Aula 6",(C312!$A$1&amp;" "),"")&amp;IF(C411!$E$11="Aula 6",(C411!$A$1&amp;" "),"")&amp;IF(C412!$E$11="Aula 6",(C412!$A$1&amp;" "),"")&amp;IF(M111!$E$11="Aula 6",(M111!$A$1&amp;" "),"")&amp;IF(M211!$E$11="Aula 6",(M211!$A$1&amp;" "),"")&amp;IF(M311!$E$11="Aula 6",(M311!$A$1&amp;" "),"")&amp;IF(M411!$E$11="Aula 6",(M411!$A$1&amp;" "),""))," ",",")</f>
        <v/>
      </c>
      <c r="H29" s="2">
        <f>SUBSTITUTE(TRIM(IF(D111!$E$11="Aula 7",(D111!$A$1&amp;" "),"")&amp;IF(D211!$E$11="Aula 7",(D211!$A$1&amp;" "),"")&amp;IF(D311!$E$11="Aula 7",(D311!$A$1&amp;" "),"")&amp;IF(D411!$E$11="Aula 7",(D411!$A$1&amp;" "),"")&amp;IF(C111!$E$11="Aula 7",(C111!$A$1&amp;" "),"")&amp;IF(C121!$E$11="Aula 7",(C121!$A$1&amp;" "),"")&amp;IF(C122!$E$11="Aula 7",(C122!$A$1&amp;" "),"")&amp;IF(C211!$E$11="Aula 7",(C211!$A$1&amp;" "),"")&amp;IF(C212!$E$11="Aula 7",(C212!$A$1&amp;" "),"")&amp;IF(C311!$E$11="Aula 7",(C311!$A$1&amp;" "),"")&amp;IF(C312!$E$11="Aula 7",(C312!$A$1&amp;" "),"")&amp;IF(C411!$E$11="Aula 7",(C411!$A$1&amp;" "),"")&amp;IF(C412!$E$11="Aula 7",(C412!$A$1&amp;" "),"")&amp;IF(M111!$E$11="Aula 7",(M111!$A$1&amp;" "),"")&amp;IF(M211!$E$11="Aula 7",(M211!$A$1&amp;" "),"")&amp;IF(M311!$E$11="Aula 7",(M311!$A$1&amp;" "),"")&amp;IF(M411!$E$11="Aula 7",(M411!$A$1&amp;" "),""))," ",",")</f>
        <v/>
      </c>
      <c r="I29" s="2">
        <f>SUBSTITUTE(TRIM(IF(D111!$E$11="Aula 8",(D111!$A$1&amp;" "),"")&amp;IF(D211!$E$11="Aula 8",(D211!$A$1&amp;" "),"")&amp;IF(D311!$E$11="Aula 8",(D311!$A$1&amp;" "),"")&amp;IF(D411!$E$11="Aula 8",(D411!$A$1&amp;" "),"")&amp;IF(C111!$E$11="Aula 8",(C111!$A$1&amp;" "),"")&amp;IF(C121!$E$11="Aula 8",(C121!$A$1&amp;" "),"")&amp;IF(C122!$E$11="Aula 8",(C122!$A$1&amp;" "),"")&amp;IF(C211!$E$11="Aula 8",(C211!$A$1&amp;" "),"")&amp;IF(C212!$E$11="Aula 8",(C212!$A$1&amp;" "),"")&amp;IF(C311!$E$11="Aula 8",(C311!$A$1&amp;" "),"")&amp;IF(C312!$E$11="Aula 8",(C312!$A$1&amp;" "),"")&amp;IF(C411!$E$11="Aula 8",(C411!$A$1&amp;" "),"")&amp;IF(C412!$E$11="Aula 8",(C412!$A$1&amp;" "),"")&amp;IF(M111!$E$11="Aula 8",(M111!$A$1&amp;" "),"")&amp;IF(M211!$E$11="Aula 8",(M211!$A$1&amp;" "),"")&amp;IF(M311!$E$11="Aula 8",(M311!$A$1&amp;" "),"")&amp;IF(M411!$E$11="Aula 8",(M411!$A$1&amp;" "),""))," ",",")</f>
        <v/>
      </c>
      <c r="J29" s="2">
        <f>SUBSTITUTE(TRIM(IF(D111!$E$11="Aula 9",(D111!$A$1&amp;" "),"")&amp;IF(D211!$E$11="Aula 9",(D211!$A$1&amp;" "),"")&amp;IF(D311!$E$11="Aula 9",(D311!$A$1&amp;" "),"")&amp;IF(D411!$E$11="Aula 9",(D411!$A$1&amp;" "),"")&amp;IF(C111!$E$11="Aula 9",(C111!$A$1&amp;" "),"")&amp;IF(C121!$E$11="Aula 9",(C121!$A$1&amp;" "),"")&amp;IF(C122!$E$11="Aula 9",(C122!$A$1&amp;" "),"")&amp;IF(C211!$E$11="Aula 9",(C211!$A$1&amp;" "),"")&amp;IF(C212!$E$11="Aula 9",(C212!$A$1&amp;" "),"")&amp;IF(C311!$E$11="Aula 9",(C311!$A$1&amp;" "),"")&amp;IF(C312!$E$11="Aula 9",(C312!$A$1&amp;" "),"")&amp;IF(C411!$E$11="Aula 9",(C411!$A$1&amp;" "),"")&amp;IF(C412!$E$11="Aula 9",(C412!$A$1&amp;" "),"")&amp;IF(M111!$E$11="Aula 9",(M111!$A$1&amp;" "),"")&amp;IF(M211!$E$11="Aula 9",(M211!$A$1&amp;" "),"")&amp;IF(M311!$E$11="Aula 9",(M311!$A$1&amp;" "),"")&amp;IF(M411!$E$11="Aula 9",(M411!$A$1&amp;" "),""))," ",",")</f>
        <v/>
      </c>
      <c r="K29" s="2">
        <f>SUBSTITUTE(TRIM(IF(D111!$E$11="Lab",(D111!$A$1&amp;" "),"")&amp;IF(D211!$E$11="Lab",(D211!$A$1&amp;" "),"")&amp;IF(D311!$E$11="Lab",(D311!$A$1&amp;" "),"")&amp;IF(D411!$E$11="Lab",(D411!$A$1&amp;" "),"")&amp;IF(C111!$E$11="Lab",(C111!$A$1&amp;" "),"")&amp;IF(C121!$E$11="Lab",(C121!$A$1&amp;" "),"")&amp;IF(C122!$E$11="Lab",(C122!$A$1&amp;" "),"")&amp;IF(C211!$E$11="Lab",(C211!$A$1&amp;" "),"")&amp;IF(C212!$E$11="Lab",(C212!$A$1&amp;" "),"")&amp;IF(C311!$E$11="Lab",(C311!$A$1&amp;" "),"")&amp;IF(C312!$E$11="Lab",(C312!$A$1&amp;" "),"")&amp;IF(C411!$E$11="Lab",(C411!$A$1&amp;" "),"")&amp;IF(C412!$E$11="Lab",(C412!$A$1&amp;" "),"")&amp;IF(M111!$E$11="Lab",(M111!$A$1&amp;" "),"")&amp;IF(M211!$E$11="Lab",(M211!$A$1&amp;" "),"")&amp;IF(M311!$E$11="Lab",(M311!$A$1&amp;" "),"")&amp;IF(M411!$E$11="Lab",(M411!$A$1&amp;" "),""))," ",",")</f>
        <v/>
      </c>
      <c r="L29" t="inlineStr"/>
    </row>
    <row r="30">
      <c r="A30" s="2" t="inlineStr">
        <is>
          <t>5</t>
        </is>
      </c>
      <c r="B30" s="2">
        <f>SUBSTITUTE(TRIM(IF(D111!$E$13="Aula 1",(D111!$A$1&amp;" "),"")&amp;IF(D211!$E$13="Aula 1",(D211!$A$1&amp;" "),"")&amp;IF(D311!$E$13="Aula 1",(D311!$A$1&amp;" "),"")&amp;IF(D411!$E$13="Aula 1",(D411!$A$1&amp;" "),"")&amp;IF(C111!$E$13="Aula 1",(C111!$A$1&amp;" "),"")&amp;IF(C121!$E$13="Aula 1",(C121!$A$1&amp;" "),"")&amp;IF(C122!$E$13="Aula 1",(C122!$A$1&amp;" "),"")&amp;IF(C211!$E$13="Aula 1",(C211!$A$1&amp;" "),"")&amp;IF(C212!$E$13="Aula 1",(C212!$A$1&amp;" "),"")&amp;IF(C311!$E$13="Aula 1",(C311!$A$1&amp;" "),"")&amp;IF(C312!$E$13="Aula 1",(C312!$A$1&amp;" "),"")&amp;IF(C411!$E$13="Aula 1",(C411!$A$1&amp;" "),"")&amp;IF(C412!$E$13="Aula 1",(C412!$A$1&amp;" "),"")&amp;IF(M111!$E$13="Aula 1",(M111!$A$1&amp;" "),"")&amp;IF(M211!$E$13="Aula 1",(M211!$A$1&amp;" "),"")&amp;IF(M311!$E$13="Aula 1",(M311!$A$1&amp;" "),"")&amp;IF(M411!$E$13="Aula 1",(M411!$A$1&amp;" "),""))," ",",")</f>
        <v/>
      </c>
      <c r="C30" s="2">
        <f>SUBSTITUTE(TRIM(IF(D111!$E$13="Aula 2",(D111!$A$1&amp;" "),"")&amp;IF(D211!$E$13="Aula 2",(D211!$A$1&amp;" "),"")&amp;IF(D311!$E$13="Aula 2",(D311!$A$1&amp;" "),"")&amp;IF(D411!$E$13="Aula 2",(D411!$A$1&amp;" "),"")&amp;IF(C111!$E$13="Aula 2",(C111!$A$1&amp;" "),"")&amp;IF(C121!$E$13="Aula 2",(C121!$A$1&amp;" "),"")&amp;IF(C122!$E$13="Aula 2",(C122!$A$1&amp;" "),"")&amp;IF(C211!$E$13="Aula 2",(C211!$A$1&amp;" "),"")&amp;IF(C212!$E$13="Aula 2",(C212!$A$1&amp;" "),"")&amp;IF(C311!$E$13="Aula 2",(C311!$A$1&amp;" "),"")&amp;IF(C312!$E$13="Aula 2",(C312!$A$1&amp;" "),"")&amp;IF(C411!$E$13="Aula 2",(C411!$A$1&amp;" "),"")&amp;IF(C412!$E$13="Aula 2",(C412!$A$1&amp;" "),"")&amp;IF(M111!$E$13="Aula 2",(M111!$A$1&amp;" "),"")&amp;IF(M211!$E$13="Aula 2",(M211!$A$1&amp;" "),"")&amp;IF(M311!$E$13="Aula 2",(M311!$A$1&amp;" "),"")&amp;IF(M411!$E$13="Aula 2",(M411!$A$1&amp;" "),""))," ",",")</f>
        <v/>
      </c>
      <c r="D30" s="2">
        <f>SUBSTITUTE(TRIM(IF(D111!$E$13="Aula 3",(D111!$A$1&amp;" "),"")&amp;IF(D211!$E$13="Aula 3",(D211!$A$1&amp;" "),"")&amp;IF(D311!$E$13="Aula 3",(D311!$A$1&amp;" "),"")&amp;IF(D411!$E$13="Aula 3",(D411!$A$1&amp;" "),"")&amp;IF(C111!$E$13="Aula 3",(C111!$A$1&amp;" "),"")&amp;IF(C121!$E$13="Aula 3",(C121!$A$1&amp;" "),"")&amp;IF(C122!$E$13="Aula 3",(C122!$A$1&amp;" "),"")&amp;IF(C211!$E$13="Aula 3",(C211!$A$1&amp;" "),"")&amp;IF(C212!$E$13="Aula 3",(C212!$A$1&amp;" "),"")&amp;IF(C311!$E$13="Aula 3",(C311!$A$1&amp;" "),"")&amp;IF(C312!$E$13="Aula 3",(C312!$A$1&amp;" "),"")&amp;IF(C411!$E$13="Aula 3",(C411!$A$1&amp;" "),"")&amp;IF(C412!$E$13="Aula 3",(C412!$A$1&amp;" "),"")&amp;IF(M111!$E$13="Aula 3",(M111!$A$1&amp;" "),"")&amp;IF(M211!$E$13="Aula 3",(M211!$A$1&amp;" "),"")&amp;IF(M311!$E$13="Aula 3",(M311!$A$1&amp;" "),"")&amp;IF(M411!$E$13="Aula 3",(M411!$A$1&amp;" "),""))," ",",")</f>
        <v/>
      </c>
      <c r="E30" s="2">
        <f>SUBSTITUTE(TRIM(IF(D111!$E$13="Aula 4",(D111!$A$1&amp;" "),"")&amp;IF(D211!$E$13="Aula 4",(D211!$A$1&amp;" "),"")&amp;IF(D311!$E$13="Aula 4",(D311!$A$1&amp;" "),"")&amp;IF(D411!$E$13="Aula 4",(D411!$A$1&amp;" "),"")&amp;IF(C111!$E$13="Aula 4",(C111!$A$1&amp;" "),"")&amp;IF(C121!$E$13="Aula 4",(C121!$A$1&amp;" "),"")&amp;IF(C122!$E$13="Aula 4",(C122!$A$1&amp;" "),"")&amp;IF(C211!$E$13="Aula 4",(C211!$A$1&amp;" "),"")&amp;IF(C212!$E$13="Aula 4",(C212!$A$1&amp;" "),"")&amp;IF(C311!$E$13="Aula 4",(C311!$A$1&amp;" "),"")&amp;IF(C312!$E$13="Aula 4",(C312!$A$1&amp;" "),"")&amp;IF(C411!$E$13="Aula 4",(C411!$A$1&amp;" "),"")&amp;IF(C412!$E$13="Aula 4",(C412!$A$1&amp;" "),"")&amp;IF(M111!$E$13="Aula 4",(M111!$A$1&amp;" "),"")&amp;IF(M211!$E$13="Aula 4",(M211!$A$1&amp;" "),"")&amp;IF(M311!$E$13="Aula 4",(M311!$A$1&amp;" "),"")&amp;IF(M411!$E$13="Aula 4",(M411!$A$1&amp;" "),""))," ",",")</f>
        <v/>
      </c>
      <c r="F30" s="2">
        <f>SUBSTITUTE(TRIM(IF(D111!$E$13="Aula 5",(D111!$A$1&amp;" "),"")&amp;IF(D211!$E$13="Aula 5",(D211!$A$1&amp;" "),"")&amp;IF(D311!$E$13="Aula 5",(D311!$A$1&amp;" "),"")&amp;IF(D411!$E$13="Aula 5",(D411!$A$1&amp;" "),"")&amp;IF(C111!$E$13="Aula 5",(C111!$A$1&amp;" "),"")&amp;IF(C121!$E$13="Aula 5",(C121!$A$1&amp;" "),"")&amp;IF(C122!$E$13="Aula 5",(C122!$A$1&amp;" "),"")&amp;IF(C211!$E$13="Aula 5",(C211!$A$1&amp;" "),"")&amp;IF(C212!$E$13="Aula 5",(C212!$A$1&amp;" "),"")&amp;IF(C311!$E$13="Aula 5",(C311!$A$1&amp;" "),"")&amp;IF(C312!$E$13="Aula 5",(C312!$A$1&amp;" "),"")&amp;IF(C411!$E$13="Aula 5",(C411!$A$1&amp;" "),"")&amp;IF(C412!$E$13="Aula 5",(C412!$A$1&amp;" "),"")&amp;IF(M111!$E$13="Aula 5",(M111!$A$1&amp;" "),"")&amp;IF(M211!$E$13="Aula 5",(M211!$A$1&amp;" "),"")&amp;IF(M311!$E$13="Aula 5",(M311!$A$1&amp;" "),"")&amp;IF(M411!$E$13="Aula 5",(M411!$A$1&amp;" "),""))," ",",")</f>
        <v/>
      </c>
      <c r="G30" s="2">
        <f>SUBSTITUTE(TRIM(IF(D111!$E$13="Aula 6",(D111!$A$1&amp;" "),"")&amp;IF(D211!$E$13="Aula 6",(D211!$A$1&amp;" "),"")&amp;IF(D311!$E$13="Aula 6",(D311!$A$1&amp;" "),"")&amp;IF(D411!$E$13="Aula 6",(D411!$A$1&amp;" "),"")&amp;IF(C111!$E$13="Aula 6",(C111!$A$1&amp;" "),"")&amp;IF(C121!$E$13="Aula 6",(C121!$A$1&amp;" "),"")&amp;IF(C122!$E$13="Aula 6",(C122!$A$1&amp;" "),"")&amp;IF(C211!$E$13="Aula 6",(C211!$A$1&amp;" "),"")&amp;IF(C212!$E$13="Aula 6",(C212!$A$1&amp;" "),"")&amp;IF(C311!$E$13="Aula 6",(C311!$A$1&amp;" "),"")&amp;IF(C312!$E$13="Aula 6",(C312!$A$1&amp;" "),"")&amp;IF(C411!$E$13="Aula 6",(C411!$A$1&amp;" "),"")&amp;IF(C412!$E$13="Aula 6",(C412!$A$1&amp;" "),"")&amp;IF(M111!$E$13="Aula 6",(M111!$A$1&amp;" "),"")&amp;IF(M211!$E$13="Aula 6",(M211!$A$1&amp;" "),"")&amp;IF(M311!$E$13="Aula 6",(M311!$A$1&amp;" "),"")&amp;IF(M411!$E$13="Aula 6",(M411!$A$1&amp;" "),""))," ",",")</f>
        <v/>
      </c>
      <c r="H30" s="2">
        <f>SUBSTITUTE(TRIM(IF(D111!$E$13="Aula 7",(D111!$A$1&amp;" "),"")&amp;IF(D211!$E$13="Aula 7",(D211!$A$1&amp;" "),"")&amp;IF(D311!$E$13="Aula 7",(D311!$A$1&amp;" "),"")&amp;IF(D411!$E$13="Aula 7",(D411!$A$1&amp;" "),"")&amp;IF(C111!$E$13="Aula 7",(C111!$A$1&amp;" "),"")&amp;IF(C121!$E$13="Aula 7",(C121!$A$1&amp;" "),"")&amp;IF(C122!$E$13="Aula 7",(C122!$A$1&amp;" "),"")&amp;IF(C211!$E$13="Aula 7",(C211!$A$1&amp;" "),"")&amp;IF(C212!$E$13="Aula 7",(C212!$A$1&amp;" "),"")&amp;IF(C311!$E$13="Aula 7",(C311!$A$1&amp;" "),"")&amp;IF(C312!$E$13="Aula 7",(C312!$A$1&amp;" "),"")&amp;IF(C411!$E$13="Aula 7",(C411!$A$1&amp;" "),"")&amp;IF(C412!$E$13="Aula 7",(C412!$A$1&amp;" "),"")&amp;IF(M111!$E$13="Aula 7",(M111!$A$1&amp;" "),"")&amp;IF(M211!$E$13="Aula 7",(M211!$A$1&amp;" "),"")&amp;IF(M311!$E$13="Aula 7",(M311!$A$1&amp;" "),"")&amp;IF(M411!$E$13="Aula 7",(M411!$A$1&amp;" "),""))," ",",")</f>
        <v/>
      </c>
      <c r="I30" s="2">
        <f>SUBSTITUTE(TRIM(IF(D111!$E$13="Aula 8",(D111!$A$1&amp;" "),"")&amp;IF(D211!$E$13="Aula 8",(D211!$A$1&amp;" "),"")&amp;IF(D311!$E$13="Aula 8",(D311!$A$1&amp;" "),"")&amp;IF(D411!$E$13="Aula 8",(D411!$A$1&amp;" "),"")&amp;IF(C111!$E$13="Aula 8",(C111!$A$1&amp;" "),"")&amp;IF(C121!$E$13="Aula 8",(C121!$A$1&amp;" "),"")&amp;IF(C122!$E$13="Aula 8",(C122!$A$1&amp;" "),"")&amp;IF(C211!$E$13="Aula 8",(C211!$A$1&amp;" "),"")&amp;IF(C212!$E$13="Aula 8",(C212!$A$1&amp;" "),"")&amp;IF(C311!$E$13="Aula 8",(C311!$A$1&amp;" "),"")&amp;IF(C312!$E$13="Aula 8",(C312!$A$1&amp;" "),"")&amp;IF(C411!$E$13="Aula 8",(C411!$A$1&amp;" "),"")&amp;IF(C412!$E$13="Aula 8",(C412!$A$1&amp;" "),"")&amp;IF(M111!$E$13="Aula 8",(M111!$A$1&amp;" "),"")&amp;IF(M211!$E$13="Aula 8",(M211!$A$1&amp;" "),"")&amp;IF(M311!$E$13="Aula 8",(M311!$A$1&amp;" "),"")&amp;IF(M411!$E$13="Aula 8",(M411!$A$1&amp;" "),""))," ",",")</f>
        <v/>
      </c>
      <c r="J30" s="2">
        <f>SUBSTITUTE(TRIM(IF(D111!$E$13="Aula 9",(D111!$A$1&amp;" "),"")&amp;IF(D211!$E$13="Aula 9",(D211!$A$1&amp;" "),"")&amp;IF(D311!$E$13="Aula 9",(D311!$A$1&amp;" "),"")&amp;IF(D411!$E$13="Aula 9",(D411!$A$1&amp;" "),"")&amp;IF(C111!$E$13="Aula 9",(C111!$A$1&amp;" "),"")&amp;IF(C121!$E$13="Aula 9",(C121!$A$1&amp;" "),"")&amp;IF(C122!$E$13="Aula 9",(C122!$A$1&amp;" "),"")&amp;IF(C211!$E$13="Aula 9",(C211!$A$1&amp;" "),"")&amp;IF(C212!$E$13="Aula 9",(C212!$A$1&amp;" "),"")&amp;IF(C311!$E$13="Aula 9",(C311!$A$1&amp;" "),"")&amp;IF(C312!$E$13="Aula 9",(C312!$A$1&amp;" "),"")&amp;IF(C411!$E$13="Aula 9",(C411!$A$1&amp;" "),"")&amp;IF(C412!$E$13="Aula 9",(C412!$A$1&amp;" "),"")&amp;IF(M111!$E$13="Aula 9",(M111!$A$1&amp;" "),"")&amp;IF(M211!$E$13="Aula 9",(M211!$A$1&amp;" "),"")&amp;IF(M311!$E$13="Aula 9",(M311!$A$1&amp;" "),"")&amp;IF(M411!$E$13="Aula 9",(M411!$A$1&amp;" "),""))," ",",")</f>
        <v/>
      </c>
      <c r="K30" s="2">
        <f>SUBSTITUTE(TRIM(IF(D111!$E$13="Lab",(D111!$A$1&amp;" "),"")&amp;IF(D211!$E$13="Lab",(D211!$A$1&amp;" "),"")&amp;IF(D311!$E$13="Lab",(D311!$A$1&amp;" "),"")&amp;IF(D411!$E$13="Lab",(D411!$A$1&amp;" "),"")&amp;IF(C111!$E$13="Lab",(C111!$A$1&amp;" "),"")&amp;IF(C121!$E$13="Lab",(C121!$A$1&amp;" "),"")&amp;IF(C122!$E$13="Lab",(C122!$A$1&amp;" "),"")&amp;IF(C211!$E$13="Lab",(C211!$A$1&amp;" "),"")&amp;IF(C212!$E$13="Lab",(C212!$A$1&amp;" "),"")&amp;IF(C311!$E$13="Lab",(C311!$A$1&amp;" "),"")&amp;IF(C312!$E$13="Lab",(C312!$A$1&amp;" "),"")&amp;IF(C411!$E$13="Lab",(C411!$A$1&amp;" "),"")&amp;IF(C412!$E$13="Lab",(C412!$A$1&amp;" "),"")&amp;IF(M111!$E$13="Lab",(M111!$A$1&amp;" "),"")&amp;IF(M211!$E$13="Lab",(M211!$A$1&amp;" "),"")&amp;IF(M311!$E$13="Lab",(M311!$A$1&amp;" "),"")&amp;IF(M411!$E$13="Lab",(M411!$A$1&amp;" "),""))," ",",")</f>
        <v/>
      </c>
      <c r="L30" t="inlineStr"/>
    </row>
    <row r="31">
      <c r="A31" s="2" t="inlineStr">
        <is>
          <t>6</t>
        </is>
      </c>
      <c r="B31" s="2">
        <f>SUBSTITUTE(TRIM(IF(D111!$E$15="Aula 1",(D111!$A$1&amp;" "),"")&amp;IF(D211!$E$15="Aula 1",(D211!$A$1&amp;" "),"")&amp;IF(D311!$E$15="Aula 1",(D311!$A$1&amp;" "),"")&amp;IF(D411!$E$15="Aula 1",(D411!$A$1&amp;" "),"")&amp;IF(C111!$E$15="Aula 1",(C111!$A$1&amp;" "),"")&amp;IF(C121!$E$15="Aula 1",(C121!$A$1&amp;" "),"")&amp;IF(C122!$E$15="Aula 1",(C122!$A$1&amp;" "),"")&amp;IF(C211!$E$15="Aula 1",(C211!$A$1&amp;" "),"")&amp;IF(C212!$E$15="Aula 1",(C212!$A$1&amp;" "),"")&amp;IF(C311!$E$15="Aula 1",(C311!$A$1&amp;" "),"")&amp;IF(C312!$E$15="Aula 1",(C312!$A$1&amp;" "),"")&amp;IF(C411!$E$15="Aula 1",(C411!$A$1&amp;" "),"")&amp;IF(C412!$E$15="Aula 1",(C412!$A$1&amp;" "),"")&amp;IF(M111!$E$15="Aula 1",(M111!$A$1&amp;" "),"")&amp;IF(M211!$E$15="Aula 1",(M211!$A$1&amp;" "),"")&amp;IF(M311!$E$15="Aula 1",(M311!$A$1&amp;" "),"")&amp;IF(M411!$E$15="Aula 1",(M411!$A$1&amp;" "),""))," ",",")</f>
        <v/>
      </c>
      <c r="C31" s="2">
        <f>SUBSTITUTE(TRIM(IF(D111!$E$15="Aula 2",(D111!$A$1&amp;" "),"")&amp;IF(D211!$E$15="Aula 2",(D211!$A$1&amp;" "),"")&amp;IF(D311!$E$15="Aula 2",(D311!$A$1&amp;" "),"")&amp;IF(D411!$E$15="Aula 2",(D411!$A$1&amp;" "),"")&amp;IF(C111!$E$15="Aula 2",(C111!$A$1&amp;" "),"")&amp;IF(C121!$E$15="Aula 2",(C121!$A$1&amp;" "),"")&amp;IF(C122!$E$15="Aula 2",(C122!$A$1&amp;" "),"")&amp;IF(C211!$E$15="Aula 2",(C211!$A$1&amp;" "),"")&amp;IF(C212!$E$15="Aula 2",(C212!$A$1&amp;" "),"")&amp;IF(C311!$E$15="Aula 2",(C311!$A$1&amp;" "),"")&amp;IF(C312!$E$15="Aula 2",(C312!$A$1&amp;" "),"")&amp;IF(C411!$E$15="Aula 2",(C411!$A$1&amp;" "),"")&amp;IF(C412!$E$15="Aula 2",(C412!$A$1&amp;" "),"")&amp;IF(M111!$E$15="Aula 2",(M111!$A$1&amp;" "),"")&amp;IF(M211!$E$15="Aula 2",(M211!$A$1&amp;" "),"")&amp;IF(M311!$E$15="Aula 2",(M311!$A$1&amp;" "),"")&amp;IF(M411!$E$15="Aula 2",(M411!$A$1&amp;" "),""))," ",",")</f>
        <v/>
      </c>
      <c r="D31" s="2">
        <f>SUBSTITUTE(TRIM(IF(D111!$E$15="Aula 3",(D111!$A$1&amp;" "),"")&amp;IF(D211!$E$15="Aula 3",(D211!$A$1&amp;" "),"")&amp;IF(D311!$E$15="Aula 3",(D311!$A$1&amp;" "),"")&amp;IF(D411!$E$15="Aula 3",(D411!$A$1&amp;" "),"")&amp;IF(C111!$E$15="Aula 3",(C111!$A$1&amp;" "),"")&amp;IF(C121!$E$15="Aula 3",(C121!$A$1&amp;" "),"")&amp;IF(C122!$E$15="Aula 3",(C122!$A$1&amp;" "),"")&amp;IF(C211!$E$15="Aula 3",(C211!$A$1&amp;" "),"")&amp;IF(C212!$E$15="Aula 3",(C212!$A$1&amp;" "),"")&amp;IF(C311!$E$15="Aula 3",(C311!$A$1&amp;" "),"")&amp;IF(C312!$E$15="Aula 3",(C312!$A$1&amp;" "),"")&amp;IF(C411!$E$15="Aula 3",(C411!$A$1&amp;" "),"")&amp;IF(C412!$E$15="Aula 3",(C412!$A$1&amp;" "),"")&amp;IF(M111!$E$15="Aula 3",(M111!$A$1&amp;" "),"")&amp;IF(M211!$E$15="Aula 3",(M211!$A$1&amp;" "),"")&amp;IF(M311!$E$15="Aula 3",(M311!$A$1&amp;" "),"")&amp;IF(M411!$E$15="Aula 3",(M411!$A$1&amp;" "),""))," ",",")</f>
        <v/>
      </c>
      <c r="E31" s="2">
        <f>SUBSTITUTE(TRIM(IF(D111!$E$15="Aula 4",(D111!$A$1&amp;" "),"")&amp;IF(D211!$E$15="Aula 4",(D211!$A$1&amp;" "),"")&amp;IF(D311!$E$15="Aula 4",(D311!$A$1&amp;" "),"")&amp;IF(D411!$E$15="Aula 4",(D411!$A$1&amp;" "),"")&amp;IF(C111!$E$15="Aula 4",(C111!$A$1&amp;" "),"")&amp;IF(C121!$E$15="Aula 4",(C121!$A$1&amp;" "),"")&amp;IF(C122!$E$15="Aula 4",(C122!$A$1&amp;" "),"")&amp;IF(C211!$E$15="Aula 4",(C211!$A$1&amp;" "),"")&amp;IF(C212!$E$15="Aula 4",(C212!$A$1&amp;" "),"")&amp;IF(C311!$E$15="Aula 4",(C311!$A$1&amp;" "),"")&amp;IF(C312!$E$15="Aula 4",(C312!$A$1&amp;" "),"")&amp;IF(C411!$E$15="Aula 4",(C411!$A$1&amp;" "),"")&amp;IF(C412!$E$15="Aula 4",(C412!$A$1&amp;" "),"")&amp;IF(M111!$E$15="Aula 4",(M111!$A$1&amp;" "),"")&amp;IF(M211!$E$15="Aula 4",(M211!$A$1&amp;" "),"")&amp;IF(M311!$E$15="Aula 4",(M311!$A$1&amp;" "),"")&amp;IF(M411!$E$15="Aula 4",(M411!$A$1&amp;" "),""))," ",",")</f>
        <v/>
      </c>
      <c r="F31" s="2">
        <f>SUBSTITUTE(TRIM(IF(D111!$E$15="Aula 5",(D111!$A$1&amp;" "),"")&amp;IF(D211!$E$15="Aula 5",(D211!$A$1&amp;" "),"")&amp;IF(D311!$E$15="Aula 5",(D311!$A$1&amp;" "),"")&amp;IF(D411!$E$15="Aula 5",(D411!$A$1&amp;" "),"")&amp;IF(C111!$E$15="Aula 5",(C111!$A$1&amp;" "),"")&amp;IF(C121!$E$15="Aula 5",(C121!$A$1&amp;" "),"")&amp;IF(C122!$E$15="Aula 5",(C122!$A$1&amp;" "),"")&amp;IF(C211!$E$15="Aula 5",(C211!$A$1&amp;" "),"")&amp;IF(C212!$E$15="Aula 5",(C212!$A$1&amp;" "),"")&amp;IF(C311!$E$15="Aula 5",(C311!$A$1&amp;" "),"")&amp;IF(C312!$E$15="Aula 5",(C312!$A$1&amp;" "),"")&amp;IF(C411!$E$15="Aula 5",(C411!$A$1&amp;" "),"")&amp;IF(C412!$E$15="Aula 5",(C412!$A$1&amp;" "),"")&amp;IF(M111!$E$15="Aula 5",(M111!$A$1&amp;" "),"")&amp;IF(M211!$E$15="Aula 5",(M211!$A$1&amp;" "),"")&amp;IF(M311!$E$15="Aula 5",(M311!$A$1&amp;" "),"")&amp;IF(M411!$E$15="Aula 5",(M411!$A$1&amp;" "),""))," ",",")</f>
        <v/>
      </c>
      <c r="G31" s="2">
        <f>SUBSTITUTE(TRIM(IF(D111!$E$15="Aula 6",(D111!$A$1&amp;" "),"")&amp;IF(D211!$E$15="Aula 6",(D211!$A$1&amp;" "),"")&amp;IF(D311!$E$15="Aula 6",(D311!$A$1&amp;" "),"")&amp;IF(D411!$E$15="Aula 6",(D411!$A$1&amp;" "),"")&amp;IF(C111!$E$15="Aula 6",(C111!$A$1&amp;" "),"")&amp;IF(C121!$E$15="Aula 6",(C121!$A$1&amp;" "),"")&amp;IF(C122!$E$15="Aula 6",(C122!$A$1&amp;" "),"")&amp;IF(C211!$E$15="Aula 6",(C211!$A$1&amp;" "),"")&amp;IF(C212!$E$15="Aula 6",(C212!$A$1&amp;" "),"")&amp;IF(C311!$E$15="Aula 6",(C311!$A$1&amp;" "),"")&amp;IF(C312!$E$15="Aula 6",(C312!$A$1&amp;" "),"")&amp;IF(C411!$E$15="Aula 6",(C411!$A$1&amp;" "),"")&amp;IF(C412!$E$15="Aula 6",(C412!$A$1&amp;" "),"")&amp;IF(M111!$E$15="Aula 6",(M111!$A$1&amp;" "),"")&amp;IF(M211!$E$15="Aula 6",(M211!$A$1&amp;" "),"")&amp;IF(M311!$E$15="Aula 6",(M311!$A$1&amp;" "),"")&amp;IF(M411!$E$15="Aula 6",(M411!$A$1&amp;" "),""))," ",",")</f>
        <v/>
      </c>
      <c r="H31" s="2">
        <f>SUBSTITUTE(TRIM(IF(D111!$E$15="Aula 7",(D111!$A$1&amp;" "),"")&amp;IF(D211!$E$15="Aula 7",(D211!$A$1&amp;" "),"")&amp;IF(D311!$E$15="Aula 7",(D311!$A$1&amp;" "),"")&amp;IF(D411!$E$15="Aula 7",(D411!$A$1&amp;" "),"")&amp;IF(C111!$E$15="Aula 7",(C111!$A$1&amp;" "),"")&amp;IF(C121!$E$15="Aula 7",(C121!$A$1&amp;" "),"")&amp;IF(C122!$E$15="Aula 7",(C122!$A$1&amp;" "),"")&amp;IF(C211!$E$15="Aula 7",(C211!$A$1&amp;" "),"")&amp;IF(C212!$E$15="Aula 7",(C212!$A$1&amp;" "),"")&amp;IF(C311!$E$15="Aula 7",(C311!$A$1&amp;" "),"")&amp;IF(C312!$E$15="Aula 7",(C312!$A$1&amp;" "),"")&amp;IF(C411!$E$15="Aula 7",(C411!$A$1&amp;" "),"")&amp;IF(C412!$E$15="Aula 7",(C412!$A$1&amp;" "),"")&amp;IF(M111!$E$15="Aula 7",(M111!$A$1&amp;" "),"")&amp;IF(M211!$E$15="Aula 7",(M211!$A$1&amp;" "),"")&amp;IF(M311!$E$15="Aula 7",(M311!$A$1&amp;" "),"")&amp;IF(M411!$E$15="Aula 7",(M411!$A$1&amp;" "),""))," ",",")</f>
        <v/>
      </c>
      <c r="I31" s="2">
        <f>SUBSTITUTE(TRIM(IF(D111!$E$15="Aula 8",(D111!$A$1&amp;" "),"")&amp;IF(D211!$E$15="Aula 8",(D211!$A$1&amp;" "),"")&amp;IF(D311!$E$15="Aula 8",(D311!$A$1&amp;" "),"")&amp;IF(D411!$E$15="Aula 8",(D411!$A$1&amp;" "),"")&amp;IF(C111!$E$15="Aula 8",(C111!$A$1&amp;" "),"")&amp;IF(C121!$E$15="Aula 8",(C121!$A$1&amp;" "),"")&amp;IF(C122!$E$15="Aula 8",(C122!$A$1&amp;" "),"")&amp;IF(C211!$E$15="Aula 8",(C211!$A$1&amp;" "),"")&amp;IF(C212!$E$15="Aula 8",(C212!$A$1&amp;" "),"")&amp;IF(C311!$E$15="Aula 8",(C311!$A$1&amp;" "),"")&amp;IF(C312!$E$15="Aula 8",(C312!$A$1&amp;" "),"")&amp;IF(C411!$E$15="Aula 8",(C411!$A$1&amp;" "),"")&amp;IF(C412!$E$15="Aula 8",(C412!$A$1&amp;" "),"")&amp;IF(M111!$E$15="Aula 8",(M111!$A$1&amp;" "),"")&amp;IF(M211!$E$15="Aula 8",(M211!$A$1&amp;" "),"")&amp;IF(M311!$E$15="Aula 8",(M311!$A$1&amp;" "),"")&amp;IF(M411!$E$15="Aula 8",(M411!$A$1&amp;" "),""))," ",",")</f>
        <v/>
      </c>
      <c r="J31" s="2">
        <f>SUBSTITUTE(TRIM(IF(D111!$E$15="Aula 9",(D111!$A$1&amp;" "),"")&amp;IF(D211!$E$15="Aula 9",(D211!$A$1&amp;" "),"")&amp;IF(D311!$E$15="Aula 9",(D311!$A$1&amp;" "),"")&amp;IF(D411!$E$15="Aula 9",(D411!$A$1&amp;" "),"")&amp;IF(C111!$E$15="Aula 9",(C111!$A$1&amp;" "),"")&amp;IF(C121!$E$15="Aula 9",(C121!$A$1&amp;" "),"")&amp;IF(C122!$E$15="Aula 9",(C122!$A$1&amp;" "),"")&amp;IF(C211!$E$15="Aula 9",(C211!$A$1&amp;" "),"")&amp;IF(C212!$E$15="Aula 9",(C212!$A$1&amp;" "),"")&amp;IF(C311!$E$15="Aula 9",(C311!$A$1&amp;" "),"")&amp;IF(C312!$E$15="Aula 9",(C312!$A$1&amp;" "),"")&amp;IF(C411!$E$15="Aula 9",(C411!$A$1&amp;" "),"")&amp;IF(C412!$E$15="Aula 9",(C412!$A$1&amp;" "),"")&amp;IF(M111!$E$15="Aula 9",(M111!$A$1&amp;" "),"")&amp;IF(M211!$E$15="Aula 9",(M211!$A$1&amp;" "),"")&amp;IF(M311!$E$15="Aula 9",(M311!$A$1&amp;" "),"")&amp;IF(M411!$E$15="Aula 9",(M411!$A$1&amp;" "),""))," ",",")</f>
        <v/>
      </c>
      <c r="K31" s="2">
        <f>SUBSTITUTE(TRIM(IF(D111!$E$15="Lab",(D111!$A$1&amp;" "),"")&amp;IF(D211!$E$15="Lab",(D211!$A$1&amp;" "),"")&amp;IF(D311!$E$15="Lab",(D311!$A$1&amp;" "),"")&amp;IF(D411!$E$15="Lab",(D411!$A$1&amp;" "),"")&amp;IF(C111!$E$15="Lab",(C111!$A$1&amp;" "),"")&amp;IF(C121!$E$15="Lab",(C121!$A$1&amp;" "),"")&amp;IF(C122!$E$15="Lab",(C122!$A$1&amp;" "),"")&amp;IF(C211!$E$15="Lab",(C211!$A$1&amp;" "),"")&amp;IF(C212!$E$15="Lab",(C212!$A$1&amp;" "),"")&amp;IF(C311!$E$15="Lab",(C311!$A$1&amp;" "),"")&amp;IF(C312!$E$15="Lab",(C312!$A$1&amp;" "),"")&amp;IF(C411!$E$15="Lab",(C411!$A$1&amp;" "),"")&amp;IF(C412!$E$15="Lab",(C412!$A$1&amp;" "),"")&amp;IF(M111!$E$15="Lab",(M111!$A$1&amp;" "),"")&amp;IF(M211!$E$15="Lab",(M211!$A$1&amp;" "),"")&amp;IF(M311!$E$15="Lab",(M311!$A$1&amp;" "),"")&amp;IF(M411!$E$15="Lab",(M411!$A$1&amp;" "),""))," ",",")</f>
        <v/>
      </c>
      <c r="L31" t="inlineStr"/>
    </row>
    <row r="32">
      <c r="A32" t="inlineStr"/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</row>
    <row r="33">
      <c r="A33" t="inlineStr">
        <is>
          <t>Viernes</t>
        </is>
      </c>
      <c r="B33" t="inlineStr">
        <is>
          <t>Aula 1</t>
        </is>
      </c>
      <c r="C33" t="inlineStr">
        <is>
          <t>Aula 2</t>
        </is>
      </c>
      <c r="D33" t="inlineStr">
        <is>
          <t>Aula 3</t>
        </is>
      </c>
      <c r="E33" t="inlineStr">
        <is>
          <t>Aula 4</t>
        </is>
      </c>
      <c r="F33" t="inlineStr">
        <is>
          <t>Aula 5</t>
        </is>
      </c>
      <c r="G33" t="inlineStr">
        <is>
          <t>Aula 6</t>
        </is>
      </c>
      <c r="H33" t="inlineStr">
        <is>
          <t>Aula 7</t>
        </is>
      </c>
      <c r="I33" t="inlineStr">
        <is>
          <t>Aula 8</t>
        </is>
      </c>
      <c r="J33" t="inlineStr">
        <is>
          <t>Aula 9</t>
        </is>
      </c>
      <c r="K33" t="inlineStr">
        <is>
          <t>Lab</t>
        </is>
      </c>
      <c r="L33" t="inlineStr"/>
    </row>
    <row r="34">
      <c r="A34" s="2" t="inlineStr">
        <is>
          <t>1</t>
        </is>
      </c>
      <c r="B34" s="2">
        <f>SUBSTITUTE(TRIM(IF(D111!$F$5="Aula 1",(D111!$A$1&amp;" "),"")&amp;IF(D211!$F$5="Aula 1",(D211!$A$1&amp;" "),"")&amp;IF(D311!$F$5="Aula 1",(D311!$A$1&amp;" "),"")&amp;IF(D411!$F$5="Aula 1",(D411!$A$1&amp;" "),"")&amp;IF(C111!$F$5="Aula 1",(C111!$A$1&amp;" "),"")&amp;IF(C121!$F$5="Aula 1",(C121!$A$1&amp;" "),"")&amp;IF(C122!$F$5="Aula 1",(C122!$A$1&amp;" "),"")&amp;IF(C211!$F$5="Aula 1",(C211!$A$1&amp;" "),"")&amp;IF(C212!$F$5="Aula 1",(C212!$A$1&amp;" "),"")&amp;IF(C311!$F$5="Aula 1",(C311!$A$1&amp;" "),"")&amp;IF(C312!$F$5="Aula 1",(C312!$A$1&amp;" "),"")&amp;IF(C411!$F$5="Aula 1",(C411!$A$1&amp;" "),"")&amp;IF(C412!$F$5="Aula 1",(C412!$A$1&amp;" "),"")&amp;IF(M111!$F$5="Aula 1",(M111!$A$1&amp;" "),"")&amp;IF(M211!$F$5="Aula 1",(M211!$A$1&amp;" "),"")&amp;IF(M311!$F$5="Aula 1",(M311!$A$1&amp;" "),"")&amp;IF(M411!$F$5="Aula 1",(M411!$A$1&amp;" "),""))," ",",")</f>
        <v/>
      </c>
      <c r="C34" s="2">
        <f>SUBSTITUTE(TRIM(IF(D111!$F$5="Aula 2",(D111!$A$1&amp;" "),"")&amp;IF(D211!$F$5="Aula 2",(D211!$A$1&amp;" "),"")&amp;IF(D311!$F$5="Aula 2",(D311!$A$1&amp;" "),"")&amp;IF(D411!$F$5="Aula 2",(D411!$A$1&amp;" "),"")&amp;IF(C111!$F$5="Aula 2",(C111!$A$1&amp;" "),"")&amp;IF(C121!$F$5="Aula 2",(C121!$A$1&amp;" "),"")&amp;IF(C122!$F$5="Aula 2",(C122!$A$1&amp;" "),"")&amp;IF(C211!$F$5="Aula 2",(C211!$A$1&amp;" "),"")&amp;IF(C212!$F$5="Aula 2",(C212!$A$1&amp;" "),"")&amp;IF(C311!$F$5="Aula 2",(C311!$A$1&amp;" "),"")&amp;IF(C312!$F$5="Aula 2",(C312!$A$1&amp;" "),"")&amp;IF(C411!$F$5="Aula 2",(C411!$A$1&amp;" "),"")&amp;IF(C412!$F$5="Aula 2",(C412!$A$1&amp;" "),"")&amp;IF(M111!$F$5="Aula 2",(M111!$A$1&amp;" "),"")&amp;IF(M211!$F$5="Aula 2",(M211!$A$1&amp;" "),"")&amp;IF(M311!$F$5="Aula 2",(M311!$A$1&amp;" "),"")&amp;IF(M411!$F$5="Aula 2",(M411!$A$1&amp;" "),""))," ",",")</f>
        <v/>
      </c>
      <c r="D34" s="2">
        <f>SUBSTITUTE(TRIM(IF(D111!$F$5="Aula 3",(D111!$A$1&amp;" "),"")&amp;IF(D211!$F$5="Aula 3",(D211!$A$1&amp;" "),"")&amp;IF(D311!$F$5="Aula 3",(D311!$A$1&amp;" "),"")&amp;IF(D411!$F$5="Aula 3",(D411!$A$1&amp;" "),"")&amp;IF(C111!$F$5="Aula 3",(C111!$A$1&amp;" "),"")&amp;IF(C121!$F$5="Aula 3",(C121!$A$1&amp;" "),"")&amp;IF(C122!$F$5="Aula 3",(C122!$A$1&amp;" "),"")&amp;IF(C211!$F$5="Aula 3",(C211!$A$1&amp;" "),"")&amp;IF(C212!$F$5="Aula 3",(C212!$A$1&amp;" "),"")&amp;IF(C311!$F$5="Aula 3",(C311!$A$1&amp;" "),"")&amp;IF(C312!$F$5="Aula 3",(C312!$A$1&amp;" "),"")&amp;IF(C411!$F$5="Aula 3",(C411!$A$1&amp;" "),"")&amp;IF(C412!$F$5="Aula 3",(C412!$A$1&amp;" "),"")&amp;IF(M111!$F$5="Aula 3",(M111!$A$1&amp;" "),"")&amp;IF(M211!$F$5="Aula 3",(M211!$A$1&amp;" "),"")&amp;IF(M311!$F$5="Aula 3",(M311!$A$1&amp;" "),"")&amp;IF(M411!$F$5="Aula 3",(M411!$A$1&amp;" "),""))," ",",")</f>
        <v/>
      </c>
      <c r="E34" s="2">
        <f>SUBSTITUTE(TRIM(IF(D111!$F$5="Aula 4",(D111!$A$1&amp;" "),"")&amp;IF(D211!$F$5="Aula 4",(D211!$A$1&amp;" "),"")&amp;IF(D311!$F$5="Aula 4",(D311!$A$1&amp;" "),"")&amp;IF(D411!$F$5="Aula 4",(D411!$A$1&amp;" "),"")&amp;IF(C111!$F$5="Aula 4",(C111!$A$1&amp;" "),"")&amp;IF(C121!$F$5="Aula 4",(C121!$A$1&amp;" "),"")&amp;IF(C122!$F$5="Aula 4",(C122!$A$1&amp;" "),"")&amp;IF(C211!$F$5="Aula 4",(C211!$A$1&amp;" "),"")&amp;IF(C212!$F$5="Aula 4",(C212!$A$1&amp;" "),"")&amp;IF(C311!$F$5="Aula 4",(C311!$A$1&amp;" "),"")&amp;IF(C312!$F$5="Aula 4",(C312!$A$1&amp;" "),"")&amp;IF(C411!$F$5="Aula 4",(C411!$A$1&amp;" "),"")&amp;IF(C412!$F$5="Aula 4",(C412!$A$1&amp;" "),"")&amp;IF(M111!$F$5="Aula 4",(M111!$A$1&amp;" "),"")&amp;IF(M211!$F$5="Aula 4",(M211!$A$1&amp;" "),"")&amp;IF(M311!$F$5="Aula 4",(M311!$A$1&amp;" "),"")&amp;IF(M411!$F$5="Aula 4",(M411!$A$1&amp;" "),""))," ",",")</f>
        <v/>
      </c>
      <c r="F34" s="2">
        <f>SUBSTITUTE(TRIM(IF(D111!$F$5="Aula 5",(D111!$A$1&amp;" "),"")&amp;IF(D211!$F$5="Aula 5",(D211!$A$1&amp;" "),"")&amp;IF(D311!$F$5="Aula 5",(D311!$A$1&amp;" "),"")&amp;IF(D411!$F$5="Aula 5",(D411!$A$1&amp;" "),"")&amp;IF(C111!$F$5="Aula 5",(C111!$A$1&amp;" "),"")&amp;IF(C121!$F$5="Aula 5",(C121!$A$1&amp;" "),"")&amp;IF(C122!$F$5="Aula 5",(C122!$A$1&amp;" "),"")&amp;IF(C211!$F$5="Aula 5",(C211!$A$1&amp;" "),"")&amp;IF(C212!$F$5="Aula 5",(C212!$A$1&amp;" "),"")&amp;IF(C311!$F$5="Aula 5",(C311!$A$1&amp;" "),"")&amp;IF(C312!$F$5="Aula 5",(C312!$A$1&amp;" "),"")&amp;IF(C411!$F$5="Aula 5",(C411!$A$1&amp;" "),"")&amp;IF(C412!$F$5="Aula 5",(C412!$A$1&amp;" "),"")&amp;IF(M111!$F$5="Aula 5",(M111!$A$1&amp;" "),"")&amp;IF(M211!$F$5="Aula 5",(M211!$A$1&amp;" "),"")&amp;IF(M311!$F$5="Aula 5",(M311!$A$1&amp;" "),"")&amp;IF(M411!$F$5="Aula 5",(M411!$A$1&amp;" "),""))," ",",")</f>
        <v/>
      </c>
      <c r="G34" s="2">
        <f>SUBSTITUTE(TRIM(IF(D111!$F$5="Aula 6",(D111!$A$1&amp;" "),"")&amp;IF(D211!$F$5="Aula 6",(D211!$A$1&amp;" "),"")&amp;IF(D311!$F$5="Aula 6",(D311!$A$1&amp;" "),"")&amp;IF(D411!$F$5="Aula 6",(D411!$A$1&amp;" "),"")&amp;IF(C111!$F$5="Aula 6",(C111!$A$1&amp;" "),"")&amp;IF(C121!$F$5="Aula 6",(C121!$A$1&amp;" "),"")&amp;IF(C122!$F$5="Aula 6",(C122!$A$1&amp;" "),"")&amp;IF(C211!$F$5="Aula 6",(C211!$A$1&amp;" "),"")&amp;IF(C212!$F$5="Aula 6",(C212!$A$1&amp;" "),"")&amp;IF(C311!$F$5="Aula 6",(C311!$A$1&amp;" "),"")&amp;IF(C312!$F$5="Aula 6",(C312!$A$1&amp;" "),"")&amp;IF(C411!$F$5="Aula 6",(C411!$A$1&amp;" "),"")&amp;IF(C412!$F$5="Aula 6",(C412!$A$1&amp;" "),"")&amp;IF(M111!$F$5="Aula 6",(M111!$A$1&amp;" "),"")&amp;IF(M211!$F$5="Aula 6",(M211!$A$1&amp;" "),"")&amp;IF(M311!$F$5="Aula 6",(M311!$A$1&amp;" "),"")&amp;IF(M411!$F$5="Aula 6",(M411!$A$1&amp;" "),""))," ",",")</f>
        <v/>
      </c>
      <c r="H34" s="2">
        <f>SUBSTITUTE(TRIM(IF(D111!$F$5="Aula 7",(D111!$A$1&amp;" "),"")&amp;IF(D211!$F$5="Aula 7",(D211!$A$1&amp;" "),"")&amp;IF(D311!$F$5="Aula 7",(D311!$A$1&amp;" "),"")&amp;IF(D411!$F$5="Aula 7",(D411!$A$1&amp;" "),"")&amp;IF(C111!$F$5="Aula 7",(C111!$A$1&amp;" "),"")&amp;IF(C121!$F$5="Aula 7",(C121!$A$1&amp;" "),"")&amp;IF(C122!$F$5="Aula 7",(C122!$A$1&amp;" "),"")&amp;IF(C211!$F$5="Aula 7",(C211!$A$1&amp;" "),"")&amp;IF(C212!$F$5="Aula 7",(C212!$A$1&amp;" "),"")&amp;IF(C311!$F$5="Aula 7",(C311!$A$1&amp;" "),"")&amp;IF(C312!$F$5="Aula 7",(C312!$A$1&amp;" "),"")&amp;IF(C411!$F$5="Aula 7",(C411!$A$1&amp;" "),"")&amp;IF(C412!$F$5="Aula 7",(C412!$A$1&amp;" "),"")&amp;IF(M111!$F$5="Aula 7",(M111!$A$1&amp;" "),"")&amp;IF(M211!$F$5="Aula 7",(M211!$A$1&amp;" "),"")&amp;IF(M311!$F$5="Aula 7",(M311!$A$1&amp;" "),"")&amp;IF(M411!$F$5="Aula 7",(M411!$A$1&amp;" "),""))," ",",")</f>
        <v/>
      </c>
      <c r="I34" s="2">
        <f>SUBSTITUTE(TRIM(IF(D111!$F$5="Aula 8",(D111!$A$1&amp;" "),"")&amp;IF(D211!$F$5="Aula 8",(D211!$A$1&amp;" "),"")&amp;IF(D311!$F$5="Aula 8",(D311!$A$1&amp;" "),"")&amp;IF(D411!$F$5="Aula 8",(D411!$A$1&amp;" "),"")&amp;IF(C111!$F$5="Aula 8",(C111!$A$1&amp;" "),"")&amp;IF(C121!$F$5="Aula 8",(C121!$A$1&amp;" "),"")&amp;IF(C122!$F$5="Aula 8",(C122!$A$1&amp;" "),"")&amp;IF(C211!$F$5="Aula 8",(C211!$A$1&amp;" "),"")&amp;IF(C212!$F$5="Aula 8",(C212!$A$1&amp;" "),"")&amp;IF(C311!$F$5="Aula 8",(C311!$A$1&amp;" "),"")&amp;IF(C312!$F$5="Aula 8",(C312!$A$1&amp;" "),"")&amp;IF(C411!$F$5="Aula 8",(C411!$A$1&amp;" "),"")&amp;IF(C412!$F$5="Aula 8",(C412!$A$1&amp;" "),"")&amp;IF(M111!$F$5="Aula 8",(M111!$A$1&amp;" "),"")&amp;IF(M211!$F$5="Aula 8",(M211!$A$1&amp;" "),"")&amp;IF(M311!$F$5="Aula 8",(M311!$A$1&amp;" "),"")&amp;IF(M411!$F$5="Aula 8",(M411!$A$1&amp;" "),""))," ",",")</f>
        <v/>
      </c>
      <c r="J34" s="2">
        <f>SUBSTITUTE(TRIM(IF(D111!$F$5="Aula 9",(D111!$A$1&amp;" "),"")&amp;IF(D211!$F$5="Aula 9",(D211!$A$1&amp;" "),"")&amp;IF(D311!$F$5="Aula 9",(D311!$A$1&amp;" "),"")&amp;IF(D411!$F$5="Aula 9",(D411!$A$1&amp;" "),"")&amp;IF(C111!$F$5="Aula 9",(C111!$A$1&amp;" "),"")&amp;IF(C121!$F$5="Aula 9",(C121!$A$1&amp;" "),"")&amp;IF(C122!$F$5="Aula 9",(C122!$A$1&amp;" "),"")&amp;IF(C211!$F$5="Aula 9",(C211!$A$1&amp;" "),"")&amp;IF(C212!$F$5="Aula 9",(C212!$A$1&amp;" "),"")&amp;IF(C311!$F$5="Aula 9",(C311!$A$1&amp;" "),"")&amp;IF(C312!$F$5="Aula 9",(C312!$A$1&amp;" "),"")&amp;IF(C411!$F$5="Aula 9",(C411!$A$1&amp;" "),"")&amp;IF(C412!$F$5="Aula 9",(C412!$A$1&amp;" "),"")&amp;IF(M111!$F$5="Aula 9",(M111!$A$1&amp;" "),"")&amp;IF(M211!$F$5="Aula 9",(M211!$A$1&amp;" "),"")&amp;IF(M311!$F$5="Aula 9",(M311!$A$1&amp;" "),"")&amp;IF(M411!$F$5="Aula 9",(M411!$A$1&amp;" "),""))," ",",")</f>
        <v/>
      </c>
      <c r="K34" s="2">
        <f>SUBSTITUTE(TRIM(IF(D111!$F$5="Lab",(D111!$A$1&amp;" "),"")&amp;IF(D211!$F$5="Lab",(D211!$A$1&amp;" "),"")&amp;IF(D311!$F$5="Lab",(D311!$A$1&amp;" "),"")&amp;IF(D411!$F$5="Lab",(D411!$A$1&amp;" "),"")&amp;IF(C111!$F$5="Lab",(C111!$A$1&amp;" "),"")&amp;IF(C121!$F$5="Lab",(C121!$A$1&amp;" "),"")&amp;IF(C122!$F$5="Lab",(C122!$A$1&amp;" "),"")&amp;IF(C211!$F$5="Lab",(C211!$A$1&amp;" "),"")&amp;IF(C212!$F$5="Lab",(C212!$A$1&amp;" "),"")&amp;IF(C311!$F$5="Lab",(C311!$A$1&amp;" "),"")&amp;IF(C312!$F$5="Lab",(C312!$A$1&amp;" "),"")&amp;IF(C411!$F$5="Lab",(C411!$A$1&amp;" "),"")&amp;IF(C412!$F$5="Lab",(C412!$A$1&amp;" "),"")&amp;IF(M111!$F$5="Lab",(M111!$A$1&amp;" "),"")&amp;IF(M211!$F$5="Lab",(M211!$A$1&amp;" "),"")&amp;IF(M311!$F$5="Lab",(M311!$A$1&amp;" "),"")&amp;IF(M411!$F$5="Lab",(M411!$A$1&amp;" "),""))," ",",")</f>
        <v/>
      </c>
      <c r="L34" t="inlineStr"/>
    </row>
    <row r="35">
      <c r="A35" s="2" t="inlineStr">
        <is>
          <t>2</t>
        </is>
      </c>
      <c r="B35" s="2">
        <f>SUBSTITUTE(TRIM(IF(D111!$F$7="Aula 1",(D111!$A$1&amp;" "),"")&amp;IF(D211!$F$7="Aula 1",(D211!$A$1&amp;" "),"")&amp;IF(D311!$F$7="Aula 1",(D311!$A$1&amp;" "),"")&amp;IF(D411!$F$7="Aula 1",(D411!$A$1&amp;" "),"")&amp;IF(C111!$F$7="Aula 1",(C111!$A$1&amp;" "),"")&amp;IF(C121!$F$7="Aula 1",(C121!$A$1&amp;" "),"")&amp;IF(C122!$F$7="Aula 1",(C122!$A$1&amp;" "),"")&amp;IF(C211!$F$7="Aula 1",(C211!$A$1&amp;" "),"")&amp;IF(C212!$F$7="Aula 1",(C212!$A$1&amp;" "),"")&amp;IF(C311!$F$7="Aula 1",(C311!$A$1&amp;" "),"")&amp;IF(C312!$F$7="Aula 1",(C312!$A$1&amp;" "),"")&amp;IF(C411!$F$7="Aula 1",(C411!$A$1&amp;" "),"")&amp;IF(C412!$F$7="Aula 1",(C412!$A$1&amp;" "),"")&amp;IF(M111!$F$7="Aula 1",(M111!$A$1&amp;" "),"")&amp;IF(M211!$F$7="Aula 1",(M211!$A$1&amp;" "),"")&amp;IF(M311!$F$7="Aula 1",(M311!$A$1&amp;" "),"")&amp;IF(M411!$F$7="Aula 1",(M411!$A$1&amp;" "),""))," ",",")</f>
        <v/>
      </c>
      <c r="C35" s="2">
        <f>SUBSTITUTE(TRIM(IF(D111!$F$7="Aula 2",(D111!$A$1&amp;" "),"")&amp;IF(D211!$F$7="Aula 2",(D211!$A$1&amp;" "),"")&amp;IF(D311!$F$7="Aula 2",(D311!$A$1&amp;" "),"")&amp;IF(D411!$F$7="Aula 2",(D411!$A$1&amp;" "),"")&amp;IF(C111!$F$7="Aula 2",(C111!$A$1&amp;" "),"")&amp;IF(C121!$F$7="Aula 2",(C121!$A$1&amp;" "),"")&amp;IF(C122!$F$7="Aula 2",(C122!$A$1&amp;" "),"")&amp;IF(C211!$F$7="Aula 2",(C211!$A$1&amp;" "),"")&amp;IF(C212!$F$7="Aula 2",(C212!$A$1&amp;" "),"")&amp;IF(C311!$F$7="Aula 2",(C311!$A$1&amp;" "),"")&amp;IF(C312!$F$7="Aula 2",(C312!$A$1&amp;" "),"")&amp;IF(C411!$F$7="Aula 2",(C411!$A$1&amp;" "),"")&amp;IF(C412!$F$7="Aula 2",(C412!$A$1&amp;" "),"")&amp;IF(M111!$F$7="Aula 2",(M111!$A$1&amp;" "),"")&amp;IF(M211!$F$7="Aula 2",(M211!$A$1&amp;" "),"")&amp;IF(M311!$F$7="Aula 2",(M311!$A$1&amp;" "),"")&amp;IF(M411!$F$7="Aula 2",(M411!$A$1&amp;" "),""))," ",",")</f>
        <v/>
      </c>
      <c r="D35" s="2">
        <f>SUBSTITUTE(TRIM(IF(D111!$F$7="Aula 3",(D111!$A$1&amp;" "),"")&amp;IF(D211!$F$7="Aula 3",(D211!$A$1&amp;" "),"")&amp;IF(D311!$F$7="Aula 3",(D311!$A$1&amp;" "),"")&amp;IF(D411!$F$7="Aula 3",(D411!$A$1&amp;" "),"")&amp;IF(C111!$F$7="Aula 3",(C111!$A$1&amp;" "),"")&amp;IF(C121!$F$7="Aula 3",(C121!$A$1&amp;" "),"")&amp;IF(C122!$F$7="Aula 3",(C122!$A$1&amp;" "),"")&amp;IF(C211!$F$7="Aula 3",(C211!$A$1&amp;" "),"")&amp;IF(C212!$F$7="Aula 3",(C212!$A$1&amp;" "),"")&amp;IF(C311!$F$7="Aula 3",(C311!$A$1&amp;" "),"")&amp;IF(C312!$F$7="Aula 3",(C312!$A$1&amp;" "),"")&amp;IF(C411!$F$7="Aula 3",(C411!$A$1&amp;" "),"")&amp;IF(C412!$F$7="Aula 3",(C412!$A$1&amp;" "),"")&amp;IF(M111!$F$7="Aula 3",(M111!$A$1&amp;" "),"")&amp;IF(M211!$F$7="Aula 3",(M211!$A$1&amp;" "),"")&amp;IF(M311!$F$7="Aula 3",(M311!$A$1&amp;" "),"")&amp;IF(M411!$F$7="Aula 3",(M411!$A$1&amp;" "),""))," ",",")</f>
        <v/>
      </c>
      <c r="E35" s="2">
        <f>SUBSTITUTE(TRIM(IF(D111!$F$7="Aula 4",(D111!$A$1&amp;" "),"")&amp;IF(D211!$F$7="Aula 4",(D211!$A$1&amp;" "),"")&amp;IF(D311!$F$7="Aula 4",(D311!$A$1&amp;" "),"")&amp;IF(D411!$F$7="Aula 4",(D411!$A$1&amp;" "),"")&amp;IF(C111!$F$7="Aula 4",(C111!$A$1&amp;" "),"")&amp;IF(C121!$F$7="Aula 4",(C121!$A$1&amp;" "),"")&amp;IF(C122!$F$7="Aula 4",(C122!$A$1&amp;" "),"")&amp;IF(C211!$F$7="Aula 4",(C211!$A$1&amp;" "),"")&amp;IF(C212!$F$7="Aula 4",(C212!$A$1&amp;" "),"")&amp;IF(C311!$F$7="Aula 4",(C311!$A$1&amp;" "),"")&amp;IF(C312!$F$7="Aula 4",(C312!$A$1&amp;" "),"")&amp;IF(C411!$F$7="Aula 4",(C411!$A$1&amp;" "),"")&amp;IF(C412!$F$7="Aula 4",(C412!$A$1&amp;" "),"")&amp;IF(M111!$F$7="Aula 4",(M111!$A$1&amp;" "),"")&amp;IF(M211!$F$7="Aula 4",(M211!$A$1&amp;" "),"")&amp;IF(M311!$F$7="Aula 4",(M311!$A$1&amp;" "),"")&amp;IF(M411!$F$7="Aula 4",(M411!$A$1&amp;" "),""))," ",",")</f>
        <v/>
      </c>
      <c r="F35" s="2">
        <f>SUBSTITUTE(TRIM(IF(D111!$F$7="Aula 5",(D111!$A$1&amp;" "),"")&amp;IF(D211!$F$7="Aula 5",(D211!$A$1&amp;" "),"")&amp;IF(D311!$F$7="Aula 5",(D311!$A$1&amp;" "),"")&amp;IF(D411!$F$7="Aula 5",(D411!$A$1&amp;" "),"")&amp;IF(C111!$F$7="Aula 5",(C111!$A$1&amp;" "),"")&amp;IF(C121!$F$7="Aula 5",(C121!$A$1&amp;" "),"")&amp;IF(C122!$F$7="Aula 5",(C122!$A$1&amp;" "),"")&amp;IF(C211!$F$7="Aula 5",(C211!$A$1&amp;" "),"")&amp;IF(C212!$F$7="Aula 5",(C212!$A$1&amp;" "),"")&amp;IF(C311!$F$7="Aula 5",(C311!$A$1&amp;" "),"")&amp;IF(C312!$F$7="Aula 5",(C312!$A$1&amp;" "),"")&amp;IF(C411!$F$7="Aula 5",(C411!$A$1&amp;" "),"")&amp;IF(C412!$F$7="Aula 5",(C412!$A$1&amp;" "),"")&amp;IF(M111!$F$7="Aula 5",(M111!$A$1&amp;" "),"")&amp;IF(M211!$F$7="Aula 5",(M211!$A$1&amp;" "),"")&amp;IF(M311!$F$7="Aula 5",(M311!$A$1&amp;" "),"")&amp;IF(M411!$F$7="Aula 5",(M411!$A$1&amp;" "),""))," ",",")</f>
        <v/>
      </c>
      <c r="G35" s="2">
        <f>SUBSTITUTE(TRIM(IF(D111!$F$7="Aula 6",(D111!$A$1&amp;" "),"")&amp;IF(D211!$F$7="Aula 6",(D211!$A$1&amp;" "),"")&amp;IF(D311!$F$7="Aula 6",(D311!$A$1&amp;" "),"")&amp;IF(D411!$F$7="Aula 6",(D411!$A$1&amp;" "),"")&amp;IF(C111!$F$7="Aula 6",(C111!$A$1&amp;" "),"")&amp;IF(C121!$F$7="Aula 6",(C121!$A$1&amp;" "),"")&amp;IF(C122!$F$7="Aula 6",(C122!$A$1&amp;" "),"")&amp;IF(C211!$F$7="Aula 6",(C211!$A$1&amp;" "),"")&amp;IF(C212!$F$7="Aula 6",(C212!$A$1&amp;" "),"")&amp;IF(C311!$F$7="Aula 6",(C311!$A$1&amp;" "),"")&amp;IF(C312!$F$7="Aula 6",(C312!$A$1&amp;" "),"")&amp;IF(C411!$F$7="Aula 6",(C411!$A$1&amp;" "),"")&amp;IF(C412!$F$7="Aula 6",(C412!$A$1&amp;" "),"")&amp;IF(M111!$F$7="Aula 6",(M111!$A$1&amp;" "),"")&amp;IF(M211!$F$7="Aula 6",(M211!$A$1&amp;" "),"")&amp;IF(M311!$F$7="Aula 6",(M311!$A$1&amp;" "),"")&amp;IF(M411!$F$7="Aula 6",(M411!$A$1&amp;" "),""))," ",",")</f>
        <v/>
      </c>
      <c r="H35" s="2">
        <f>SUBSTITUTE(TRIM(IF(D111!$F$7="Aula 7",(D111!$A$1&amp;" "),"")&amp;IF(D211!$F$7="Aula 7",(D211!$A$1&amp;" "),"")&amp;IF(D311!$F$7="Aula 7",(D311!$A$1&amp;" "),"")&amp;IF(D411!$F$7="Aula 7",(D411!$A$1&amp;" "),"")&amp;IF(C111!$F$7="Aula 7",(C111!$A$1&amp;" "),"")&amp;IF(C121!$F$7="Aula 7",(C121!$A$1&amp;" "),"")&amp;IF(C122!$F$7="Aula 7",(C122!$A$1&amp;" "),"")&amp;IF(C211!$F$7="Aula 7",(C211!$A$1&amp;" "),"")&amp;IF(C212!$F$7="Aula 7",(C212!$A$1&amp;" "),"")&amp;IF(C311!$F$7="Aula 7",(C311!$A$1&amp;" "),"")&amp;IF(C312!$F$7="Aula 7",(C312!$A$1&amp;" "),"")&amp;IF(C411!$F$7="Aula 7",(C411!$A$1&amp;" "),"")&amp;IF(C412!$F$7="Aula 7",(C412!$A$1&amp;" "),"")&amp;IF(M111!$F$7="Aula 7",(M111!$A$1&amp;" "),"")&amp;IF(M211!$F$7="Aula 7",(M211!$A$1&amp;" "),"")&amp;IF(M311!$F$7="Aula 7",(M311!$A$1&amp;" "),"")&amp;IF(M411!$F$7="Aula 7",(M411!$A$1&amp;" "),""))," ",",")</f>
        <v/>
      </c>
      <c r="I35" s="2">
        <f>SUBSTITUTE(TRIM(IF(D111!$F$7="Aula 8",(D111!$A$1&amp;" "),"")&amp;IF(D211!$F$7="Aula 8",(D211!$A$1&amp;" "),"")&amp;IF(D311!$F$7="Aula 8",(D311!$A$1&amp;" "),"")&amp;IF(D411!$F$7="Aula 8",(D411!$A$1&amp;" "),"")&amp;IF(C111!$F$7="Aula 8",(C111!$A$1&amp;" "),"")&amp;IF(C121!$F$7="Aula 8",(C121!$A$1&amp;" "),"")&amp;IF(C122!$F$7="Aula 8",(C122!$A$1&amp;" "),"")&amp;IF(C211!$F$7="Aula 8",(C211!$A$1&amp;" "),"")&amp;IF(C212!$F$7="Aula 8",(C212!$A$1&amp;" "),"")&amp;IF(C311!$F$7="Aula 8",(C311!$A$1&amp;" "),"")&amp;IF(C312!$F$7="Aula 8",(C312!$A$1&amp;" "),"")&amp;IF(C411!$F$7="Aula 8",(C411!$A$1&amp;" "),"")&amp;IF(C412!$F$7="Aula 8",(C412!$A$1&amp;" "),"")&amp;IF(M111!$F$7="Aula 8",(M111!$A$1&amp;" "),"")&amp;IF(M211!$F$7="Aula 8",(M211!$A$1&amp;" "),"")&amp;IF(M311!$F$7="Aula 8",(M311!$A$1&amp;" "),"")&amp;IF(M411!$F$7="Aula 8",(M411!$A$1&amp;" "),""))," ",",")</f>
        <v/>
      </c>
      <c r="J35" s="2">
        <f>SUBSTITUTE(TRIM(IF(D111!$F$7="Aula 9",(D111!$A$1&amp;" "),"")&amp;IF(D211!$F$7="Aula 9",(D211!$A$1&amp;" "),"")&amp;IF(D311!$F$7="Aula 9",(D311!$A$1&amp;" "),"")&amp;IF(D411!$F$7="Aula 9",(D411!$A$1&amp;" "),"")&amp;IF(C111!$F$7="Aula 9",(C111!$A$1&amp;" "),"")&amp;IF(C121!$F$7="Aula 9",(C121!$A$1&amp;" "),"")&amp;IF(C122!$F$7="Aula 9",(C122!$A$1&amp;" "),"")&amp;IF(C211!$F$7="Aula 9",(C211!$A$1&amp;" "),"")&amp;IF(C212!$F$7="Aula 9",(C212!$A$1&amp;" "),"")&amp;IF(C311!$F$7="Aula 9",(C311!$A$1&amp;" "),"")&amp;IF(C312!$F$7="Aula 9",(C312!$A$1&amp;" "),"")&amp;IF(C411!$F$7="Aula 9",(C411!$A$1&amp;" "),"")&amp;IF(C412!$F$7="Aula 9",(C412!$A$1&amp;" "),"")&amp;IF(M111!$F$7="Aula 9",(M111!$A$1&amp;" "),"")&amp;IF(M211!$F$7="Aula 9",(M211!$A$1&amp;" "),"")&amp;IF(M311!$F$7="Aula 9",(M311!$A$1&amp;" "),"")&amp;IF(M411!$F$7="Aula 9",(M411!$A$1&amp;" "),""))," ",",")</f>
        <v/>
      </c>
      <c r="K35" s="2">
        <f>SUBSTITUTE(TRIM(IF(D111!$F$7="Lab",(D111!$A$1&amp;" "),"")&amp;IF(D211!$F$7="Lab",(D211!$A$1&amp;" "),"")&amp;IF(D311!$F$7="Lab",(D311!$A$1&amp;" "),"")&amp;IF(D411!$F$7="Lab",(D411!$A$1&amp;" "),"")&amp;IF(C111!$F$7="Lab",(C111!$A$1&amp;" "),"")&amp;IF(C121!$F$7="Lab",(C121!$A$1&amp;" "),"")&amp;IF(C122!$F$7="Lab",(C122!$A$1&amp;" "),"")&amp;IF(C211!$F$7="Lab",(C211!$A$1&amp;" "),"")&amp;IF(C212!$F$7="Lab",(C212!$A$1&amp;" "),"")&amp;IF(C311!$F$7="Lab",(C311!$A$1&amp;" "),"")&amp;IF(C312!$F$7="Lab",(C312!$A$1&amp;" "),"")&amp;IF(C411!$F$7="Lab",(C411!$A$1&amp;" "),"")&amp;IF(C412!$F$7="Lab",(C412!$A$1&amp;" "),"")&amp;IF(M111!$F$7="Lab",(M111!$A$1&amp;" "),"")&amp;IF(M211!$F$7="Lab",(M211!$A$1&amp;" "),"")&amp;IF(M311!$F$7="Lab",(M311!$A$1&amp;" "),"")&amp;IF(M411!$F$7="Lab",(M411!$A$1&amp;" "),""))," ",",")</f>
        <v/>
      </c>
      <c r="L35" t="inlineStr"/>
    </row>
    <row r="36">
      <c r="A36" s="2" t="inlineStr">
        <is>
          <t>3</t>
        </is>
      </c>
      <c r="B36" s="2">
        <f>SUBSTITUTE(TRIM(IF(D111!$F$9="Aula 1",(D111!$A$1&amp;" "),"")&amp;IF(D211!$F$9="Aula 1",(D211!$A$1&amp;" "),"")&amp;IF(D311!$F$9="Aula 1",(D311!$A$1&amp;" "),"")&amp;IF(D411!$F$9="Aula 1",(D411!$A$1&amp;" "),"")&amp;IF(C111!$F$9="Aula 1",(C111!$A$1&amp;" "),"")&amp;IF(C121!$F$9="Aula 1",(C121!$A$1&amp;" "),"")&amp;IF(C122!$F$9="Aula 1",(C122!$A$1&amp;" "),"")&amp;IF(C211!$F$9="Aula 1",(C211!$A$1&amp;" "),"")&amp;IF(C212!$F$9="Aula 1",(C212!$A$1&amp;" "),"")&amp;IF(C311!$F$9="Aula 1",(C311!$A$1&amp;" "),"")&amp;IF(C312!$F$9="Aula 1",(C312!$A$1&amp;" "),"")&amp;IF(C411!$F$9="Aula 1",(C411!$A$1&amp;" "),"")&amp;IF(C412!$F$9="Aula 1",(C412!$A$1&amp;" "),"")&amp;IF(M111!$F$9="Aula 1",(M111!$A$1&amp;" "),"")&amp;IF(M211!$F$9="Aula 1",(M211!$A$1&amp;" "),"")&amp;IF(M311!$F$9="Aula 1",(M311!$A$1&amp;" "),"")&amp;IF(M411!$F$9="Aula 1",(M411!$A$1&amp;" "),""))," ",",")</f>
        <v/>
      </c>
      <c r="C36" s="2">
        <f>SUBSTITUTE(TRIM(IF(D111!$F$9="Aula 2",(D111!$A$1&amp;" "),"")&amp;IF(D211!$F$9="Aula 2",(D211!$A$1&amp;" "),"")&amp;IF(D311!$F$9="Aula 2",(D311!$A$1&amp;" "),"")&amp;IF(D411!$F$9="Aula 2",(D411!$A$1&amp;" "),"")&amp;IF(C111!$F$9="Aula 2",(C111!$A$1&amp;" "),"")&amp;IF(C121!$F$9="Aula 2",(C121!$A$1&amp;" "),"")&amp;IF(C122!$F$9="Aula 2",(C122!$A$1&amp;" "),"")&amp;IF(C211!$F$9="Aula 2",(C211!$A$1&amp;" "),"")&amp;IF(C212!$F$9="Aula 2",(C212!$A$1&amp;" "),"")&amp;IF(C311!$F$9="Aula 2",(C311!$A$1&amp;" "),"")&amp;IF(C312!$F$9="Aula 2",(C312!$A$1&amp;" "),"")&amp;IF(C411!$F$9="Aula 2",(C411!$A$1&amp;" "),"")&amp;IF(C412!$F$9="Aula 2",(C412!$A$1&amp;" "),"")&amp;IF(M111!$F$9="Aula 2",(M111!$A$1&amp;" "),"")&amp;IF(M211!$F$9="Aula 2",(M211!$A$1&amp;" "),"")&amp;IF(M311!$F$9="Aula 2",(M311!$A$1&amp;" "),"")&amp;IF(M411!$F$9="Aula 2",(M411!$A$1&amp;" "),""))," ",",")</f>
        <v/>
      </c>
      <c r="D36" s="2">
        <f>SUBSTITUTE(TRIM(IF(D111!$F$9="Aula 3",(D111!$A$1&amp;" "),"")&amp;IF(D211!$F$9="Aula 3",(D211!$A$1&amp;" "),"")&amp;IF(D311!$F$9="Aula 3",(D311!$A$1&amp;" "),"")&amp;IF(D411!$F$9="Aula 3",(D411!$A$1&amp;" "),"")&amp;IF(C111!$F$9="Aula 3",(C111!$A$1&amp;" "),"")&amp;IF(C121!$F$9="Aula 3",(C121!$A$1&amp;" "),"")&amp;IF(C122!$F$9="Aula 3",(C122!$A$1&amp;" "),"")&amp;IF(C211!$F$9="Aula 3",(C211!$A$1&amp;" "),"")&amp;IF(C212!$F$9="Aula 3",(C212!$A$1&amp;" "),"")&amp;IF(C311!$F$9="Aula 3",(C311!$A$1&amp;" "),"")&amp;IF(C312!$F$9="Aula 3",(C312!$A$1&amp;" "),"")&amp;IF(C411!$F$9="Aula 3",(C411!$A$1&amp;" "),"")&amp;IF(C412!$F$9="Aula 3",(C412!$A$1&amp;" "),"")&amp;IF(M111!$F$9="Aula 3",(M111!$A$1&amp;" "),"")&amp;IF(M211!$F$9="Aula 3",(M211!$A$1&amp;" "),"")&amp;IF(M311!$F$9="Aula 3",(M311!$A$1&amp;" "),"")&amp;IF(M411!$F$9="Aula 3",(M411!$A$1&amp;" "),""))," ",",")</f>
        <v/>
      </c>
      <c r="E36" s="2">
        <f>SUBSTITUTE(TRIM(IF(D111!$F$9="Aula 4",(D111!$A$1&amp;" "),"")&amp;IF(D211!$F$9="Aula 4",(D211!$A$1&amp;" "),"")&amp;IF(D311!$F$9="Aula 4",(D311!$A$1&amp;" "),"")&amp;IF(D411!$F$9="Aula 4",(D411!$A$1&amp;" "),"")&amp;IF(C111!$F$9="Aula 4",(C111!$A$1&amp;" "),"")&amp;IF(C121!$F$9="Aula 4",(C121!$A$1&amp;" "),"")&amp;IF(C122!$F$9="Aula 4",(C122!$A$1&amp;" "),"")&amp;IF(C211!$F$9="Aula 4",(C211!$A$1&amp;" "),"")&amp;IF(C212!$F$9="Aula 4",(C212!$A$1&amp;" "),"")&amp;IF(C311!$F$9="Aula 4",(C311!$A$1&amp;" "),"")&amp;IF(C312!$F$9="Aula 4",(C312!$A$1&amp;" "),"")&amp;IF(C411!$F$9="Aula 4",(C411!$A$1&amp;" "),"")&amp;IF(C412!$F$9="Aula 4",(C412!$A$1&amp;" "),"")&amp;IF(M111!$F$9="Aula 4",(M111!$A$1&amp;" "),"")&amp;IF(M211!$F$9="Aula 4",(M211!$A$1&amp;" "),"")&amp;IF(M311!$F$9="Aula 4",(M311!$A$1&amp;" "),"")&amp;IF(M411!$F$9="Aula 4",(M411!$A$1&amp;" "),""))," ",",")</f>
        <v/>
      </c>
      <c r="F36" s="2">
        <f>SUBSTITUTE(TRIM(IF(D111!$F$9="Aula 5",(D111!$A$1&amp;" "),"")&amp;IF(D211!$F$9="Aula 5",(D211!$A$1&amp;" "),"")&amp;IF(D311!$F$9="Aula 5",(D311!$A$1&amp;" "),"")&amp;IF(D411!$F$9="Aula 5",(D411!$A$1&amp;" "),"")&amp;IF(C111!$F$9="Aula 5",(C111!$A$1&amp;" "),"")&amp;IF(C121!$F$9="Aula 5",(C121!$A$1&amp;" "),"")&amp;IF(C122!$F$9="Aula 5",(C122!$A$1&amp;" "),"")&amp;IF(C211!$F$9="Aula 5",(C211!$A$1&amp;" "),"")&amp;IF(C212!$F$9="Aula 5",(C212!$A$1&amp;" "),"")&amp;IF(C311!$F$9="Aula 5",(C311!$A$1&amp;" "),"")&amp;IF(C312!$F$9="Aula 5",(C312!$A$1&amp;" "),"")&amp;IF(C411!$F$9="Aula 5",(C411!$A$1&amp;" "),"")&amp;IF(C412!$F$9="Aula 5",(C412!$A$1&amp;" "),"")&amp;IF(M111!$F$9="Aula 5",(M111!$A$1&amp;" "),"")&amp;IF(M211!$F$9="Aula 5",(M211!$A$1&amp;" "),"")&amp;IF(M311!$F$9="Aula 5",(M311!$A$1&amp;" "),"")&amp;IF(M411!$F$9="Aula 5",(M411!$A$1&amp;" "),""))," ",",")</f>
        <v/>
      </c>
      <c r="G36" s="2">
        <f>SUBSTITUTE(TRIM(IF(D111!$F$9="Aula 6",(D111!$A$1&amp;" "),"")&amp;IF(D211!$F$9="Aula 6",(D211!$A$1&amp;" "),"")&amp;IF(D311!$F$9="Aula 6",(D311!$A$1&amp;" "),"")&amp;IF(D411!$F$9="Aula 6",(D411!$A$1&amp;" "),"")&amp;IF(C111!$F$9="Aula 6",(C111!$A$1&amp;" "),"")&amp;IF(C121!$F$9="Aula 6",(C121!$A$1&amp;" "),"")&amp;IF(C122!$F$9="Aula 6",(C122!$A$1&amp;" "),"")&amp;IF(C211!$F$9="Aula 6",(C211!$A$1&amp;" "),"")&amp;IF(C212!$F$9="Aula 6",(C212!$A$1&amp;" "),"")&amp;IF(C311!$F$9="Aula 6",(C311!$A$1&amp;" "),"")&amp;IF(C312!$F$9="Aula 6",(C312!$A$1&amp;" "),"")&amp;IF(C411!$F$9="Aula 6",(C411!$A$1&amp;" "),"")&amp;IF(C412!$F$9="Aula 6",(C412!$A$1&amp;" "),"")&amp;IF(M111!$F$9="Aula 6",(M111!$A$1&amp;" "),"")&amp;IF(M211!$F$9="Aula 6",(M211!$A$1&amp;" "),"")&amp;IF(M311!$F$9="Aula 6",(M311!$A$1&amp;" "),"")&amp;IF(M411!$F$9="Aula 6",(M411!$A$1&amp;" "),""))," ",",")</f>
        <v/>
      </c>
      <c r="H36" s="2">
        <f>SUBSTITUTE(TRIM(IF(D111!$F$9="Aula 7",(D111!$A$1&amp;" "),"")&amp;IF(D211!$F$9="Aula 7",(D211!$A$1&amp;" "),"")&amp;IF(D311!$F$9="Aula 7",(D311!$A$1&amp;" "),"")&amp;IF(D411!$F$9="Aula 7",(D411!$A$1&amp;" "),"")&amp;IF(C111!$F$9="Aula 7",(C111!$A$1&amp;" "),"")&amp;IF(C121!$F$9="Aula 7",(C121!$A$1&amp;" "),"")&amp;IF(C122!$F$9="Aula 7",(C122!$A$1&amp;" "),"")&amp;IF(C211!$F$9="Aula 7",(C211!$A$1&amp;" "),"")&amp;IF(C212!$F$9="Aula 7",(C212!$A$1&amp;" "),"")&amp;IF(C311!$F$9="Aula 7",(C311!$A$1&amp;" "),"")&amp;IF(C312!$F$9="Aula 7",(C312!$A$1&amp;" "),"")&amp;IF(C411!$F$9="Aula 7",(C411!$A$1&amp;" "),"")&amp;IF(C412!$F$9="Aula 7",(C412!$A$1&amp;" "),"")&amp;IF(M111!$F$9="Aula 7",(M111!$A$1&amp;" "),"")&amp;IF(M211!$F$9="Aula 7",(M211!$A$1&amp;" "),"")&amp;IF(M311!$F$9="Aula 7",(M311!$A$1&amp;" "),"")&amp;IF(M411!$F$9="Aula 7",(M411!$A$1&amp;" "),""))," ",",")</f>
        <v/>
      </c>
      <c r="I36" s="2">
        <f>SUBSTITUTE(TRIM(IF(D111!$F$9="Aula 8",(D111!$A$1&amp;" "),"")&amp;IF(D211!$F$9="Aula 8",(D211!$A$1&amp;" "),"")&amp;IF(D311!$F$9="Aula 8",(D311!$A$1&amp;" "),"")&amp;IF(D411!$F$9="Aula 8",(D411!$A$1&amp;" "),"")&amp;IF(C111!$F$9="Aula 8",(C111!$A$1&amp;" "),"")&amp;IF(C121!$F$9="Aula 8",(C121!$A$1&amp;" "),"")&amp;IF(C122!$F$9="Aula 8",(C122!$A$1&amp;" "),"")&amp;IF(C211!$F$9="Aula 8",(C211!$A$1&amp;" "),"")&amp;IF(C212!$F$9="Aula 8",(C212!$A$1&amp;" "),"")&amp;IF(C311!$F$9="Aula 8",(C311!$A$1&amp;" "),"")&amp;IF(C312!$F$9="Aula 8",(C312!$A$1&amp;" "),"")&amp;IF(C411!$F$9="Aula 8",(C411!$A$1&amp;" "),"")&amp;IF(C412!$F$9="Aula 8",(C412!$A$1&amp;" "),"")&amp;IF(M111!$F$9="Aula 8",(M111!$A$1&amp;" "),"")&amp;IF(M211!$F$9="Aula 8",(M211!$A$1&amp;" "),"")&amp;IF(M311!$F$9="Aula 8",(M311!$A$1&amp;" "),"")&amp;IF(M411!$F$9="Aula 8",(M411!$A$1&amp;" "),""))," ",",")</f>
        <v/>
      </c>
      <c r="J36" s="2">
        <f>SUBSTITUTE(TRIM(IF(D111!$F$9="Aula 9",(D111!$A$1&amp;" "),"")&amp;IF(D211!$F$9="Aula 9",(D211!$A$1&amp;" "),"")&amp;IF(D311!$F$9="Aula 9",(D311!$A$1&amp;" "),"")&amp;IF(D411!$F$9="Aula 9",(D411!$A$1&amp;" "),"")&amp;IF(C111!$F$9="Aula 9",(C111!$A$1&amp;" "),"")&amp;IF(C121!$F$9="Aula 9",(C121!$A$1&amp;" "),"")&amp;IF(C122!$F$9="Aula 9",(C122!$A$1&amp;" "),"")&amp;IF(C211!$F$9="Aula 9",(C211!$A$1&amp;" "),"")&amp;IF(C212!$F$9="Aula 9",(C212!$A$1&amp;" "),"")&amp;IF(C311!$F$9="Aula 9",(C311!$A$1&amp;" "),"")&amp;IF(C312!$F$9="Aula 9",(C312!$A$1&amp;" "),"")&amp;IF(C411!$F$9="Aula 9",(C411!$A$1&amp;" "),"")&amp;IF(C412!$F$9="Aula 9",(C412!$A$1&amp;" "),"")&amp;IF(M111!$F$9="Aula 9",(M111!$A$1&amp;" "),"")&amp;IF(M211!$F$9="Aula 9",(M211!$A$1&amp;" "),"")&amp;IF(M311!$F$9="Aula 9",(M311!$A$1&amp;" "),"")&amp;IF(M411!$F$9="Aula 9",(M411!$A$1&amp;" "),""))," ",",")</f>
        <v/>
      </c>
      <c r="K36" s="2">
        <f>SUBSTITUTE(TRIM(IF(D111!$F$9="Lab",(D111!$A$1&amp;" "),"")&amp;IF(D211!$F$9="Lab",(D211!$A$1&amp;" "),"")&amp;IF(D311!$F$9="Lab",(D311!$A$1&amp;" "),"")&amp;IF(D411!$F$9="Lab",(D411!$A$1&amp;" "),"")&amp;IF(C111!$F$9="Lab",(C111!$A$1&amp;" "),"")&amp;IF(C121!$F$9="Lab",(C121!$A$1&amp;" "),"")&amp;IF(C122!$F$9="Lab",(C122!$A$1&amp;" "),"")&amp;IF(C211!$F$9="Lab",(C211!$A$1&amp;" "),"")&amp;IF(C212!$F$9="Lab",(C212!$A$1&amp;" "),"")&amp;IF(C311!$F$9="Lab",(C311!$A$1&amp;" "),"")&amp;IF(C312!$F$9="Lab",(C312!$A$1&amp;" "),"")&amp;IF(C411!$F$9="Lab",(C411!$A$1&amp;" "),"")&amp;IF(C412!$F$9="Lab",(C412!$A$1&amp;" "),"")&amp;IF(M111!$F$9="Lab",(M111!$A$1&amp;" "),"")&amp;IF(M211!$F$9="Lab",(M211!$A$1&amp;" "),"")&amp;IF(M311!$F$9="Lab",(M311!$A$1&amp;" "),"")&amp;IF(M411!$F$9="Lab",(M411!$A$1&amp;" "),""))," ",",")</f>
        <v/>
      </c>
      <c r="L36" t="inlineStr"/>
    </row>
    <row r="37">
      <c r="A37" s="2" t="inlineStr">
        <is>
          <t>4</t>
        </is>
      </c>
      <c r="B37" s="2">
        <f>SUBSTITUTE(TRIM(IF(D111!$F$11="Aula 1",(D111!$A$1&amp;" "),"")&amp;IF(D211!$F$11="Aula 1",(D211!$A$1&amp;" "),"")&amp;IF(D311!$F$11="Aula 1",(D311!$A$1&amp;" "),"")&amp;IF(D411!$F$11="Aula 1",(D411!$A$1&amp;" "),"")&amp;IF(C111!$F$11="Aula 1",(C111!$A$1&amp;" "),"")&amp;IF(C121!$F$11="Aula 1",(C121!$A$1&amp;" "),"")&amp;IF(C122!$F$11="Aula 1",(C122!$A$1&amp;" "),"")&amp;IF(C211!$F$11="Aula 1",(C211!$A$1&amp;" "),"")&amp;IF(C212!$F$11="Aula 1",(C212!$A$1&amp;" "),"")&amp;IF(C311!$F$11="Aula 1",(C311!$A$1&amp;" "),"")&amp;IF(C312!$F$11="Aula 1",(C312!$A$1&amp;" "),"")&amp;IF(C411!$F$11="Aula 1",(C411!$A$1&amp;" "),"")&amp;IF(C412!$F$11="Aula 1",(C412!$A$1&amp;" "),"")&amp;IF(M111!$F$11="Aula 1",(M111!$A$1&amp;" "),"")&amp;IF(M211!$F$11="Aula 1",(M211!$A$1&amp;" "),"")&amp;IF(M311!$F$11="Aula 1",(M311!$A$1&amp;" "),"")&amp;IF(M411!$F$11="Aula 1",(M411!$A$1&amp;" "),""))," ",",")</f>
        <v/>
      </c>
      <c r="C37" s="2">
        <f>SUBSTITUTE(TRIM(IF(D111!$F$11="Aula 2",(D111!$A$1&amp;" "),"")&amp;IF(D211!$F$11="Aula 2",(D211!$A$1&amp;" "),"")&amp;IF(D311!$F$11="Aula 2",(D311!$A$1&amp;" "),"")&amp;IF(D411!$F$11="Aula 2",(D411!$A$1&amp;" "),"")&amp;IF(C111!$F$11="Aula 2",(C111!$A$1&amp;" "),"")&amp;IF(C121!$F$11="Aula 2",(C121!$A$1&amp;" "),"")&amp;IF(C122!$F$11="Aula 2",(C122!$A$1&amp;" "),"")&amp;IF(C211!$F$11="Aula 2",(C211!$A$1&amp;" "),"")&amp;IF(C212!$F$11="Aula 2",(C212!$A$1&amp;" "),"")&amp;IF(C311!$F$11="Aula 2",(C311!$A$1&amp;" "),"")&amp;IF(C312!$F$11="Aula 2",(C312!$A$1&amp;" "),"")&amp;IF(C411!$F$11="Aula 2",(C411!$A$1&amp;" "),"")&amp;IF(C412!$F$11="Aula 2",(C412!$A$1&amp;" "),"")&amp;IF(M111!$F$11="Aula 2",(M111!$A$1&amp;" "),"")&amp;IF(M211!$F$11="Aula 2",(M211!$A$1&amp;" "),"")&amp;IF(M311!$F$11="Aula 2",(M311!$A$1&amp;" "),"")&amp;IF(M411!$F$11="Aula 2",(M411!$A$1&amp;" "),""))," ",",")</f>
        <v/>
      </c>
      <c r="D37" s="2">
        <f>SUBSTITUTE(TRIM(IF(D111!$F$11="Aula 3",(D111!$A$1&amp;" "),"")&amp;IF(D211!$F$11="Aula 3",(D211!$A$1&amp;" "),"")&amp;IF(D311!$F$11="Aula 3",(D311!$A$1&amp;" "),"")&amp;IF(D411!$F$11="Aula 3",(D411!$A$1&amp;" "),"")&amp;IF(C111!$F$11="Aula 3",(C111!$A$1&amp;" "),"")&amp;IF(C121!$F$11="Aula 3",(C121!$A$1&amp;" "),"")&amp;IF(C122!$F$11="Aula 3",(C122!$A$1&amp;" "),"")&amp;IF(C211!$F$11="Aula 3",(C211!$A$1&amp;" "),"")&amp;IF(C212!$F$11="Aula 3",(C212!$A$1&amp;" "),"")&amp;IF(C311!$F$11="Aula 3",(C311!$A$1&amp;" "),"")&amp;IF(C312!$F$11="Aula 3",(C312!$A$1&amp;" "),"")&amp;IF(C411!$F$11="Aula 3",(C411!$A$1&amp;" "),"")&amp;IF(C412!$F$11="Aula 3",(C412!$A$1&amp;" "),"")&amp;IF(M111!$F$11="Aula 3",(M111!$A$1&amp;" "),"")&amp;IF(M211!$F$11="Aula 3",(M211!$A$1&amp;" "),"")&amp;IF(M311!$F$11="Aula 3",(M311!$A$1&amp;" "),"")&amp;IF(M411!$F$11="Aula 3",(M411!$A$1&amp;" "),""))," ",",")</f>
        <v/>
      </c>
      <c r="E37" s="2">
        <f>SUBSTITUTE(TRIM(IF(D111!$F$11="Aula 4",(D111!$A$1&amp;" "),"")&amp;IF(D211!$F$11="Aula 4",(D211!$A$1&amp;" "),"")&amp;IF(D311!$F$11="Aula 4",(D311!$A$1&amp;" "),"")&amp;IF(D411!$F$11="Aula 4",(D411!$A$1&amp;" "),"")&amp;IF(C111!$F$11="Aula 4",(C111!$A$1&amp;" "),"")&amp;IF(C121!$F$11="Aula 4",(C121!$A$1&amp;" "),"")&amp;IF(C122!$F$11="Aula 4",(C122!$A$1&amp;" "),"")&amp;IF(C211!$F$11="Aula 4",(C211!$A$1&amp;" "),"")&amp;IF(C212!$F$11="Aula 4",(C212!$A$1&amp;" "),"")&amp;IF(C311!$F$11="Aula 4",(C311!$A$1&amp;" "),"")&amp;IF(C312!$F$11="Aula 4",(C312!$A$1&amp;" "),"")&amp;IF(C411!$F$11="Aula 4",(C411!$A$1&amp;" "),"")&amp;IF(C412!$F$11="Aula 4",(C412!$A$1&amp;" "),"")&amp;IF(M111!$F$11="Aula 4",(M111!$A$1&amp;" "),"")&amp;IF(M211!$F$11="Aula 4",(M211!$A$1&amp;" "),"")&amp;IF(M311!$F$11="Aula 4",(M311!$A$1&amp;" "),"")&amp;IF(M411!$F$11="Aula 4",(M411!$A$1&amp;" "),""))," ",",")</f>
        <v/>
      </c>
      <c r="F37" s="2">
        <f>SUBSTITUTE(TRIM(IF(D111!$F$11="Aula 5",(D111!$A$1&amp;" "),"")&amp;IF(D211!$F$11="Aula 5",(D211!$A$1&amp;" "),"")&amp;IF(D311!$F$11="Aula 5",(D311!$A$1&amp;" "),"")&amp;IF(D411!$F$11="Aula 5",(D411!$A$1&amp;" "),"")&amp;IF(C111!$F$11="Aula 5",(C111!$A$1&amp;" "),"")&amp;IF(C121!$F$11="Aula 5",(C121!$A$1&amp;" "),"")&amp;IF(C122!$F$11="Aula 5",(C122!$A$1&amp;" "),"")&amp;IF(C211!$F$11="Aula 5",(C211!$A$1&amp;" "),"")&amp;IF(C212!$F$11="Aula 5",(C212!$A$1&amp;" "),"")&amp;IF(C311!$F$11="Aula 5",(C311!$A$1&amp;" "),"")&amp;IF(C312!$F$11="Aula 5",(C312!$A$1&amp;" "),"")&amp;IF(C411!$F$11="Aula 5",(C411!$A$1&amp;" "),"")&amp;IF(C412!$F$11="Aula 5",(C412!$A$1&amp;" "),"")&amp;IF(M111!$F$11="Aula 5",(M111!$A$1&amp;" "),"")&amp;IF(M211!$F$11="Aula 5",(M211!$A$1&amp;" "),"")&amp;IF(M311!$F$11="Aula 5",(M311!$A$1&amp;" "),"")&amp;IF(M411!$F$11="Aula 5",(M411!$A$1&amp;" "),""))," ",",")</f>
        <v/>
      </c>
      <c r="G37" s="2">
        <f>SUBSTITUTE(TRIM(IF(D111!$F$11="Aula 6",(D111!$A$1&amp;" "),"")&amp;IF(D211!$F$11="Aula 6",(D211!$A$1&amp;" "),"")&amp;IF(D311!$F$11="Aula 6",(D311!$A$1&amp;" "),"")&amp;IF(D411!$F$11="Aula 6",(D411!$A$1&amp;" "),"")&amp;IF(C111!$F$11="Aula 6",(C111!$A$1&amp;" "),"")&amp;IF(C121!$F$11="Aula 6",(C121!$A$1&amp;" "),"")&amp;IF(C122!$F$11="Aula 6",(C122!$A$1&amp;" "),"")&amp;IF(C211!$F$11="Aula 6",(C211!$A$1&amp;" "),"")&amp;IF(C212!$F$11="Aula 6",(C212!$A$1&amp;" "),"")&amp;IF(C311!$F$11="Aula 6",(C311!$A$1&amp;" "),"")&amp;IF(C312!$F$11="Aula 6",(C312!$A$1&amp;" "),"")&amp;IF(C411!$F$11="Aula 6",(C411!$A$1&amp;" "),"")&amp;IF(C412!$F$11="Aula 6",(C412!$A$1&amp;" "),"")&amp;IF(M111!$F$11="Aula 6",(M111!$A$1&amp;" "),"")&amp;IF(M211!$F$11="Aula 6",(M211!$A$1&amp;" "),"")&amp;IF(M311!$F$11="Aula 6",(M311!$A$1&amp;" "),"")&amp;IF(M411!$F$11="Aula 6",(M411!$A$1&amp;" "),""))," ",",")</f>
        <v/>
      </c>
      <c r="H37" s="2">
        <f>SUBSTITUTE(TRIM(IF(D111!$F$11="Aula 7",(D111!$A$1&amp;" "),"")&amp;IF(D211!$F$11="Aula 7",(D211!$A$1&amp;" "),"")&amp;IF(D311!$F$11="Aula 7",(D311!$A$1&amp;" "),"")&amp;IF(D411!$F$11="Aula 7",(D411!$A$1&amp;" "),"")&amp;IF(C111!$F$11="Aula 7",(C111!$A$1&amp;" "),"")&amp;IF(C121!$F$11="Aula 7",(C121!$A$1&amp;" "),"")&amp;IF(C122!$F$11="Aula 7",(C122!$A$1&amp;" "),"")&amp;IF(C211!$F$11="Aula 7",(C211!$A$1&amp;" "),"")&amp;IF(C212!$F$11="Aula 7",(C212!$A$1&amp;" "),"")&amp;IF(C311!$F$11="Aula 7",(C311!$A$1&amp;" "),"")&amp;IF(C312!$F$11="Aula 7",(C312!$A$1&amp;" "),"")&amp;IF(C411!$F$11="Aula 7",(C411!$A$1&amp;" "),"")&amp;IF(C412!$F$11="Aula 7",(C412!$A$1&amp;" "),"")&amp;IF(M111!$F$11="Aula 7",(M111!$A$1&amp;" "),"")&amp;IF(M211!$F$11="Aula 7",(M211!$A$1&amp;" "),"")&amp;IF(M311!$F$11="Aula 7",(M311!$A$1&amp;" "),"")&amp;IF(M411!$F$11="Aula 7",(M411!$A$1&amp;" "),""))," ",",")</f>
        <v/>
      </c>
      <c r="I37" s="2">
        <f>SUBSTITUTE(TRIM(IF(D111!$F$11="Aula 8",(D111!$A$1&amp;" "),"")&amp;IF(D211!$F$11="Aula 8",(D211!$A$1&amp;" "),"")&amp;IF(D311!$F$11="Aula 8",(D311!$A$1&amp;" "),"")&amp;IF(D411!$F$11="Aula 8",(D411!$A$1&amp;" "),"")&amp;IF(C111!$F$11="Aula 8",(C111!$A$1&amp;" "),"")&amp;IF(C121!$F$11="Aula 8",(C121!$A$1&amp;" "),"")&amp;IF(C122!$F$11="Aula 8",(C122!$A$1&amp;" "),"")&amp;IF(C211!$F$11="Aula 8",(C211!$A$1&amp;" "),"")&amp;IF(C212!$F$11="Aula 8",(C212!$A$1&amp;" "),"")&amp;IF(C311!$F$11="Aula 8",(C311!$A$1&amp;" "),"")&amp;IF(C312!$F$11="Aula 8",(C312!$A$1&amp;" "),"")&amp;IF(C411!$F$11="Aula 8",(C411!$A$1&amp;" "),"")&amp;IF(C412!$F$11="Aula 8",(C412!$A$1&amp;" "),"")&amp;IF(M111!$F$11="Aula 8",(M111!$A$1&amp;" "),"")&amp;IF(M211!$F$11="Aula 8",(M211!$A$1&amp;" "),"")&amp;IF(M311!$F$11="Aula 8",(M311!$A$1&amp;" "),"")&amp;IF(M411!$F$11="Aula 8",(M411!$A$1&amp;" "),""))," ",",")</f>
        <v/>
      </c>
      <c r="J37" s="2">
        <f>SUBSTITUTE(TRIM(IF(D111!$F$11="Aula 9",(D111!$A$1&amp;" "),"")&amp;IF(D211!$F$11="Aula 9",(D211!$A$1&amp;" "),"")&amp;IF(D311!$F$11="Aula 9",(D311!$A$1&amp;" "),"")&amp;IF(D411!$F$11="Aula 9",(D411!$A$1&amp;" "),"")&amp;IF(C111!$F$11="Aula 9",(C111!$A$1&amp;" "),"")&amp;IF(C121!$F$11="Aula 9",(C121!$A$1&amp;" "),"")&amp;IF(C122!$F$11="Aula 9",(C122!$A$1&amp;" "),"")&amp;IF(C211!$F$11="Aula 9",(C211!$A$1&amp;" "),"")&amp;IF(C212!$F$11="Aula 9",(C212!$A$1&amp;" "),"")&amp;IF(C311!$F$11="Aula 9",(C311!$A$1&amp;" "),"")&amp;IF(C312!$F$11="Aula 9",(C312!$A$1&amp;" "),"")&amp;IF(C411!$F$11="Aula 9",(C411!$A$1&amp;" "),"")&amp;IF(C412!$F$11="Aula 9",(C412!$A$1&amp;" "),"")&amp;IF(M111!$F$11="Aula 9",(M111!$A$1&amp;" "),"")&amp;IF(M211!$F$11="Aula 9",(M211!$A$1&amp;" "),"")&amp;IF(M311!$F$11="Aula 9",(M311!$A$1&amp;" "),"")&amp;IF(M411!$F$11="Aula 9",(M411!$A$1&amp;" "),""))," ",",")</f>
        <v/>
      </c>
      <c r="K37" s="2">
        <f>SUBSTITUTE(TRIM(IF(D111!$F$11="Lab",(D111!$A$1&amp;" "),"")&amp;IF(D211!$F$11="Lab",(D211!$A$1&amp;" "),"")&amp;IF(D311!$F$11="Lab",(D311!$A$1&amp;" "),"")&amp;IF(D411!$F$11="Lab",(D411!$A$1&amp;" "),"")&amp;IF(C111!$F$11="Lab",(C111!$A$1&amp;" "),"")&amp;IF(C121!$F$11="Lab",(C121!$A$1&amp;" "),"")&amp;IF(C122!$F$11="Lab",(C122!$A$1&amp;" "),"")&amp;IF(C211!$F$11="Lab",(C211!$A$1&amp;" "),"")&amp;IF(C212!$F$11="Lab",(C212!$A$1&amp;" "),"")&amp;IF(C311!$F$11="Lab",(C311!$A$1&amp;" "),"")&amp;IF(C312!$F$11="Lab",(C312!$A$1&amp;" "),"")&amp;IF(C411!$F$11="Lab",(C411!$A$1&amp;" "),"")&amp;IF(C412!$F$11="Lab",(C412!$A$1&amp;" "),"")&amp;IF(M111!$F$11="Lab",(M111!$A$1&amp;" "),"")&amp;IF(M211!$F$11="Lab",(M211!$A$1&amp;" "),"")&amp;IF(M311!$F$11="Lab",(M311!$A$1&amp;" "),"")&amp;IF(M411!$F$11="Lab",(M411!$A$1&amp;" "),""))," ",",")</f>
        <v/>
      </c>
      <c r="L37" t="inlineStr"/>
    </row>
    <row r="38">
      <c r="A38" s="2" t="inlineStr">
        <is>
          <t>5</t>
        </is>
      </c>
      <c r="B38" s="2">
        <f>SUBSTITUTE(TRIM(IF(D111!$F$13="Aula 1",(D111!$A$1&amp;" "),"")&amp;IF(D211!$F$13="Aula 1",(D211!$A$1&amp;" "),"")&amp;IF(D311!$F$13="Aula 1",(D311!$A$1&amp;" "),"")&amp;IF(D411!$F$13="Aula 1",(D411!$A$1&amp;" "),"")&amp;IF(C111!$F$13="Aula 1",(C111!$A$1&amp;" "),"")&amp;IF(C121!$F$13="Aula 1",(C121!$A$1&amp;" "),"")&amp;IF(C122!$F$13="Aula 1",(C122!$A$1&amp;" "),"")&amp;IF(C211!$F$13="Aula 1",(C211!$A$1&amp;" "),"")&amp;IF(C212!$F$13="Aula 1",(C212!$A$1&amp;" "),"")&amp;IF(C311!$F$13="Aula 1",(C311!$A$1&amp;" "),"")&amp;IF(C312!$F$13="Aula 1",(C312!$A$1&amp;" "),"")&amp;IF(C411!$F$13="Aula 1",(C411!$A$1&amp;" "),"")&amp;IF(C412!$F$13="Aula 1",(C412!$A$1&amp;" "),"")&amp;IF(M111!$F$13="Aula 1",(M111!$A$1&amp;" "),"")&amp;IF(M211!$F$13="Aula 1",(M211!$A$1&amp;" "),"")&amp;IF(M311!$F$13="Aula 1",(M311!$A$1&amp;" "),"")&amp;IF(M411!$F$13="Aula 1",(M411!$A$1&amp;" "),""))," ",",")</f>
        <v/>
      </c>
      <c r="C38" s="2">
        <f>SUBSTITUTE(TRIM(IF(D111!$F$13="Aula 2",(D111!$A$1&amp;" "),"")&amp;IF(D211!$F$13="Aula 2",(D211!$A$1&amp;" "),"")&amp;IF(D311!$F$13="Aula 2",(D311!$A$1&amp;" "),"")&amp;IF(D411!$F$13="Aula 2",(D411!$A$1&amp;" "),"")&amp;IF(C111!$F$13="Aula 2",(C111!$A$1&amp;" "),"")&amp;IF(C121!$F$13="Aula 2",(C121!$A$1&amp;" "),"")&amp;IF(C122!$F$13="Aula 2",(C122!$A$1&amp;" "),"")&amp;IF(C211!$F$13="Aula 2",(C211!$A$1&amp;" "),"")&amp;IF(C212!$F$13="Aula 2",(C212!$A$1&amp;" "),"")&amp;IF(C311!$F$13="Aula 2",(C311!$A$1&amp;" "),"")&amp;IF(C312!$F$13="Aula 2",(C312!$A$1&amp;" "),"")&amp;IF(C411!$F$13="Aula 2",(C411!$A$1&amp;" "),"")&amp;IF(C412!$F$13="Aula 2",(C412!$A$1&amp;" "),"")&amp;IF(M111!$F$13="Aula 2",(M111!$A$1&amp;" "),"")&amp;IF(M211!$F$13="Aula 2",(M211!$A$1&amp;" "),"")&amp;IF(M311!$F$13="Aula 2",(M311!$A$1&amp;" "),"")&amp;IF(M411!$F$13="Aula 2",(M411!$A$1&amp;" "),""))," ",",")</f>
        <v/>
      </c>
      <c r="D38" s="2">
        <f>SUBSTITUTE(TRIM(IF(D111!$F$13="Aula 3",(D111!$A$1&amp;" "),"")&amp;IF(D211!$F$13="Aula 3",(D211!$A$1&amp;" "),"")&amp;IF(D311!$F$13="Aula 3",(D311!$A$1&amp;" "),"")&amp;IF(D411!$F$13="Aula 3",(D411!$A$1&amp;" "),"")&amp;IF(C111!$F$13="Aula 3",(C111!$A$1&amp;" "),"")&amp;IF(C121!$F$13="Aula 3",(C121!$A$1&amp;" "),"")&amp;IF(C122!$F$13="Aula 3",(C122!$A$1&amp;" "),"")&amp;IF(C211!$F$13="Aula 3",(C211!$A$1&amp;" "),"")&amp;IF(C212!$F$13="Aula 3",(C212!$A$1&amp;" "),"")&amp;IF(C311!$F$13="Aula 3",(C311!$A$1&amp;" "),"")&amp;IF(C312!$F$13="Aula 3",(C312!$A$1&amp;" "),"")&amp;IF(C411!$F$13="Aula 3",(C411!$A$1&amp;" "),"")&amp;IF(C412!$F$13="Aula 3",(C412!$A$1&amp;" "),"")&amp;IF(M111!$F$13="Aula 3",(M111!$A$1&amp;" "),"")&amp;IF(M211!$F$13="Aula 3",(M211!$A$1&amp;" "),"")&amp;IF(M311!$F$13="Aula 3",(M311!$A$1&amp;" "),"")&amp;IF(M411!$F$13="Aula 3",(M411!$A$1&amp;" "),""))," ",",")</f>
        <v/>
      </c>
      <c r="E38" s="2">
        <f>SUBSTITUTE(TRIM(IF(D111!$F$13="Aula 4",(D111!$A$1&amp;" "),"")&amp;IF(D211!$F$13="Aula 4",(D211!$A$1&amp;" "),"")&amp;IF(D311!$F$13="Aula 4",(D311!$A$1&amp;" "),"")&amp;IF(D411!$F$13="Aula 4",(D411!$A$1&amp;" "),"")&amp;IF(C111!$F$13="Aula 4",(C111!$A$1&amp;" "),"")&amp;IF(C121!$F$13="Aula 4",(C121!$A$1&amp;" "),"")&amp;IF(C122!$F$13="Aula 4",(C122!$A$1&amp;" "),"")&amp;IF(C211!$F$13="Aula 4",(C211!$A$1&amp;" "),"")&amp;IF(C212!$F$13="Aula 4",(C212!$A$1&amp;" "),"")&amp;IF(C311!$F$13="Aula 4",(C311!$A$1&amp;" "),"")&amp;IF(C312!$F$13="Aula 4",(C312!$A$1&amp;" "),"")&amp;IF(C411!$F$13="Aula 4",(C411!$A$1&amp;" "),"")&amp;IF(C412!$F$13="Aula 4",(C412!$A$1&amp;" "),"")&amp;IF(M111!$F$13="Aula 4",(M111!$A$1&amp;" "),"")&amp;IF(M211!$F$13="Aula 4",(M211!$A$1&amp;" "),"")&amp;IF(M311!$F$13="Aula 4",(M311!$A$1&amp;" "),"")&amp;IF(M411!$F$13="Aula 4",(M411!$A$1&amp;" "),""))," ",",")</f>
        <v/>
      </c>
      <c r="F38" s="2">
        <f>SUBSTITUTE(TRIM(IF(D111!$F$13="Aula 5",(D111!$A$1&amp;" "),"")&amp;IF(D211!$F$13="Aula 5",(D211!$A$1&amp;" "),"")&amp;IF(D311!$F$13="Aula 5",(D311!$A$1&amp;" "),"")&amp;IF(D411!$F$13="Aula 5",(D411!$A$1&amp;" "),"")&amp;IF(C111!$F$13="Aula 5",(C111!$A$1&amp;" "),"")&amp;IF(C121!$F$13="Aula 5",(C121!$A$1&amp;" "),"")&amp;IF(C122!$F$13="Aula 5",(C122!$A$1&amp;" "),"")&amp;IF(C211!$F$13="Aula 5",(C211!$A$1&amp;" "),"")&amp;IF(C212!$F$13="Aula 5",(C212!$A$1&amp;" "),"")&amp;IF(C311!$F$13="Aula 5",(C311!$A$1&amp;" "),"")&amp;IF(C312!$F$13="Aula 5",(C312!$A$1&amp;" "),"")&amp;IF(C411!$F$13="Aula 5",(C411!$A$1&amp;" "),"")&amp;IF(C412!$F$13="Aula 5",(C412!$A$1&amp;" "),"")&amp;IF(M111!$F$13="Aula 5",(M111!$A$1&amp;" "),"")&amp;IF(M211!$F$13="Aula 5",(M211!$A$1&amp;" "),"")&amp;IF(M311!$F$13="Aula 5",(M311!$A$1&amp;" "),"")&amp;IF(M411!$F$13="Aula 5",(M411!$A$1&amp;" "),""))," ",",")</f>
        <v/>
      </c>
      <c r="G38" s="2">
        <f>SUBSTITUTE(TRIM(IF(D111!$F$13="Aula 6",(D111!$A$1&amp;" "),"")&amp;IF(D211!$F$13="Aula 6",(D211!$A$1&amp;" "),"")&amp;IF(D311!$F$13="Aula 6",(D311!$A$1&amp;" "),"")&amp;IF(D411!$F$13="Aula 6",(D411!$A$1&amp;" "),"")&amp;IF(C111!$F$13="Aula 6",(C111!$A$1&amp;" "),"")&amp;IF(C121!$F$13="Aula 6",(C121!$A$1&amp;" "),"")&amp;IF(C122!$F$13="Aula 6",(C122!$A$1&amp;" "),"")&amp;IF(C211!$F$13="Aula 6",(C211!$A$1&amp;" "),"")&amp;IF(C212!$F$13="Aula 6",(C212!$A$1&amp;" "),"")&amp;IF(C311!$F$13="Aula 6",(C311!$A$1&amp;" "),"")&amp;IF(C312!$F$13="Aula 6",(C312!$A$1&amp;" "),"")&amp;IF(C411!$F$13="Aula 6",(C411!$A$1&amp;" "),"")&amp;IF(C412!$F$13="Aula 6",(C412!$A$1&amp;" "),"")&amp;IF(M111!$F$13="Aula 6",(M111!$A$1&amp;" "),"")&amp;IF(M211!$F$13="Aula 6",(M211!$A$1&amp;" "),"")&amp;IF(M311!$F$13="Aula 6",(M311!$A$1&amp;" "),"")&amp;IF(M411!$F$13="Aula 6",(M411!$A$1&amp;" "),""))," ",",")</f>
        <v/>
      </c>
      <c r="H38" s="2">
        <f>SUBSTITUTE(TRIM(IF(D111!$F$13="Aula 7",(D111!$A$1&amp;" "),"")&amp;IF(D211!$F$13="Aula 7",(D211!$A$1&amp;" "),"")&amp;IF(D311!$F$13="Aula 7",(D311!$A$1&amp;" "),"")&amp;IF(D411!$F$13="Aula 7",(D411!$A$1&amp;" "),"")&amp;IF(C111!$F$13="Aula 7",(C111!$A$1&amp;" "),"")&amp;IF(C121!$F$13="Aula 7",(C121!$A$1&amp;" "),"")&amp;IF(C122!$F$13="Aula 7",(C122!$A$1&amp;" "),"")&amp;IF(C211!$F$13="Aula 7",(C211!$A$1&amp;" "),"")&amp;IF(C212!$F$13="Aula 7",(C212!$A$1&amp;" "),"")&amp;IF(C311!$F$13="Aula 7",(C311!$A$1&amp;" "),"")&amp;IF(C312!$F$13="Aula 7",(C312!$A$1&amp;" "),"")&amp;IF(C411!$F$13="Aula 7",(C411!$A$1&amp;" "),"")&amp;IF(C412!$F$13="Aula 7",(C412!$A$1&amp;" "),"")&amp;IF(M111!$F$13="Aula 7",(M111!$A$1&amp;" "),"")&amp;IF(M211!$F$13="Aula 7",(M211!$A$1&amp;" "),"")&amp;IF(M311!$F$13="Aula 7",(M311!$A$1&amp;" "),"")&amp;IF(M411!$F$13="Aula 7",(M411!$A$1&amp;" "),""))," ",",")</f>
        <v/>
      </c>
      <c r="I38" s="2">
        <f>SUBSTITUTE(TRIM(IF(D111!$F$13="Aula 8",(D111!$A$1&amp;" "),"")&amp;IF(D211!$F$13="Aula 8",(D211!$A$1&amp;" "),"")&amp;IF(D311!$F$13="Aula 8",(D311!$A$1&amp;" "),"")&amp;IF(D411!$F$13="Aula 8",(D411!$A$1&amp;" "),"")&amp;IF(C111!$F$13="Aula 8",(C111!$A$1&amp;" "),"")&amp;IF(C121!$F$13="Aula 8",(C121!$A$1&amp;" "),"")&amp;IF(C122!$F$13="Aula 8",(C122!$A$1&amp;" "),"")&amp;IF(C211!$F$13="Aula 8",(C211!$A$1&amp;" "),"")&amp;IF(C212!$F$13="Aula 8",(C212!$A$1&amp;" "),"")&amp;IF(C311!$F$13="Aula 8",(C311!$A$1&amp;" "),"")&amp;IF(C312!$F$13="Aula 8",(C312!$A$1&amp;" "),"")&amp;IF(C411!$F$13="Aula 8",(C411!$A$1&amp;" "),"")&amp;IF(C412!$F$13="Aula 8",(C412!$A$1&amp;" "),"")&amp;IF(M111!$F$13="Aula 8",(M111!$A$1&amp;" "),"")&amp;IF(M211!$F$13="Aula 8",(M211!$A$1&amp;" "),"")&amp;IF(M311!$F$13="Aula 8",(M311!$A$1&amp;" "),"")&amp;IF(M411!$F$13="Aula 8",(M411!$A$1&amp;" "),""))," ",",")</f>
        <v/>
      </c>
      <c r="J38" s="2">
        <f>SUBSTITUTE(TRIM(IF(D111!$F$13="Aula 9",(D111!$A$1&amp;" "),"")&amp;IF(D211!$F$13="Aula 9",(D211!$A$1&amp;" "),"")&amp;IF(D311!$F$13="Aula 9",(D311!$A$1&amp;" "),"")&amp;IF(D411!$F$13="Aula 9",(D411!$A$1&amp;" "),"")&amp;IF(C111!$F$13="Aula 9",(C111!$A$1&amp;" "),"")&amp;IF(C121!$F$13="Aula 9",(C121!$A$1&amp;" "),"")&amp;IF(C122!$F$13="Aula 9",(C122!$A$1&amp;" "),"")&amp;IF(C211!$F$13="Aula 9",(C211!$A$1&amp;" "),"")&amp;IF(C212!$F$13="Aula 9",(C212!$A$1&amp;" "),"")&amp;IF(C311!$F$13="Aula 9",(C311!$A$1&amp;" "),"")&amp;IF(C312!$F$13="Aula 9",(C312!$A$1&amp;" "),"")&amp;IF(C411!$F$13="Aula 9",(C411!$A$1&amp;" "),"")&amp;IF(C412!$F$13="Aula 9",(C412!$A$1&amp;" "),"")&amp;IF(M111!$F$13="Aula 9",(M111!$A$1&amp;" "),"")&amp;IF(M211!$F$13="Aula 9",(M211!$A$1&amp;" "),"")&amp;IF(M311!$F$13="Aula 9",(M311!$A$1&amp;" "),"")&amp;IF(M411!$F$13="Aula 9",(M411!$A$1&amp;" "),""))," ",",")</f>
        <v/>
      </c>
      <c r="K38" s="2">
        <f>SUBSTITUTE(TRIM(IF(D111!$F$13="Lab",(D111!$A$1&amp;" "),"")&amp;IF(D211!$F$13="Lab",(D211!$A$1&amp;" "),"")&amp;IF(D311!$F$13="Lab",(D311!$A$1&amp;" "),"")&amp;IF(D411!$F$13="Lab",(D411!$A$1&amp;" "),"")&amp;IF(C111!$F$13="Lab",(C111!$A$1&amp;" "),"")&amp;IF(C121!$F$13="Lab",(C121!$A$1&amp;" "),"")&amp;IF(C122!$F$13="Lab",(C122!$A$1&amp;" "),"")&amp;IF(C211!$F$13="Lab",(C211!$A$1&amp;" "),"")&amp;IF(C212!$F$13="Lab",(C212!$A$1&amp;" "),"")&amp;IF(C311!$F$13="Lab",(C311!$A$1&amp;" "),"")&amp;IF(C312!$F$13="Lab",(C312!$A$1&amp;" "),"")&amp;IF(C411!$F$13="Lab",(C411!$A$1&amp;" "),"")&amp;IF(C412!$F$13="Lab",(C412!$A$1&amp;" "),"")&amp;IF(M111!$F$13="Lab",(M111!$A$1&amp;" "),"")&amp;IF(M211!$F$13="Lab",(M211!$A$1&amp;" "),"")&amp;IF(M311!$F$13="Lab",(M311!$A$1&amp;" "),"")&amp;IF(M411!$F$13="Lab",(M411!$A$1&amp;" "),""))," ",",")</f>
        <v/>
      </c>
      <c r="L38" t="inlineStr"/>
    </row>
    <row r="39">
      <c r="A39" s="2" t="inlineStr">
        <is>
          <t>6</t>
        </is>
      </c>
      <c r="B39" s="2">
        <f>SUBSTITUTE(TRIM(IF(D111!$F$15="Aula 1",(D111!$A$1&amp;" "),"")&amp;IF(D211!$F$15="Aula 1",(D211!$A$1&amp;" "),"")&amp;IF(D311!$F$15="Aula 1",(D311!$A$1&amp;" "),"")&amp;IF(D411!$F$15="Aula 1",(D411!$A$1&amp;" "),"")&amp;IF(C111!$F$15="Aula 1",(C111!$A$1&amp;" "),"")&amp;IF(C121!$F$15="Aula 1",(C121!$A$1&amp;" "),"")&amp;IF(C122!$F$15="Aula 1",(C122!$A$1&amp;" "),"")&amp;IF(C211!$F$15="Aula 1",(C211!$A$1&amp;" "),"")&amp;IF(C212!$F$15="Aula 1",(C212!$A$1&amp;" "),"")&amp;IF(C311!$F$15="Aula 1",(C311!$A$1&amp;" "),"")&amp;IF(C312!$F$15="Aula 1",(C312!$A$1&amp;" "),"")&amp;IF(C411!$F$15="Aula 1",(C411!$A$1&amp;" "),"")&amp;IF(C412!$F$15="Aula 1",(C412!$A$1&amp;" "),"")&amp;IF(M111!$F$15="Aula 1",(M111!$A$1&amp;" "),"")&amp;IF(M211!$F$15="Aula 1",(M211!$A$1&amp;" "),"")&amp;IF(M311!$F$15="Aula 1",(M311!$A$1&amp;" "),"")&amp;IF(M411!$F$15="Aula 1",(M411!$A$1&amp;" "),""))," ",",")</f>
        <v/>
      </c>
      <c r="C39" s="2">
        <f>SUBSTITUTE(TRIM(IF(D111!$F$15="Aula 2",(D111!$A$1&amp;" "),"")&amp;IF(D211!$F$15="Aula 2",(D211!$A$1&amp;" "),"")&amp;IF(D311!$F$15="Aula 2",(D311!$A$1&amp;" "),"")&amp;IF(D411!$F$15="Aula 2",(D411!$A$1&amp;" "),"")&amp;IF(C111!$F$15="Aula 2",(C111!$A$1&amp;" "),"")&amp;IF(C121!$F$15="Aula 2",(C121!$A$1&amp;" "),"")&amp;IF(C122!$F$15="Aula 2",(C122!$A$1&amp;" "),"")&amp;IF(C211!$F$15="Aula 2",(C211!$A$1&amp;" "),"")&amp;IF(C212!$F$15="Aula 2",(C212!$A$1&amp;" "),"")&amp;IF(C311!$F$15="Aula 2",(C311!$A$1&amp;" "),"")&amp;IF(C312!$F$15="Aula 2",(C312!$A$1&amp;" "),"")&amp;IF(C411!$F$15="Aula 2",(C411!$A$1&amp;" "),"")&amp;IF(C412!$F$15="Aula 2",(C412!$A$1&amp;" "),"")&amp;IF(M111!$F$15="Aula 2",(M111!$A$1&amp;" "),"")&amp;IF(M211!$F$15="Aula 2",(M211!$A$1&amp;" "),"")&amp;IF(M311!$F$15="Aula 2",(M311!$A$1&amp;" "),"")&amp;IF(M411!$F$15="Aula 2",(M411!$A$1&amp;" "),""))," ",",")</f>
        <v/>
      </c>
      <c r="D39" s="2">
        <f>SUBSTITUTE(TRIM(IF(D111!$F$15="Aula 3",(D111!$A$1&amp;" "),"")&amp;IF(D211!$F$15="Aula 3",(D211!$A$1&amp;" "),"")&amp;IF(D311!$F$15="Aula 3",(D311!$A$1&amp;" "),"")&amp;IF(D411!$F$15="Aula 3",(D411!$A$1&amp;" "),"")&amp;IF(C111!$F$15="Aula 3",(C111!$A$1&amp;" "),"")&amp;IF(C121!$F$15="Aula 3",(C121!$A$1&amp;" "),"")&amp;IF(C122!$F$15="Aula 3",(C122!$A$1&amp;" "),"")&amp;IF(C211!$F$15="Aula 3",(C211!$A$1&amp;" "),"")&amp;IF(C212!$F$15="Aula 3",(C212!$A$1&amp;" "),"")&amp;IF(C311!$F$15="Aula 3",(C311!$A$1&amp;" "),"")&amp;IF(C312!$F$15="Aula 3",(C312!$A$1&amp;" "),"")&amp;IF(C411!$F$15="Aula 3",(C411!$A$1&amp;" "),"")&amp;IF(C412!$F$15="Aula 3",(C412!$A$1&amp;" "),"")&amp;IF(M111!$F$15="Aula 3",(M111!$A$1&amp;" "),"")&amp;IF(M211!$F$15="Aula 3",(M211!$A$1&amp;" "),"")&amp;IF(M311!$F$15="Aula 3",(M311!$A$1&amp;" "),"")&amp;IF(M411!$F$15="Aula 3",(M411!$A$1&amp;" "),""))," ",",")</f>
        <v/>
      </c>
      <c r="E39" s="2">
        <f>SUBSTITUTE(TRIM(IF(D111!$F$15="Aula 4",(D111!$A$1&amp;" "),"")&amp;IF(D211!$F$15="Aula 4",(D211!$A$1&amp;" "),"")&amp;IF(D311!$F$15="Aula 4",(D311!$A$1&amp;" "),"")&amp;IF(D411!$F$15="Aula 4",(D411!$A$1&amp;" "),"")&amp;IF(C111!$F$15="Aula 4",(C111!$A$1&amp;" "),"")&amp;IF(C121!$F$15="Aula 4",(C121!$A$1&amp;" "),"")&amp;IF(C122!$F$15="Aula 4",(C122!$A$1&amp;" "),"")&amp;IF(C211!$F$15="Aula 4",(C211!$A$1&amp;" "),"")&amp;IF(C212!$F$15="Aula 4",(C212!$A$1&amp;" "),"")&amp;IF(C311!$F$15="Aula 4",(C311!$A$1&amp;" "),"")&amp;IF(C312!$F$15="Aula 4",(C312!$A$1&amp;" "),"")&amp;IF(C411!$F$15="Aula 4",(C411!$A$1&amp;" "),"")&amp;IF(C412!$F$15="Aula 4",(C412!$A$1&amp;" "),"")&amp;IF(M111!$F$15="Aula 4",(M111!$A$1&amp;" "),"")&amp;IF(M211!$F$15="Aula 4",(M211!$A$1&amp;" "),"")&amp;IF(M311!$F$15="Aula 4",(M311!$A$1&amp;" "),"")&amp;IF(M411!$F$15="Aula 4",(M411!$A$1&amp;" "),""))," ",",")</f>
        <v/>
      </c>
      <c r="F39" s="2">
        <f>SUBSTITUTE(TRIM(IF(D111!$F$15="Aula 5",(D111!$A$1&amp;" "),"")&amp;IF(D211!$F$15="Aula 5",(D211!$A$1&amp;" "),"")&amp;IF(D311!$F$15="Aula 5",(D311!$A$1&amp;" "),"")&amp;IF(D411!$F$15="Aula 5",(D411!$A$1&amp;" "),"")&amp;IF(C111!$F$15="Aula 5",(C111!$A$1&amp;" "),"")&amp;IF(C121!$F$15="Aula 5",(C121!$A$1&amp;" "),"")&amp;IF(C122!$F$15="Aula 5",(C122!$A$1&amp;" "),"")&amp;IF(C211!$F$15="Aula 5",(C211!$A$1&amp;" "),"")&amp;IF(C212!$F$15="Aula 5",(C212!$A$1&amp;" "),"")&amp;IF(C311!$F$15="Aula 5",(C311!$A$1&amp;" "),"")&amp;IF(C312!$F$15="Aula 5",(C312!$A$1&amp;" "),"")&amp;IF(C411!$F$15="Aula 5",(C411!$A$1&amp;" "),"")&amp;IF(C412!$F$15="Aula 5",(C412!$A$1&amp;" "),"")&amp;IF(M111!$F$15="Aula 5",(M111!$A$1&amp;" "),"")&amp;IF(M211!$F$15="Aula 5",(M211!$A$1&amp;" "),"")&amp;IF(M311!$F$15="Aula 5",(M311!$A$1&amp;" "),"")&amp;IF(M411!$F$15="Aula 5",(M411!$A$1&amp;" "),""))," ",",")</f>
        <v/>
      </c>
      <c r="G39" s="2">
        <f>SUBSTITUTE(TRIM(IF(D111!$F$15="Aula 6",(D111!$A$1&amp;" "),"")&amp;IF(D211!$F$15="Aula 6",(D211!$A$1&amp;" "),"")&amp;IF(D311!$F$15="Aula 6",(D311!$A$1&amp;" "),"")&amp;IF(D411!$F$15="Aula 6",(D411!$A$1&amp;" "),"")&amp;IF(C111!$F$15="Aula 6",(C111!$A$1&amp;" "),"")&amp;IF(C121!$F$15="Aula 6",(C121!$A$1&amp;" "),"")&amp;IF(C122!$F$15="Aula 6",(C122!$A$1&amp;" "),"")&amp;IF(C211!$F$15="Aula 6",(C211!$A$1&amp;" "),"")&amp;IF(C212!$F$15="Aula 6",(C212!$A$1&amp;" "),"")&amp;IF(C311!$F$15="Aula 6",(C311!$A$1&amp;" "),"")&amp;IF(C312!$F$15="Aula 6",(C312!$A$1&amp;" "),"")&amp;IF(C411!$F$15="Aula 6",(C411!$A$1&amp;" "),"")&amp;IF(C412!$F$15="Aula 6",(C412!$A$1&amp;" "),"")&amp;IF(M111!$F$15="Aula 6",(M111!$A$1&amp;" "),"")&amp;IF(M211!$F$15="Aula 6",(M211!$A$1&amp;" "),"")&amp;IF(M311!$F$15="Aula 6",(M311!$A$1&amp;" "),"")&amp;IF(M411!$F$15="Aula 6",(M411!$A$1&amp;" "),""))," ",",")</f>
        <v/>
      </c>
      <c r="H39" s="2">
        <f>SUBSTITUTE(TRIM(IF(D111!$F$15="Aula 7",(D111!$A$1&amp;" "),"")&amp;IF(D211!$F$15="Aula 7",(D211!$A$1&amp;" "),"")&amp;IF(D311!$F$15="Aula 7",(D311!$A$1&amp;" "),"")&amp;IF(D411!$F$15="Aula 7",(D411!$A$1&amp;" "),"")&amp;IF(C111!$F$15="Aula 7",(C111!$A$1&amp;" "),"")&amp;IF(C121!$F$15="Aula 7",(C121!$A$1&amp;" "),"")&amp;IF(C122!$F$15="Aula 7",(C122!$A$1&amp;" "),"")&amp;IF(C211!$F$15="Aula 7",(C211!$A$1&amp;" "),"")&amp;IF(C212!$F$15="Aula 7",(C212!$A$1&amp;" "),"")&amp;IF(C311!$F$15="Aula 7",(C311!$A$1&amp;" "),"")&amp;IF(C312!$F$15="Aula 7",(C312!$A$1&amp;" "),"")&amp;IF(C411!$F$15="Aula 7",(C411!$A$1&amp;" "),"")&amp;IF(C412!$F$15="Aula 7",(C412!$A$1&amp;" "),"")&amp;IF(M111!$F$15="Aula 7",(M111!$A$1&amp;" "),"")&amp;IF(M211!$F$15="Aula 7",(M211!$A$1&amp;" "),"")&amp;IF(M311!$F$15="Aula 7",(M311!$A$1&amp;" "),"")&amp;IF(M411!$F$15="Aula 7",(M411!$A$1&amp;" "),""))," ",",")</f>
        <v/>
      </c>
      <c r="I39" s="2">
        <f>SUBSTITUTE(TRIM(IF(D111!$F$15="Aula 8",(D111!$A$1&amp;" "),"")&amp;IF(D211!$F$15="Aula 8",(D211!$A$1&amp;" "),"")&amp;IF(D311!$F$15="Aula 8",(D311!$A$1&amp;" "),"")&amp;IF(D411!$F$15="Aula 8",(D411!$A$1&amp;" "),"")&amp;IF(C111!$F$15="Aula 8",(C111!$A$1&amp;" "),"")&amp;IF(C121!$F$15="Aula 8",(C121!$A$1&amp;" "),"")&amp;IF(C122!$F$15="Aula 8",(C122!$A$1&amp;" "),"")&amp;IF(C211!$F$15="Aula 8",(C211!$A$1&amp;" "),"")&amp;IF(C212!$F$15="Aula 8",(C212!$A$1&amp;" "),"")&amp;IF(C311!$F$15="Aula 8",(C311!$A$1&amp;" "),"")&amp;IF(C312!$F$15="Aula 8",(C312!$A$1&amp;" "),"")&amp;IF(C411!$F$15="Aula 8",(C411!$A$1&amp;" "),"")&amp;IF(C412!$F$15="Aula 8",(C412!$A$1&amp;" "),"")&amp;IF(M111!$F$15="Aula 8",(M111!$A$1&amp;" "),"")&amp;IF(M211!$F$15="Aula 8",(M211!$A$1&amp;" "),"")&amp;IF(M311!$F$15="Aula 8",(M311!$A$1&amp;" "),"")&amp;IF(M411!$F$15="Aula 8",(M411!$A$1&amp;" "),""))," ",",")</f>
        <v/>
      </c>
      <c r="J39" s="2">
        <f>SUBSTITUTE(TRIM(IF(D111!$F$15="Aula 9",(D111!$A$1&amp;" "),"")&amp;IF(D211!$F$15="Aula 9",(D211!$A$1&amp;" "),"")&amp;IF(D311!$F$15="Aula 9",(D311!$A$1&amp;" "),"")&amp;IF(D411!$F$15="Aula 9",(D411!$A$1&amp;" "),"")&amp;IF(C111!$F$15="Aula 9",(C111!$A$1&amp;" "),"")&amp;IF(C121!$F$15="Aula 9",(C121!$A$1&amp;" "),"")&amp;IF(C122!$F$15="Aula 9",(C122!$A$1&amp;" "),"")&amp;IF(C211!$F$15="Aula 9",(C211!$A$1&amp;" "),"")&amp;IF(C212!$F$15="Aula 9",(C212!$A$1&amp;" "),"")&amp;IF(C311!$F$15="Aula 9",(C311!$A$1&amp;" "),"")&amp;IF(C312!$F$15="Aula 9",(C312!$A$1&amp;" "),"")&amp;IF(C411!$F$15="Aula 9",(C411!$A$1&amp;" "),"")&amp;IF(C412!$F$15="Aula 9",(C412!$A$1&amp;" "),"")&amp;IF(M111!$F$15="Aula 9",(M111!$A$1&amp;" "),"")&amp;IF(M211!$F$15="Aula 9",(M211!$A$1&amp;" "),"")&amp;IF(M311!$F$15="Aula 9",(M311!$A$1&amp;" "),"")&amp;IF(M411!$F$15="Aula 9",(M411!$A$1&amp;" "),""))," ",",")</f>
        <v/>
      </c>
      <c r="K39" s="2">
        <f>SUBSTITUTE(TRIM(IF(D111!$F$15="Lab",(D111!$A$1&amp;" "),"")&amp;IF(D211!$F$15="Lab",(D211!$A$1&amp;" "),"")&amp;IF(D311!$F$15="Lab",(D311!$A$1&amp;" "),"")&amp;IF(D411!$F$15="Lab",(D411!$A$1&amp;" "),"")&amp;IF(C111!$F$15="Lab",(C111!$A$1&amp;" "),"")&amp;IF(C121!$F$15="Lab",(C121!$A$1&amp;" "),"")&amp;IF(C122!$F$15="Lab",(C122!$A$1&amp;" "),"")&amp;IF(C211!$F$15="Lab",(C211!$A$1&amp;" "),"")&amp;IF(C212!$F$15="Lab",(C212!$A$1&amp;" "),"")&amp;IF(C311!$F$15="Lab",(C311!$A$1&amp;" "),"")&amp;IF(C312!$F$15="Lab",(C312!$A$1&amp;" "),"")&amp;IF(C411!$F$15="Lab",(C411!$A$1&amp;" "),"")&amp;IF(C412!$F$15="Lab",(C412!$A$1&amp;" "),"")&amp;IF(M111!$F$15="Lab",(M111!$A$1&amp;" "),"")&amp;IF(M211!$F$15="Lab",(M211!$A$1&amp;" "),"")&amp;IF(M311!$F$15="Lab",(M311!$A$1&amp;" "),"")&amp;IF(M411!$F$15="Lab",(M411!$A$1&amp;" "),""))," ",",")</f>
        <v/>
      </c>
      <c r="L3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2026-06-04T16:07:57Z</dcterms:created>
  <dcterms:modified xmlns:dcterms="http://purl.org/dc/terms/" xmlns:xsi="http://www.w3.org/2001/XMLSchema-instance" xsi:type="dcterms:W3CDTF">2026-06-04T16:07:57Z</dcterms:modified>
</cp:coreProperties>
</file>