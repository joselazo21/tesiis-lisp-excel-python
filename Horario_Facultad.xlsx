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</border>
    <border>
      <left style="thick">
        <color rgb="FF4F81BD"/>
      </left>
      <right style="thick">
        <color rgb="FF4F81BD"/>
      </right>
      <bottom style="thick">
        <color rgb="FF4F81BD"/>
      </bottom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</cellXfs>
  <cellStyles count="1">
    <cellStyle name="Normal" xfId="0" builtinId="0" hidden="0"/>
  </cellStyles>
  <dxfs count="3">
    <dxf>
      <fill>
        <patternFill patternType="solid">
          <fgColor rgb="FFFF4444"/>
          <bgColor rgb="FFFF4444"/>
        </patternFill>
      </fill>
    </dxf>
    <dxf>
      <fill>
        <patternFill patternType="solid">
          <fgColor rgb="FF44BB44"/>
          <bgColor rgb="FF44BB44"/>
        </patternFill>
      </fill>
    </dxf>
    <dxf>
      <fill>
        <patternFill patternType="solid">
          <fgColor rgb="FF4488FF"/>
          <bgColor rgb="FF448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ICD</t>
        </is>
      </c>
      <c r="D4" s="1" t="inlineStr">
        <is>
          <t>AL</t>
        </is>
      </c>
      <c r="E4" s="1" t="inlineStr">
        <is>
          <t>AM I</t>
        </is>
      </c>
      <c r="F4" s="1" t="inlineStr">
        <is>
          <t>AL</t>
        </is>
      </c>
      <c r="G4" t="inlineStr"/>
      <c r="H4" s="2" t="inlineStr">
        <is>
          <t>AL</t>
        </is>
      </c>
      <c r="I4" s="2" t="inlineStr">
        <is>
          <t>Álgebra Lineal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7</t>
        </is>
      </c>
      <c r="D5" s="3" t="inlineStr">
        <is>
          <t>Aula 7*</t>
        </is>
      </c>
      <c r="E5" s="3" t="inlineStr">
        <is>
          <t>Aula 7*</t>
        </is>
      </c>
      <c r="F5" s="3" t="inlineStr">
        <is>
          <t>Aula 7*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7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AL</t>
        </is>
      </c>
      <c r="D6" s="1" t="inlineStr">
        <is>
          <t>EF</t>
        </is>
      </c>
      <c r="E6" s="1" t="inlineStr">
        <is>
          <t>L</t>
        </is>
      </c>
      <c r="F6" s="1" t="inlineStr"/>
      <c r="G6" t="inlineStr"/>
      <c r="H6" s="2" t="inlineStr">
        <is>
          <t>IP</t>
        </is>
      </c>
      <c r="I6" s="2" t="inlineStr">
        <is>
          <t>Introducción a la Programación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7*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7</t>
        </is>
      </c>
      <c r="F7" s="3" t="inlineStr"/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7*</t>
        </is>
      </c>
      <c r="O7" t="inlineStr"/>
    </row>
    <row r="8">
      <c r="A8" s="1" t="inlineStr">
        <is>
          <t>Turno 3</t>
        </is>
      </c>
      <c r="B8" s="1" t="inlineStr">
        <is>
          <t>IP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IP</t>
        </is>
      </c>
      <c r="F8" s="1" t="inlineStr"/>
      <c r="G8" t="inlineStr"/>
      <c r="H8" s="2" t="inlineStr">
        <is>
          <t>ICD</t>
        </is>
      </c>
      <c r="I8" s="2" t="inlineStr">
        <is>
          <t>Introducción a la Ciencia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7*</t>
        </is>
      </c>
      <c r="O8" t="inlineStr"/>
    </row>
    <row r="9">
      <c r="A9" s="3" t="inlineStr"/>
      <c r="B9" s="3" t="inlineStr">
        <is>
          <t>Aula 7</t>
        </is>
      </c>
      <c r="C9" s="3" t="inlineStr">
        <is>
          <t>Aula 6*</t>
        </is>
      </c>
      <c r="D9" s="3" t="inlineStr">
        <is>
          <t>Aula 7*</t>
        </is>
      </c>
      <c r="E9" s="3" t="inlineStr">
        <is>
          <t>Lab</t>
        </is>
      </c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>
        <f>COUNTA($H$4:$H$9)</f>
        <v/>
      </c>
      <c r="I10" t="inlineStr"/>
      <c r="J10" t="inlineStr"/>
      <c r="K10" t="inlineStr"/>
      <c r="L10" t="inlineStr"/>
      <c r="M10" t="inlineStr"/>
      <c r="N10" s="2" t="inlineStr">
        <is>
          <t>Aula 6*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7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7*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 t="inlineStr"/>
      <c r="I16" t="inlineStr"/>
      <c r="J16" t="inlineStr"/>
      <c r="K16" t="inlineStr"/>
      <c r="L16" t="inlineStr"/>
      <c r="M16" t="inlineStr"/>
      <c r="N16" s="2" t="inlineStr">
        <is>
          <t>Lab</t>
        </is>
      </c>
      <c r="O16" t="inlineStr"/>
    </row>
    <row r="17">
      <c r="F17">
        <f>"Sigma Frec:"</f>
        <v/>
      </c>
      <c r="G17">
        <f>SUM($J$4:$J$9)</f>
        <v/>
      </c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MA</t>
        </is>
      </c>
      <c r="I4" s="2" t="inlineStr">
        <is>
          <t>Matemática y Aplicaciones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7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Prb</t>
        </is>
      </c>
      <c r="I5" s="2" t="inlineStr">
        <is>
          <t>Probabilidades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 7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BD</t>
        </is>
      </c>
      <c r="I6" s="2" t="inlineStr">
        <is>
          <t>Bases de Datos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C211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</t>
        </is>
      </c>
      <c r="I7" s="2" t="inlineStr">
        <is>
          <t>Estructura de Datos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7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VD</t>
        </is>
      </c>
      <c r="I8" s="2" t="inlineStr">
        <is>
          <t>Visualización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 7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EP</t>
        </is>
      </c>
      <c r="I9" s="2" t="inlineStr">
        <is>
          <t>Economía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7</t>
        </is>
      </c>
      <c r="O9" t="inlineStr"/>
    </row>
    <row r="10">
      <c r="A10" s="1" t="inlineStr">
        <is>
          <t>Turno 4</t>
        </is>
      </c>
      <c r="B10" s="1" t="inlineStr">
        <is>
          <t>ED</t>
        </is>
      </c>
      <c r="C10" s="1" t="inlineStr">
        <is>
          <t>BD</t>
        </is>
      </c>
      <c r="D10" s="1" t="inlineStr">
        <is>
          <t>MA (EDO) cp 6 (con</t>
        </is>
      </c>
      <c r="E10" s="1" t="inlineStr">
        <is>
          <t>BD</t>
        </is>
      </c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7</t>
        </is>
      </c>
      <c r="C11" s="3" t="inlineStr">
        <is>
          <t>c 7</t>
        </is>
      </c>
      <c r="D11" s="3" t="inlineStr">
        <is>
          <t>C211</t>
        </is>
      </c>
      <c r="E11" s="3" t="inlineStr">
        <is>
          <t>cp 7</t>
        </is>
      </c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cp 7</t>
        </is>
      </c>
      <c r="O11" t="inlineStr"/>
    </row>
    <row r="12">
      <c r="A12" s="1" t="inlineStr">
        <is>
          <t>Turno 5</t>
        </is>
      </c>
      <c r="B12" s="1" t="inlineStr">
        <is>
          <t>VD</t>
        </is>
      </c>
      <c r="C12" s="1" t="inlineStr">
        <is>
          <t>EP</t>
        </is>
      </c>
      <c r="D12" s="1" t="inlineStr">
        <is>
          <t>EP</t>
        </is>
      </c>
      <c r="E12" s="1" t="inlineStr">
        <is>
          <t>Prb</t>
        </is>
      </c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 7</t>
        </is>
      </c>
      <c r="E13" s="3" t="inlineStr">
        <is>
          <t>cp 7</t>
        </is>
      </c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c 7</t>
        </is>
      </c>
      <c r="O13" t="inlineStr"/>
    </row>
    <row r="14">
      <c r="A14" s="1" t="inlineStr">
        <is>
          <t>Turno 6</t>
        </is>
      </c>
      <c r="B14" s="1" t="inlineStr">
        <is>
          <t>MA</t>
        </is>
      </c>
      <c r="C14" s="1" t="inlineStr">
        <is>
          <t>Prb</t>
        </is>
      </c>
      <c r="D14" s="1" t="inlineStr">
        <is>
          <t>EF 4:45pm a 5:35pm</t>
        </is>
      </c>
      <c r="E14" s="1" t="inlineStr">
        <is>
          <t>ED</t>
        </is>
      </c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cp 7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7</t>
        </is>
      </c>
      <c r="D15" s="3" t="inlineStr"/>
      <c r="E15" s="3" t="inlineStr">
        <is>
          <t>cp 7</t>
        </is>
      </c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AE2</t>
        </is>
      </c>
      <c r="C4" s="1" t="inlineStr">
        <is>
          <t>RN</t>
        </is>
      </c>
      <c r="D4" s="1" t="inlineStr">
        <is>
          <t>TP 4</t>
        </is>
      </c>
      <c r="E4" s="1" t="inlineStr"/>
      <c r="F4" s="1" t="inlineStr"/>
      <c r="G4" t="inlineStr"/>
      <c r="H4" s="2" t="inlineStr">
        <is>
          <t>AE2</t>
        </is>
      </c>
      <c r="I4" s="2" t="inlineStr">
        <is>
          <t>Análisis Estadístico II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2</t>
        </is>
      </c>
      <c r="O4" t="inlineStr"/>
    </row>
    <row r="5">
      <c r="A5" s="3" t="inlineStr"/>
      <c r="B5" s="3" t="inlineStr">
        <is>
          <t>c 2</t>
        </is>
      </c>
      <c r="C5" s="3" t="inlineStr">
        <is>
          <t>c 2</t>
        </is>
      </c>
      <c r="D5" s="3" t="inlineStr"/>
      <c r="E5" s="3" t="inlineStr"/>
      <c r="F5" s="3" t="inlineStr"/>
      <c r="G5" t="inlineStr"/>
      <c r="H5" s="2" t="inlineStr">
        <is>
          <t>MDE</t>
        </is>
      </c>
      <c r="I5" s="2" t="inlineStr">
        <is>
          <t>Muestreo y Diseño de Experimentos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 2</t>
        </is>
      </c>
      <c r="O5" t="inlineStr"/>
    </row>
    <row r="6">
      <c r="A6" s="1" t="inlineStr">
        <is>
          <t>Turno 2</t>
        </is>
      </c>
      <c r="B6" s="1" t="inlineStr">
        <is>
          <t>MDE</t>
        </is>
      </c>
      <c r="C6" s="1" t="inlineStr">
        <is>
          <t>PL</t>
        </is>
      </c>
      <c r="D6" s="1" t="inlineStr">
        <is>
          <t>MDE</t>
        </is>
      </c>
      <c r="E6" s="1" t="inlineStr">
        <is>
          <t>RN</t>
        </is>
      </c>
      <c r="F6" s="1" t="inlineStr"/>
      <c r="G6" t="inlineStr"/>
      <c r="H6" s="2" t="inlineStr">
        <is>
          <t>RN</t>
        </is>
      </c>
      <c r="I6" s="2" t="inlineStr">
        <is>
          <t>Redes Neuronales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 2</t>
        </is>
      </c>
      <c r="O6" t="inlineStr"/>
    </row>
    <row r="7">
      <c r="A7" s="3" t="inlineStr"/>
      <c r="B7" s="3" t="inlineStr">
        <is>
          <t>c 2</t>
        </is>
      </c>
      <c r="C7" s="3" t="inlineStr">
        <is>
          <t>c 2</t>
        </is>
      </c>
      <c r="D7" s="3" t="inlineStr">
        <is>
          <t>cp 2</t>
        </is>
      </c>
      <c r="E7" s="3" t="inlineStr">
        <is>
          <t>cp Lab2</t>
        </is>
      </c>
      <c r="F7" s="3" t="inlineStr"/>
      <c r="G7" t="inlineStr"/>
      <c r="H7" s="2" t="inlineStr">
        <is>
          <t>PL</t>
        </is>
      </c>
      <c r="I7" s="2" t="inlineStr">
        <is>
          <t>Procesamiento del Lenguaje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2</t>
        </is>
      </c>
      <c r="O7" t="inlineStr"/>
    </row>
    <row r="8">
      <c r="A8" s="1" t="inlineStr">
        <is>
          <t>Turno 3</t>
        </is>
      </c>
      <c r="B8" s="1" t="inlineStr">
        <is>
          <t>PGVD</t>
        </is>
      </c>
      <c r="C8" s="1" t="inlineStr">
        <is>
          <t>TP</t>
        </is>
      </c>
      <c r="D8" s="1" t="inlineStr">
        <is>
          <t>AE2</t>
        </is>
      </c>
      <c r="E8" s="1" t="inlineStr">
        <is>
          <t>PGVD</t>
        </is>
      </c>
      <c r="F8" s="1" t="inlineStr"/>
      <c r="G8" t="inlineStr"/>
      <c r="H8" s="2" t="inlineStr">
        <is>
          <t>PGVD</t>
        </is>
      </c>
      <c r="I8" s="2" t="inlineStr">
        <is>
          <t>Procesamiento de Grandes Volúmenes de Datos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cp 2</t>
        </is>
      </c>
      <c r="O8" t="inlineStr"/>
    </row>
    <row r="9">
      <c r="A9" s="3" t="inlineStr"/>
      <c r="B9" s="3" t="inlineStr">
        <is>
          <t>c 2</t>
        </is>
      </c>
      <c r="C9" s="3" t="inlineStr">
        <is>
          <t>c 4</t>
        </is>
      </c>
      <c r="D9" s="3" t="inlineStr">
        <is>
          <t>cp Lab2</t>
        </is>
      </c>
      <c r="E9" s="3" t="inlineStr">
        <is>
          <t>cp 7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cp Lab2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c 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cp Lab2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cp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>
        <is>
          <t>EIA</t>
        </is>
      </c>
      <c r="D4" s="1" t="inlineStr"/>
      <c r="E4" s="1" t="inlineStr">
        <is>
          <t>SN</t>
        </is>
      </c>
      <c r="F4" s="1" t="inlineStr"/>
      <c r="G4" t="inlineStr"/>
      <c r="H4" s="2" t="inlineStr">
        <is>
          <t>IN</t>
        </is>
      </c>
      <c r="I4" s="2" t="inlineStr">
        <is>
          <t>Inteligencia de Negocios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CP 2</t>
        </is>
      </c>
      <c r="O4" t="inlineStr"/>
    </row>
    <row r="5">
      <c r="A5" s="3" t="inlineStr"/>
      <c r="B5" s="3" t="inlineStr">
        <is>
          <t>CP 2</t>
        </is>
      </c>
      <c r="C5" s="3" t="inlineStr">
        <is>
          <t>2</t>
        </is>
      </c>
      <c r="D5" s="3" t="inlineStr">
        <is>
          <t>CP 2</t>
        </is>
      </c>
      <c r="E5" s="3" t="inlineStr">
        <is>
          <t>C4</t>
        </is>
      </c>
      <c r="F5" s="3" t="inlineStr"/>
      <c r="G5" t="inlineStr"/>
      <c r="H5" s="2" t="inlineStr">
        <is>
          <t>EIA</t>
        </is>
      </c>
      <c r="I5" s="2" t="inlineStr">
        <is>
          <t>Elementos de Inteligencia Artificial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2</t>
        </is>
      </c>
      <c r="O5" t="inlineStr"/>
    </row>
    <row r="6">
      <c r="A6" s="1" t="inlineStr">
        <is>
          <t>Turno 2</t>
        </is>
      </c>
      <c r="B6" s="1" t="inlineStr">
        <is>
          <t>IN</t>
        </is>
      </c>
      <c r="C6" s="1" t="inlineStr">
        <is>
          <t>SN</t>
        </is>
      </c>
      <c r="D6" s="1" t="inlineStr">
        <is>
          <t>IN</t>
        </is>
      </c>
      <c r="E6" s="1" t="inlineStr">
        <is>
          <t>SN</t>
        </is>
      </c>
      <c r="F6" s="1" t="inlineStr"/>
      <c r="G6" t="inlineStr"/>
      <c r="H6" s="2" t="inlineStr">
        <is>
          <t>CP</t>
        </is>
      </c>
      <c r="I6" s="2" t="inlineStr">
        <is>
          <t>Ciberseguridad y Privacidad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2</t>
        </is>
      </c>
      <c r="O6" t="inlineStr"/>
    </row>
    <row r="7">
      <c r="A7" s="3" t="inlineStr"/>
      <c r="B7" s="3" t="inlineStr">
        <is>
          <t>2</t>
        </is>
      </c>
      <c r="C7" s="3" t="inlineStr">
        <is>
          <t>C4</t>
        </is>
      </c>
      <c r="D7" s="3" t="inlineStr">
        <is>
          <t>2</t>
        </is>
      </c>
      <c r="E7" s="3" t="inlineStr">
        <is>
          <t>C4</t>
        </is>
      </c>
      <c r="F7" s="3" t="inlineStr"/>
      <c r="G7" t="inlineStr"/>
      <c r="H7" s="2" t="inlineStr">
        <is>
          <t>CO2</t>
        </is>
      </c>
      <c r="I7" s="2" t="inlineStr">
        <is>
          <t>Curso Optativo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C4</t>
        </is>
      </c>
      <c r="O7" t="inlineStr"/>
    </row>
    <row r="8">
      <c r="A8" s="1" t="inlineStr">
        <is>
          <t>Turno 3</t>
        </is>
      </c>
      <c r="B8" s="1" t="inlineStr">
        <is>
          <t>ECTS 9 (con</t>
        </is>
      </c>
      <c r="C8" s="1" t="inlineStr">
        <is>
          <t>CO</t>
        </is>
      </c>
      <c r="D8" s="1" t="inlineStr">
        <is>
          <t>EIA 2</t>
        </is>
      </c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2</t>
        </is>
      </c>
      <c r="O8" t="inlineStr"/>
    </row>
    <row r="9">
      <c r="A9" s="3" t="inlineStr"/>
      <c r="B9" s="3" t="inlineStr">
        <is>
          <t>C4</t>
        </is>
      </c>
      <c r="C9" s="3" t="inlineStr">
        <is>
          <t>2</t>
        </is>
      </c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F</t>
        </is>
      </c>
      <c r="F4" s="1" t="inlineStr"/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6</t>
        </is>
      </c>
      <c r="O4" t="inlineStr"/>
    </row>
    <row r="5">
      <c r="A5" s="3" t="inlineStr"/>
      <c r="B5" s="3" t="inlineStr">
        <is>
          <t>Aula 6</t>
        </is>
      </c>
      <c r="C5" s="3" t="inlineStr">
        <is>
          <t>Aula 6*</t>
        </is>
      </c>
      <c r="D5" s="3" t="inlineStr">
        <is>
          <t>Aula 6*</t>
        </is>
      </c>
      <c r="E5" s="3" t="inlineStr">
        <is>
          <t>Aula 6</t>
        </is>
      </c>
      <c r="F5" s="3" t="inlineStr"/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6*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6*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6*</t>
        </is>
      </c>
      <c r="F7" s="3" t="inlineStr">
        <is>
          <t>Aula 6*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6</t>
        </is>
      </c>
      <c r="O7" t="inlineStr"/>
    </row>
    <row r="8">
      <c r="A8" s="1" t="inlineStr">
        <is>
          <t>Turno 3</t>
        </is>
      </c>
      <c r="B8" s="1" t="inlineStr">
        <is>
          <t>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P</t>
        </is>
      </c>
      <c r="F8" s="1" t="inlineStr">
        <is>
          <t>P</t>
        </is>
      </c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6*</t>
        </is>
      </c>
      <c r="O8" t="inlineStr"/>
    </row>
    <row r="9">
      <c r="A9" s="3" t="inlineStr"/>
      <c r="B9" s="3" t="inlineStr">
        <is>
          <t>Aula 6</t>
        </is>
      </c>
      <c r="C9" s="3" t="inlineStr">
        <is>
          <t>Aula 6*</t>
        </is>
      </c>
      <c r="D9" s="3" t="inlineStr">
        <is>
          <t>Aula 6*</t>
        </is>
      </c>
      <c r="E9" s="3" t="inlineStr">
        <is>
          <t>Aula 6</t>
        </is>
      </c>
      <c r="F9" s="3" t="inlineStr">
        <is>
          <t>Lab</t>
        </is>
      </c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SEDER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Aula 6*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6*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6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6*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s="2" t="inlineStr">
        <is>
          <t>Aula 6</t>
        </is>
      </c>
      <c r="O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s="2" t="inlineStr">
        <is>
          <t>Lab</t>
        </is>
      </c>
      <c r="O17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P</t>
        </is>
      </c>
      <c r="F4" s="1" t="inlineStr">
        <is>
          <t>A I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5</t>
        </is>
      </c>
      <c r="E5" s="3" t="inlineStr">
        <is>
          <t>Aula 5</t>
        </is>
      </c>
      <c r="F5" s="3" t="inlineStr">
        <is>
          <t>Aula 5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P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5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5</t>
        </is>
      </c>
      <c r="F7" s="3" t="inlineStr">
        <is>
          <t>Lab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5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AM I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5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5</t>
        </is>
      </c>
      <c r="D9" s="3" t="inlineStr">
        <is>
          <t>Aula 5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5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Lab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5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s="2" t="inlineStr">
        <is>
          <t>Aula 5</t>
        </is>
      </c>
      <c r="O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s="2" t="inlineStr">
        <is>
          <t>Aula 5</t>
        </is>
      </c>
      <c r="O17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L</t>
        </is>
      </c>
      <c r="F4" s="1" t="inlineStr">
        <is>
          <t>P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1</t>
        </is>
      </c>
      <c r="E5" s="3" t="inlineStr">
        <is>
          <t>Aula 1</t>
        </is>
      </c>
      <c r="F5" s="3" t="inlineStr">
        <is>
          <t>Lab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AM I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Aula 1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1</t>
        </is>
      </c>
      <c r="F7" s="3" t="inlineStr">
        <is>
          <t>Aula 1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1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P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1</t>
        </is>
      </c>
      <c r="D9" s="3" t="inlineStr">
        <is>
          <t>Aula 1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1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1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1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s="2" t="inlineStr">
        <is>
          <t>Aula 1</t>
        </is>
      </c>
      <c r="O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s="2" t="inlineStr">
        <is>
          <t>Aula 5</t>
        </is>
      </c>
      <c r="O17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6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6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</t>
        </is>
      </c>
      <c r="E10" s="1" t="inlineStr">
        <is>
          <t>MN</t>
        </is>
      </c>
      <c r="F10" s="1" t="inlineStr">
        <is>
          <t>AC</t>
        </is>
      </c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6</t>
        </is>
      </c>
      <c r="E11" s="3" t="inlineStr">
        <is>
          <t>cp 6</t>
        </is>
      </c>
      <c r="F11" s="3" t="inlineStr">
        <is>
          <t>lab</t>
        </is>
      </c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cp 6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6</t>
        </is>
      </c>
      <c r="E13" s="3" t="inlineStr">
        <is>
          <t>c 6</t>
        </is>
      </c>
      <c r="F13" s="3" t="inlineStr">
        <is>
          <t>cp 6</t>
        </is>
      </c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cp 6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c 6</t>
        </is>
      </c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cp 5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cp 5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 I</t>
        </is>
      </c>
      <c r="E10" s="1" t="inlineStr">
        <is>
          <t>MN</t>
        </is>
      </c>
      <c r="F10" s="1" t="inlineStr">
        <is>
          <t>AC</t>
        </is>
      </c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5</t>
        </is>
      </c>
      <c r="E11" s="3" t="inlineStr">
        <is>
          <t>cp 5</t>
        </is>
      </c>
      <c r="F11" s="3" t="inlineStr">
        <is>
          <t>lab</t>
        </is>
      </c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cp 5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5</t>
        </is>
      </c>
      <c r="E13" s="3" t="inlineStr">
        <is>
          <t>c 6</t>
        </is>
      </c>
      <c r="F13" s="3" t="inlineStr">
        <is>
          <t>cp 5</t>
        </is>
      </c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cp 5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c 6</t>
        </is>
      </c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MO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9</t>
        </is>
      </c>
      <c r="E5" s="3" t="inlineStr">
        <is>
          <t>Aula 9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PD cp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9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9</t>
        </is>
      </c>
      <c r="E7" s="3" t="inlineStr">
        <is>
          <t>Aula 9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9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9</t>
        </is>
      </c>
      <c r="E9" s="3" t="inlineStr">
        <is>
          <t>Aula 9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9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Aula 9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9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9</t>
        </is>
      </c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PD cp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3</t>
        </is>
      </c>
      <c r="E5" s="3" t="inlineStr">
        <is>
          <t>Aula 3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MO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3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3</t>
        </is>
      </c>
      <c r="E7" s="3" t="inlineStr">
        <is>
          <t>Aula 3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3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3</t>
        </is>
      </c>
      <c r="E9" s="3" t="inlineStr">
        <is>
          <t>Aula 3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3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Aula 3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3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3</t>
        </is>
      </c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9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9</t>
        </is>
      </c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s="3" t="inlineStr"/>
      <c r="B13" s="3" t="inlineStr"/>
      <c r="C13" s="3" t="inlineStr"/>
      <c r="D13" s="3" t="inlineStr">
        <is>
          <t>9</t>
        </is>
      </c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/>
      <c r="C15" s="3" t="inlineStr">
        <is>
          <t>9</t>
        </is>
      </c>
      <c r="D15" s="3" t="inlineStr">
        <is>
          <t>9</t>
        </is>
      </c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1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t="inlineStr"/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s="3" t="inlineStr"/>
      <c r="B13" s="3" t="inlineStr"/>
      <c r="C13" s="3" t="inlineStr"/>
      <c r="D13" s="3" t="inlineStr">
        <is>
          <t>1</t>
        </is>
      </c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/>
      <c r="C15" s="3" t="inlineStr"/>
      <c r="D15" s="3" t="inlineStr">
        <is>
          <t>9</t>
        </is>
      </c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IM</t>
        </is>
      </c>
      <c r="D4" s="1" t="inlineStr">
        <is>
          <t>IAM</t>
        </is>
      </c>
      <c r="E4" s="1" t="inlineStr">
        <is>
          <t>IA</t>
        </is>
      </c>
      <c r="F4" s="1" t="inlineStr">
        <is>
          <t>IA</t>
        </is>
      </c>
      <c r="G4" t="inlineStr"/>
      <c r="H4" s="2" t="inlineStr">
        <is>
          <t>IAM</t>
        </is>
      </c>
      <c r="I4" s="2" t="inlineStr">
        <is>
          <t>Introducción al Análisis Matemático</t>
        </is>
      </c>
      <c r="J4" s="2" t="n">
        <v>3</v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8</t>
        </is>
      </c>
      <c r="D5" s="3" t="inlineStr">
        <is>
          <t>Aula 8</t>
        </is>
      </c>
      <c r="E5" s="3" t="inlineStr">
        <is>
          <t>Aula 8</t>
        </is>
      </c>
      <c r="F5" s="3" t="inlineStr">
        <is>
          <t>Aula 8</t>
        </is>
      </c>
      <c r="G5" t="inlineStr"/>
      <c r="H5" s="2" t="inlineStr">
        <is>
          <t>IA</t>
        </is>
      </c>
      <c r="I5" s="2" t="inlineStr">
        <is>
          <t>Introducción al Álgebra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Aula 8</t>
        </is>
      </c>
      <c r="O5" t="inlineStr"/>
    </row>
    <row r="6">
      <c r="A6" s="1" t="inlineStr">
        <is>
          <t>Turno 2</t>
        </is>
      </c>
      <c r="B6" s="1" t="inlineStr">
        <is>
          <t>PA</t>
        </is>
      </c>
      <c r="C6" s="1" t="inlineStr">
        <is>
          <t>IAM</t>
        </is>
      </c>
      <c r="D6" s="1" t="inlineStr">
        <is>
          <t>EF</t>
        </is>
      </c>
      <c r="E6" s="1" t="inlineStr">
        <is>
          <t>PA Aula</t>
        </is>
      </c>
      <c r="F6" s="1" t="inlineStr">
        <is>
          <t>IAM</t>
        </is>
      </c>
      <c r="G6" t="inlineStr"/>
      <c r="H6" s="2" t="inlineStr">
        <is>
          <t>GA</t>
        </is>
      </c>
      <c r="I6" s="2" t="inlineStr">
        <is>
          <t>Geometría Analítica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Aula 8</t>
        </is>
      </c>
      <c r="O6" t="inlineStr"/>
    </row>
    <row r="7">
      <c r="A7" s="3" t="inlineStr"/>
      <c r="B7" s="3" t="inlineStr">
        <is>
          <t>Aula 8</t>
        </is>
      </c>
      <c r="C7" s="3" t="inlineStr">
        <is>
          <t>Aula 8</t>
        </is>
      </c>
      <c r="D7" s="3" t="inlineStr">
        <is>
          <t>SEDER</t>
        </is>
      </c>
      <c r="E7" s="3" t="inlineStr">
        <is>
          <t>Lab</t>
        </is>
      </c>
      <c r="F7" s="3" t="inlineStr">
        <is>
          <t>Aula 8</t>
        </is>
      </c>
      <c r="G7" t="inlineStr"/>
      <c r="H7" s="2" t="inlineStr">
        <is>
          <t>PA</t>
        </is>
      </c>
      <c r="I7" s="2" t="inlineStr">
        <is>
          <t>Programación y Algoritmos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Aula 8</t>
        </is>
      </c>
      <c r="O7" t="inlineStr"/>
    </row>
    <row r="8">
      <c r="A8" s="1" t="inlineStr">
        <is>
          <t>Turno 3</t>
        </is>
      </c>
      <c r="B8" s="1" t="inlineStr">
        <is>
          <t>GA</t>
        </is>
      </c>
      <c r="C8" s="1" t="inlineStr">
        <is>
          <t>GA</t>
        </is>
      </c>
      <c r="D8" s="1" t="inlineStr">
        <is>
          <t>IA</t>
        </is>
      </c>
      <c r="E8" s="1" t="inlineStr">
        <is>
          <t>GA 8</t>
        </is>
      </c>
      <c r="F8" s="1" t="inlineStr"/>
      <c r="G8" t="inlineStr"/>
      <c r="H8" s="2" t="inlineStr">
        <is>
          <t>IM</t>
        </is>
      </c>
      <c r="I8" s="2" t="inlineStr">
        <is>
          <t>Introducción a la Matemática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8</t>
        </is>
      </c>
      <c r="O8" t="inlineStr"/>
    </row>
    <row r="9">
      <c r="A9" s="3" t="inlineStr"/>
      <c r="B9" s="3" t="inlineStr">
        <is>
          <t>Aula 8</t>
        </is>
      </c>
      <c r="C9" s="3" t="inlineStr">
        <is>
          <t>Aula 8</t>
        </is>
      </c>
      <c r="D9" s="3" t="inlineStr">
        <is>
          <t>Aula 8</t>
        </is>
      </c>
      <c r="E9" s="3" t="inlineStr"/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8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8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Lab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8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8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8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s="2" t="inlineStr">
        <is>
          <t>Aula 8</t>
        </is>
      </c>
      <c r="O16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FVV</t>
        </is>
      </c>
      <c r="I4" s="2" t="inlineStr">
        <is>
          <t>Funciones de Varias Variables</t>
        </is>
      </c>
      <c r="J4" s="2" t="n">
        <v>4</v>
      </c>
      <c r="K4" s="2">
        <f>(J4-L4)</f>
        <v/>
      </c>
      <c r="L4" s="2">
        <f>COUNTIF($B$4:$F$15,H4)</f>
        <v/>
      </c>
      <c r="M4" t="inlineStr"/>
      <c r="N4" s="2" t="inlineStr">
        <is>
          <t>c 3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CAL</t>
        </is>
      </c>
      <c r="I5" s="2" t="inlineStr">
        <is>
          <t>Complementos de Álgebra Lineal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c 3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SP2</t>
        </is>
      </c>
      <c r="I6" s="2" t="inlineStr">
        <is>
          <t>Seminario de Problemas II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c 3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 I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3</t>
        </is>
      </c>
      <c r="O7" t="inlineStr"/>
    </row>
    <row r="8">
      <c r="A8" s="1" t="inlineStr">
        <is>
          <t>Turno 3</t>
        </is>
      </c>
      <c r="B8" s="1" t="inlineStr">
        <is>
          <t>CAL</t>
        </is>
      </c>
      <c r="C8" s="1" t="inlineStr">
        <is>
          <t>CAL</t>
        </is>
      </c>
      <c r="D8" s="1" t="inlineStr"/>
      <c r="E8" s="1" t="inlineStr"/>
      <c r="F8" s="1" t="inlineStr"/>
      <c r="G8" t="inlineStr"/>
      <c r="H8" s="2" t="inlineStr">
        <is>
          <t>EP</t>
        </is>
      </c>
      <c r="I8" s="2" t="inlineStr">
        <is>
          <t>Economía Política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cp 3</t>
        </is>
      </c>
      <c r="O8" t="inlineStr"/>
    </row>
    <row r="9">
      <c r="A9" s="3" t="inlineStr"/>
      <c r="B9" s="3" t="inlineStr">
        <is>
          <t>c 3</t>
        </is>
      </c>
      <c r="C9" s="3" t="inlineStr">
        <is>
          <t>c 3</t>
        </is>
      </c>
      <c r="D9" s="3" t="inlineStr"/>
      <c r="E9" s="3" t="inlineStr"/>
      <c r="F9" s="3" t="inlineStr"/>
      <c r="G9" t="inlineStr"/>
      <c r="H9" s="2" t="inlineStr">
        <is>
          <t>EF</t>
        </is>
      </c>
      <c r="I9" s="2" t="inlineStr">
        <is>
          <t>Educación Física III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cp 3</t>
        </is>
      </c>
      <c r="O9" t="inlineStr"/>
    </row>
    <row r="10">
      <c r="A10" s="1" t="inlineStr">
        <is>
          <t>Turno 4</t>
        </is>
      </c>
      <c r="B10" s="1" t="inlineStr">
        <is>
          <t>FVV</t>
        </is>
      </c>
      <c r="C10" s="1" t="inlineStr">
        <is>
          <t>FVV</t>
        </is>
      </c>
      <c r="D10" s="1" t="inlineStr">
        <is>
          <t>FVV</t>
        </is>
      </c>
      <c r="E10" s="1" t="inlineStr">
        <is>
          <t>CAL</t>
        </is>
      </c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3</t>
        </is>
      </c>
      <c r="C11" s="3" t="inlineStr">
        <is>
          <t>c 3</t>
        </is>
      </c>
      <c r="D11" s="3" t="inlineStr">
        <is>
          <t>cp 3</t>
        </is>
      </c>
      <c r="E11" s="3" t="inlineStr">
        <is>
          <t>cp 3</t>
        </is>
      </c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c 7</t>
        </is>
      </c>
      <c r="O11" t="inlineStr"/>
    </row>
    <row r="12">
      <c r="A12" s="1" t="inlineStr">
        <is>
          <t>Turno 5</t>
        </is>
      </c>
      <c r="B12" s="1" t="inlineStr">
        <is>
          <t>EP</t>
        </is>
      </c>
      <c r="C12" s="1" t="inlineStr">
        <is>
          <t>EP</t>
        </is>
      </c>
      <c r="D12" s="1" t="inlineStr">
        <is>
          <t>FVV</t>
        </is>
      </c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cp 3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cp 3</t>
        </is>
      </c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>
        <is>
          <t>EF 4:45pm a 5:35pm</t>
        </is>
      </c>
      <c r="C14" s="1" t="inlineStr">
        <is>
          <t>SP</t>
        </is>
      </c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/>
      <c r="C15" s="3" t="inlineStr">
        <is>
          <t>2</t>
        </is>
      </c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MN</t>
        </is>
      </c>
      <c r="C4" s="1" t="inlineStr">
        <is>
          <t>EDO</t>
        </is>
      </c>
      <c r="D4" s="1" t="inlineStr">
        <is>
          <t>MN</t>
        </is>
      </c>
      <c r="E4" s="1" t="inlineStr">
        <is>
          <t>FV</t>
        </is>
      </c>
      <c r="F4" s="1" t="inlineStr">
        <is>
          <t>FVC</t>
        </is>
      </c>
      <c r="G4" t="inlineStr"/>
      <c r="H4" s="2" t="inlineStr">
        <is>
          <t>FVC</t>
        </is>
      </c>
      <c r="I4" s="2" t="inlineStr">
        <is>
          <t>Funciones de variable Compleja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Aula 4</t>
        </is>
      </c>
      <c r="O4" t="inlineStr"/>
    </row>
    <row r="5">
      <c r="A5" s="3" t="inlineStr"/>
      <c r="B5" s="3" t="inlineStr">
        <is>
          <t>Aula 4</t>
        </is>
      </c>
      <c r="C5" s="3" t="inlineStr">
        <is>
          <t>Aula 4</t>
        </is>
      </c>
      <c r="D5" s="3" t="inlineStr">
        <is>
          <t>4</t>
        </is>
      </c>
      <c r="E5" s="3" t="inlineStr">
        <is>
          <t>C 4</t>
        </is>
      </c>
      <c r="F5" s="3" t="inlineStr">
        <is>
          <t>Aula 4</t>
        </is>
      </c>
      <c r="G5" t="inlineStr"/>
      <c r="H5" s="2" t="inlineStr">
        <is>
          <t>IE</t>
        </is>
      </c>
      <c r="I5" s="2" t="inlineStr">
        <is>
          <t>Inferencia Estadística</t>
        </is>
      </c>
      <c r="J5" s="2" t="n">
        <v>3</v>
      </c>
      <c r="K5" s="2">
        <f>(J5-L5)</f>
        <v/>
      </c>
      <c r="L5" s="2">
        <f>COUNTIF($B$4:$F$15,H5)</f>
        <v/>
      </c>
      <c r="M5" t="inlineStr"/>
      <c r="N5" s="2" t="inlineStr">
        <is>
          <t>Aula 4</t>
        </is>
      </c>
      <c r="O5" t="inlineStr"/>
    </row>
    <row r="6">
      <c r="A6" s="1" t="inlineStr">
        <is>
          <t>Turno 2</t>
        </is>
      </c>
      <c r="B6" s="1" t="inlineStr">
        <is>
          <t>FVC</t>
        </is>
      </c>
      <c r="C6" s="1" t="inlineStr">
        <is>
          <t>OM</t>
        </is>
      </c>
      <c r="D6" s="1" t="inlineStr">
        <is>
          <t>EDO</t>
        </is>
      </c>
      <c r="E6" s="1" t="inlineStr">
        <is>
          <t>IE</t>
        </is>
      </c>
      <c r="F6" s="1" t="inlineStr">
        <is>
          <t>EDO</t>
        </is>
      </c>
      <c r="G6" t="inlineStr"/>
      <c r="H6" s="2" t="inlineStr">
        <is>
          <t>EDO</t>
        </is>
      </c>
      <c r="I6" s="2" t="inlineStr">
        <is>
          <t>Ecuaciones Diferenciales Ordinarias</t>
        </is>
      </c>
      <c r="J6" s="2" t="n">
        <v>3</v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>
        <is>
          <t>Aula 4</t>
        </is>
      </c>
      <c r="C7" s="3" t="inlineStr">
        <is>
          <t>Aula 4</t>
        </is>
      </c>
      <c r="D7" s="3" t="inlineStr">
        <is>
          <t>Aula 4</t>
        </is>
      </c>
      <c r="E7" s="3" t="inlineStr">
        <is>
          <t>Aula 4</t>
        </is>
      </c>
      <c r="F7" s="3" t="inlineStr">
        <is>
          <t>Aula 4</t>
        </is>
      </c>
      <c r="G7" t="inlineStr"/>
      <c r="H7" s="2" t="inlineStr">
        <is>
          <t>MN</t>
        </is>
      </c>
      <c r="I7" s="2" t="inlineStr">
        <is>
          <t>Matemática Numérica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C 4</t>
        </is>
      </c>
      <c r="O7" t="inlineStr"/>
    </row>
    <row r="8">
      <c r="A8" s="1" t="inlineStr">
        <is>
          <t>Turno 3</t>
        </is>
      </c>
      <c r="B8" s="1" t="inlineStr">
        <is>
          <t>IE</t>
        </is>
      </c>
      <c r="C8" s="1" t="inlineStr">
        <is>
          <t>TP</t>
        </is>
      </c>
      <c r="D8" s="1" t="inlineStr">
        <is>
          <t>IE</t>
        </is>
      </c>
      <c r="E8" s="1" t="inlineStr">
        <is>
          <t>OM</t>
        </is>
      </c>
      <c r="F8" s="1" t="inlineStr"/>
      <c r="G8" t="inlineStr"/>
      <c r="H8" s="2" t="inlineStr">
        <is>
          <t>OM</t>
        </is>
      </c>
      <c r="I8" s="2" t="inlineStr">
        <is>
          <t>Optimización Matemática I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Aula 4</t>
        </is>
      </c>
      <c r="O8" t="inlineStr"/>
    </row>
    <row r="9">
      <c r="A9" s="3" t="inlineStr"/>
      <c r="B9" s="3" t="inlineStr">
        <is>
          <t>Aula 4</t>
        </is>
      </c>
      <c r="C9" s="3" t="inlineStr">
        <is>
          <t>Aula 4</t>
        </is>
      </c>
      <c r="D9" s="3" t="inlineStr">
        <is>
          <t>Aula 4</t>
        </is>
      </c>
      <c r="E9" s="3" t="inlineStr">
        <is>
          <t>Aula 4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Aula 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Aula 4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Aula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Aula 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Aula 4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s="2" t="inlineStr">
        <is>
          <t>Aula 4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s="2" t="inlineStr">
        <is>
          <t>Aula 4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s="2" t="inlineStr">
        <is>
          <t>Aula 4</t>
        </is>
      </c>
      <c r="O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s="2" t="inlineStr">
        <is>
          <t>Aula 4</t>
        </is>
      </c>
      <c r="O17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MI</t>
        </is>
      </c>
      <c r="I4" s="2" t="inlineStr">
        <is>
          <t>Medida e Integración</t>
        </is>
      </c>
      <c r="J4" s="2" t="n">
        <v>2</v>
      </c>
      <c r="K4" s="2">
        <f>(J4-L4)</f>
        <v/>
      </c>
      <c r="L4" s="2">
        <f>COUNTIF($B$4:$F$15,H4)</f>
        <v/>
      </c>
      <c r="M4" t="inlineStr"/>
      <c r="N4" s="2" t="inlineStr">
        <is>
          <t>4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GD</t>
        </is>
      </c>
      <c r="I5" s="2" t="inlineStr">
        <is>
          <t>Geometría Diferencial</t>
        </is>
      </c>
      <c r="J5" s="2" t="n">
        <v>2</v>
      </c>
      <c r="K5" s="2">
        <f>(J5-L5)</f>
        <v/>
      </c>
      <c r="L5" s="2">
        <f>COUNTIF($B$4:$F$15,H5)</f>
        <v/>
      </c>
      <c r="M5" t="inlineStr"/>
      <c r="N5" s="2" t="inlineStr">
        <is>
          <t>4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HM</t>
        </is>
      </c>
      <c r="I6" s="2" t="inlineStr">
        <is>
          <t>Historia de la Matemática</t>
        </is>
      </c>
      <c r="J6" s="2" t="n">
        <v>2</v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ECTS</t>
        </is>
      </c>
      <c r="I7" s="2" t="inlineStr">
        <is>
          <t>Estudios de Ciencia, Tecnología y Sociedad</t>
        </is>
      </c>
      <c r="J7" s="2" t="n">
        <v>2</v>
      </c>
      <c r="K7" s="2">
        <f>(J7-L7)</f>
        <v/>
      </c>
      <c r="L7" s="2">
        <f>COUNTIF($B$4:$F$15,H7)</f>
        <v/>
      </c>
      <c r="M7" t="inlineStr"/>
      <c r="N7" s="2" t="inlineStr">
        <is>
          <t>2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AO2</t>
        </is>
      </c>
      <c r="I8" s="2" t="inlineStr">
        <is>
          <t>Asignatura Optativa II</t>
        </is>
      </c>
      <c r="J8" s="2" t="n">
        <v>2</v>
      </c>
      <c r="K8" s="2">
        <f>(J8-L8)</f>
        <v/>
      </c>
      <c r="L8" s="2">
        <f>COUNTIF($B$4:$F$15,H8)</f>
        <v/>
      </c>
      <c r="M8" t="inlineStr"/>
      <c r="N8" s="2" t="inlineStr">
        <is>
          <t>4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AO3</t>
        </is>
      </c>
      <c r="I9" s="2" t="inlineStr">
        <is>
          <t>Asignatura Optativa III</t>
        </is>
      </c>
      <c r="J9" s="2" t="n">
        <v>2</v>
      </c>
      <c r="K9" s="2">
        <f>(J9-L9)</f>
        <v/>
      </c>
      <c r="L9" s="2">
        <f>COUNTIF($B$4:$F$15,H9)</f>
        <v/>
      </c>
      <c r="M9" t="inlineStr"/>
      <c r="N9" s="2" t="inlineStr">
        <is>
          <t>4</t>
        </is>
      </c>
      <c r="O9" t="inlineStr"/>
    </row>
    <row r="10">
      <c r="A10" s="1" t="inlineStr">
        <is>
          <t>Turno 4</t>
        </is>
      </c>
      <c r="B10" s="1" t="inlineStr">
        <is>
          <t>GD</t>
        </is>
      </c>
      <c r="C10" s="1" t="inlineStr">
        <is>
          <t>HM</t>
        </is>
      </c>
      <c r="D10" s="1" t="inlineStr">
        <is>
          <t>MI</t>
        </is>
      </c>
      <c r="E10" s="1" t="inlineStr">
        <is>
          <t>AO</t>
        </is>
      </c>
      <c r="F10" s="1" t="inlineStr"/>
      <c r="G10" t="inlineStr"/>
      <c r="H10" t="inlineStr"/>
      <c r="I10" t="inlineStr"/>
      <c r="J10" t="inlineStr"/>
      <c r="K10" t="inlineStr"/>
      <c r="L10" t="inlineStr"/>
      <c r="M10" t="inlineStr"/>
      <c r="N10" s="2" t="inlineStr">
        <is>
          <t>4</t>
        </is>
      </c>
      <c r="O10" t="inlineStr"/>
    </row>
    <row r="11">
      <c r="A11" s="3" t="inlineStr"/>
      <c r="B11" s="3" t="inlineStr">
        <is>
          <t>4</t>
        </is>
      </c>
      <c r="C11" s="3" t="inlineStr">
        <is>
          <t>4</t>
        </is>
      </c>
      <c r="D11" s="3" t="inlineStr">
        <is>
          <t>4</t>
        </is>
      </c>
      <c r="E11" s="3" t="inlineStr">
        <is>
          <t>2</t>
        </is>
      </c>
      <c r="F11" s="3" t="inlineStr"/>
      <c r="G11" t="inlineStr"/>
      <c r="H11" t="inlineStr"/>
      <c r="I11" t="inlineStr"/>
      <c r="J11" t="inlineStr"/>
      <c r="K11" t="inlineStr"/>
      <c r="L11" t="inlineStr"/>
      <c r="M11" t="inlineStr"/>
      <c r="N11" s="2" t="inlineStr">
        <is>
          <t>3</t>
        </is>
      </c>
      <c r="O11" t="inlineStr"/>
    </row>
    <row r="12">
      <c r="A12" s="1" t="inlineStr">
        <is>
          <t>Turno 5</t>
        </is>
      </c>
      <c r="B12" s="1" t="inlineStr">
        <is>
          <t>MI</t>
        </is>
      </c>
      <c r="C12" s="1" t="inlineStr">
        <is>
          <t>HM</t>
        </is>
      </c>
      <c r="D12" s="1" t="inlineStr">
        <is>
          <t>GD</t>
        </is>
      </c>
      <c r="E12" s="1" t="inlineStr">
        <is>
          <t>AO</t>
        </is>
      </c>
      <c r="F12" s="1" t="inlineStr"/>
      <c r="G12" t="inlineStr"/>
      <c r="H12" t="inlineStr"/>
      <c r="I12" t="inlineStr"/>
      <c r="J12" t="inlineStr"/>
      <c r="K12" t="inlineStr"/>
      <c r="L1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>
        <is>
          <t>4</t>
        </is>
      </c>
      <c r="C13" s="3" t="inlineStr">
        <is>
          <t>4</t>
        </is>
      </c>
      <c r="D13" s="3" t="inlineStr">
        <is>
          <t>4</t>
        </is>
      </c>
      <c r="E13" s="3" t="inlineStr">
        <is>
          <t>3</t>
        </is>
      </c>
      <c r="F13" s="3" t="inlineStr"/>
      <c r="G13" t="inlineStr"/>
      <c r="H13" t="inlineStr"/>
      <c r="I13" t="inlineStr"/>
      <c r="J13" t="inlineStr"/>
      <c r="K13" t="inlineStr"/>
      <c r="L13" t="inlineStr"/>
      <c r="M13" t="inlineStr"/>
      <c r="N13" s="2" t="inlineStr">
        <is>
          <t>4</t>
        </is>
      </c>
      <c r="O13" t="inlineStr"/>
    </row>
    <row r="14">
      <c r="A14" s="1" t="inlineStr">
        <is>
          <t>Turno 6</t>
        </is>
      </c>
      <c r="B14" s="1" t="inlineStr">
        <is>
          <t>ECTS 9 (Con</t>
        </is>
      </c>
      <c r="C14" s="1" t="inlineStr">
        <is>
          <t>GD</t>
        </is>
      </c>
      <c r="D14" s="1" t="inlineStr"/>
      <c r="E14" s="1" t="inlineStr"/>
      <c r="F14" s="1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s="3" t="inlineStr"/>
      <c r="B15" s="3" t="inlineStr">
        <is>
          <t>C4</t>
        </is>
      </c>
      <c r="C15" s="3" t="inlineStr">
        <is>
          <t>4</t>
        </is>
      </c>
      <c r="D15" s="3" t="inlineStr"/>
      <c r="E15" s="3" t="inlineStr"/>
      <c r="F15" s="3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conditionalFormatting sqref="I4:I9">
    <cfRule type="expression" priority="1" dxfId="0" stopIfTrue="0">
      <formula>L4&gt;J4</formula>
    </cfRule>
    <cfRule type="expression" priority="2" dxfId="1" stopIfTrue="0">
      <formula>L4=J4</formula>
    </cfRule>
    <cfRule type="expression" priority="3" dxfId="2" stopIfTrue="0">
      <formula>L4&lt;J4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  <c r="L1" t="inlineStr"/>
    </row>
    <row r="2">
      <c r="A2" t="inlineStr">
        <is>
          <t>1</t>
        </is>
      </c>
      <c r="B2" t="inlineStr"/>
      <c r="C2" t="inlineStr"/>
      <c r="D2" t="inlineStr"/>
      <c r="E2" t="inlineStr"/>
      <c r="F2" t="inlineStr"/>
      <c r="G2" t="inlineStr">
        <is>
          <t>C111,C112</t>
        </is>
      </c>
      <c r="H2" t="inlineStr"/>
      <c r="I2" t="inlineStr"/>
      <c r="J2" t="inlineStr"/>
      <c r="K2" t="inlineStr">
        <is>
          <t>C113</t>
        </is>
      </c>
      <c r="L2" t="inlineStr"/>
    </row>
    <row r="3">
      <c r="A3" t="inlineStr">
        <is>
          <t>2</t>
        </is>
      </c>
      <c r="B3" t="inlineStr"/>
      <c r="C3" t="inlineStr"/>
      <c r="D3" t="inlineStr"/>
      <c r="E3" t="inlineStr"/>
      <c r="F3" t="inlineStr">
        <is>
          <t>C112</t>
        </is>
      </c>
      <c r="G3" t="inlineStr">
        <is>
          <t>C113</t>
        </is>
      </c>
      <c r="H3" t="inlineStr"/>
      <c r="I3" t="inlineStr"/>
      <c r="J3" t="inlineStr"/>
      <c r="K3" t="inlineStr"/>
      <c r="L3" t="inlineStr"/>
    </row>
    <row r="4">
      <c r="A4" s="2" t="inlineStr">
        <is>
          <t>3</t>
        </is>
      </c>
      <c r="B4" s="2">
        <f>SUBSTITUTE(TRIM(IF(D111!$B$5="Aula 1",(D111!$A$1&amp;" "),"")&amp;IF(D211!$B$5="Aula 1",(D211!$A$1&amp;" "),"")&amp;IF(D311!$B$5="Aula 1",(D311!$A$1&amp;" "),"")&amp;IF(D411!$B$5="Aula 1",(D411!$A$1&amp;" "),"")&amp;IF(C111!$B$5="Aula 1",(C111!$A$1&amp;" "),"")&amp;IF(C121!$B$5="Aula 1",(C121!$A$1&amp;" "),"")&amp;IF(C122!$B$5="Aula 1",(C122!$A$1&amp;" "),"")&amp;IF(C211!$B$5="Aula 1",(C211!$A$1&amp;" "),"")&amp;IF(C212!$B$5="Aula 1",(C212!$A$1&amp;" "),"")&amp;IF(C311!$B$5="Aula 1",(C311!$A$1&amp;" "),"")&amp;IF(C312!$B$5="Aula 1",(C312!$A$1&amp;" "),"")&amp;IF(C411!$B$5="Aula 1",(C411!$A$1&amp;" "),"")&amp;IF(C412!$B$5="Aula 1",(C412!$A$1&amp;" "),"")&amp;IF(M111!$B$5="Aula 1",(M111!$A$1&amp;" "),"")&amp;IF(M211!$B$5="Aula 1",(M211!$A$1&amp;" "),"")&amp;IF(M311!$B$5="Aula 1",(M311!$A$1&amp;" "),"")&amp;IF(M411!$B$5="Aula 1",(M411!$A$1&amp;" "),""))," ",",")</f>
        <v/>
      </c>
      <c r="C4" s="2">
        <f>SUBSTITUTE(TRIM(IF(D111!$B$5="Aula 2",(D111!$A$1&amp;" "),"")&amp;IF(D211!$B$5="Aula 2",(D211!$A$1&amp;" "),"")&amp;IF(D311!$B$5="Aula 2",(D311!$A$1&amp;" "),"")&amp;IF(D411!$B$5="Aula 2",(D411!$A$1&amp;" "),"")&amp;IF(C111!$B$5="Aula 2",(C111!$A$1&amp;" "),"")&amp;IF(C121!$B$5="Aula 2",(C121!$A$1&amp;" "),"")&amp;IF(C122!$B$5="Aula 2",(C122!$A$1&amp;" "),"")&amp;IF(C211!$B$5="Aula 2",(C211!$A$1&amp;" "),"")&amp;IF(C212!$B$5="Aula 2",(C212!$A$1&amp;" "),"")&amp;IF(C311!$B$5="Aula 2",(C311!$A$1&amp;" "),"")&amp;IF(C312!$B$5="Aula 2",(C312!$A$1&amp;" "),"")&amp;IF(C411!$B$5="Aula 2",(C411!$A$1&amp;" "),"")&amp;IF(C412!$B$5="Aula 2",(C412!$A$1&amp;" "),"")&amp;IF(M111!$B$5="Aula 2",(M111!$A$1&amp;" "),"")&amp;IF(M211!$B$5="Aula 2",(M211!$A$1&amp;" "),"")&amp;IF(M311!$B$5="Aula 2",(M311!$A$1&amp;" "),"")&amp;IF(M411!$B$5="Aula 2",(M411!$A$1&amp;" "),""))," ",",")</f>
        <v/>
      </c>
      <c r="D4" s="2">
        <f>SUBSTITUTE(TRIM(IF(D111!$B$5="Aula 3",(D111!$A$1&amp;" "),"")&amp;IF(D211!$B$5="Aula 3",(D211!$A$1&amp;" "),"")&amp;IF(D311!$B$5="Aula 3",(D311!$A$1&amp;" "),"")&amp;IF(D411!$B$5="Aula 3",(D411!$A$1&amp;" "),"")&amp;IF(C111!$B$5="Aula 3",(C111!$A$1&amp;" "),"")&amp;IF(C121!$B$5="Aula 3",(C121!$A$1&amp;" "),"")&amp;IF(C122!$B$5="Aula 3",(C122!$A$1&amp;" "),"")&amp;IF(C211!$B$5="Aula 3",(C211!$A$1&amp;" "),"")&amp;IF(C212!$B$5="Aula 3",(C212!$A$1&amp;" "),"")&amp;IF(C311!$B$5="Aula 3",(C311!$A$1&amp;" "),"")&amp;IF(C312!$B$5="Aula 3",(C312!$A$1&amp;" "),"")&amp;IF(C411!$B$5="Aula 3",(C411!$A$1&amp;" "),"")&amp;IF(C412!$B$5="Aula 3",(C412!$A$1&amp;" "),"")&amp;IF(M111!$B$5="Aula 3",(M111!$A$1&amp;" "),"")&amp;IF(M211!$B$5="Aula 3",(M211!$A$1&amp;" "),"")&amp;IF(M311!$B$5="Aula 3",(M311!$A$1&amp;" "),"")&amp;IF(M411!$B$5="Aula 3",(M411!$A$1&amp;" "),""))," ",",")</f>
        <v/>
      </c>
      <c r="E4" s="2">
        <f>SUBSTITUTE(TRIM(IF(D111!$B$5="Aula 4",(D111!$A$1&amp;" "),"")&amp;IF(D211!$B$5="Aula 4",(D211!$A$1&amp;" "),"")&amp;IF(D311!$B$5="Aula 4",(D311!$A$1&amp;" "),"")&amp;IF(D411!$B$5="Aula 4",(D411!$A$1&amp;" "),"")&amp;IF(C111!$B$5="Aula 4",(C111!$A$1&amp;" "),"")&amp;IF(C121!$B$5="Aula 4",(C121!$A$1&amp;" "),"")&amp;IF(C122!$B$5="Aula 4",(C122!$A$1&amp;" "),"")&amp;IF(C211!$B$5="Aula 4",(C211!$A$1&amp;" "),"")&amp;IF(C212!$B$5="Aula 4",(C212!$A$1&amp;" "),"")&amp;IF(C311!$B$5="Aula 4",(C311!$A$1&amp;" "),"")&amp;IF(C312!$B$5="Aula 4",(C312!$A$1&amp;" "),"")&amp;IF(C411!$B$5="Aula 4",(C411!$A$1&amp;" "),"")&amp;IF(C412!$B$5="Aula 4",(C412!$A$1&amp;" "),"")&amp;IF(M111!$B$5="Aula 4",(M111!$A$1&amp;" "),"")&amp;IF(M211!$B$5="Aula 4",(M211!$A$1&amp;" "),"")&amp;IF(M311!$B$5="Aula 4",(M311!$A$1&amp;" "),"")&amp;IF(M411!$B$5="Aula 4",(M411!$A$1&amp;" "),""))," ",",")</f>
        <v/>
      </c>
      <c r="F4" s="2">
        <f>SUBSTITUTE(TRIM(IF(D111!$B$5="Aula 5",(D111!$A$1&amp;" "),"")&amp;IF(D211!$B$5="Aula 5",(D211!$A$1&amp;" "),"")&amp;IF(D311!$B$5="Aula 5",(D311!$A$1&amp;" "),"")&amp;IF(D411!$B$5="Aula 5",(D411!$A$1&amp;" "),"")&amp;IF(C111!$B$5="Aula 5",(C111!$A$1&amp;" "),"")&amp;IF(C121!$B$5="Aula 5",(C121!$A$1&amp;" "),"")&amp;IF(C122!$B$5="Aula 5",(C122!$A$1&amp;" "),"")&amp;IF(C211!$B$5="Aula 5",(C211!$A$1&amp;" "),"")&amp;IF(C212!$B$5="Aula 5",(C212!$A$1&amp;" "),"")&amp;IF(C311!$B$5="Aula 5",(C311!$A$1&amp;" "),"")&amp;IF(C312!$B$5="Aula 5",(C312!$A$1&amp;" "),"")&amp;IF(C411!$B$5="Aula 5",(C411!$A$1&amp;" "),"")&amp;IF(C412!$B$5="Aula 5",(C412!$A$1&amp;" "),"")&amp;IF(M111!$B$5="Aula 5",(M111!$A$1&amp;" "),"")&amp;IF(M211!$B$5="Aula 5",(M211!$A$1&amp;" "),"")&amp;IF(M311!$B$5="Aula 5",(M311!$A$1&amp;" "),"")&amp;IF(M411!$B$5="Aula 5",(M411!$A$1&amp;" "),""))," ",",")</f>
        <v/>
      </c>
      <c r="G4" s="2">
        <f>SUBSTITUTE(TRIM(IF(D111!$B$5="Aula 6",(D111!$A$1&amp;" "),"")&amp;IF(D211!$B$5="Aula 6",(D211!$A$1&amp;" "),"")&amp;IF(D311!$B$5="Aula 6",(D311!$A$1&amp;" "),"")&amp;IF(D411!$B$5="Aula 6",(D411!$A$1&amp;" "),"")&amp;IF(C111!$B$5="Aula 6",(C111!$A$1&amp;" "),"")&amp;IF(C121!$B$5="Aula 6",(C121!$A$1&amp;" "),"")&amp;IF(C122!$B$5="Aula 6",(C122!$A$1&amp;" "),"")&amp;IF(C211!$B$5="Aula 6",(C211!$A$1&amp;" "),"")&amp;IF(C212!$B$5="Aula 6",(C212!$A$1&amp;" "),"")&amp;IF(C311!$B$5="Aula 6",(C311!$A$1&amp;" "),"")&amp;IF(C312!$B$5="Aula 6",(C312!$A$1&amp;" "),"")&amp;IF(C411!$B$5="Aula 6",(C411!$A$1&amp;" "),"")&amp;IF(C412!$B$5="Aula 6",(C412!$A$1&amp;" "),"")&amp;IF(M111!$B$5="Aula 6",(M111!$A$1&amp;" "),"")&amp;IF(M211!$B$5="Aula 6",(M211!$A$1&amp;" "),"")&amp;IF(M311!$B$5="Aula 6",(M311!$A$1&amp;" "),"")&amp;IF(M411!$B$5="Aula 6",(M411!$A$1&amp;" "),""))," ",",")</f>
        <v/>
      </c>
      <c r="H4" s="2">
        <f>SUBSTITUTE(TRIM(IF(D111!$B$5="Aula 7",(D111!$A$1&amp;" "),"")&amp;IF(D211!$B$5="Aula 7",(D211!$A$1&amp;" "),"")&amp;IF(D311!$B$5="Aula 7",(D311!$A$1&amp;" "),"")&amp;IF(D411!$B$5="Aula 7",(D411!$A$1&amp;" "),"")&amp;IF(C111!$B$5="Aula 7",(C111!$A$1&amp;" "),"")&amp;IF(C121!$B$5="Aula 7",(C121!$A$1&amp;" "),"")&amp;IF(C122!$B$5="Aula 7",(C122!$A$1&amp;" "),"")&amp;IF(C211!$B$5="Aula 7",(C211!$A$1&amp;" "),"")&amp;IF(C212!$B$5="Aula 7",(C212!$A$1&amp;" "),"")&amp;IF(C311!$B$5="Aula 7",(C311!$A$1&amp;" "),"")&amp;IF(C312!$B$5="Aula 7",(C312!$A$1&amp;" "),"")&amp;IF(C411!$B$5="Aula 7",(C411!$A$1&amp;" "),"")&amp;IF(C412!$B$5="Aula 7",(C412!$A$1&amp;" "),"")&amp;IF(M111!$B$5="Aula 7",(M111!$A$1&amp;" "),"")&amp;IF(M211!$B$5="Aula 7",(M211!$A$1&amp;" "),"")&amp;IF(M311!$B$5="Aula 7",(M311!$A$1&amp;" "),"")&amp;IF(M411!$B$5="Aula 7",(M411!$A$1&amp;" "),""))," ",",")</f>
        <v/>
      </c>
      <c r="I4" s="2">
        <f>SUBSTITUTE(TRIM(IF(D111!$B$5="Aula 8",(D111!$A$1&amp;" "),"")&amp;IF(D211!$B$5="Aula 8",(D211!$A$1&amp;" "),"")&amp;IF(D311!$B$5="Aula 8",(D311!$A$1&amp;" "),"")&amp;IF(D411!$B$5="Aula 8",(D411!$A$1&amp;" "),"")&amp;IF(C111!$B$5="Aula 8",(C111!$A$1&amp;" "),"")&amp;IF(C121!$B$5="Aula 8",(C121!$A$1&amp;" "),"")&amp;IF(C122!$B$5="Aula 8",(C122!$A$1&amp;" "),"")&amp;IF(C211!$B$5="Aula 8",(C211!$A$1&amp;" "),"")&amp;IF(C212!$B$5="Aula 8",(C212!$A$1&amp;" "),"")&amp;IF(C311!$B$5="Aula 8",(C311!$A$1&amp;" "),"")&amp;IF(C312!$B$5="Aula 8",(C312!$A$1&amp;" "),"")&amp;IF(C411!$B$5="Aula 8",(C411!$A$1&amp;" "),"")&amp;IF(C412!$B$5="Aula 8",(C412!$A$1&amp;" "),"")&amp;IF(M111!$B$5="Aula 8",(M111!$A$1&amp;" "),"")&amp;IF(M211!$B$5="Aula 8",(M211!$A$1&amp;" "),"")&amp;IF(M311!$B$5="Aula 8",(M311!$A$1&amp;" "),"")&amp;IF(M411!$B$5="Aula 8",(M411!$A$1&amp;" "),""))," ",",")</f>
        <v/>
      </c>
      <c r="J4" s="2">
        <f>SUBSTITUTE(TRIM(IF(D111!$B$5="Aula 9",(D111!$A$1&amp;" "),"")&amp;IF(D211!$B$5="Aula 9",(D211!$A$1&amp;" "),"")&amp;IF(D311!$B$5="Aula 9",(D311!$A$1&amp;" "),"")&amp;IF(D411!$B$5="Aula 9",(D411!$A$1&amp;" "),"")&amp;IF(C111!$B$5="Aula 9",(C111!$A$1&amp;" "),"")&amp;IF(C121!$B$5="Aula 9",(C121!$A$1&amp;" "),"")&amp;IF(C122!$B$5="Aula 9",(C122!$A$1&amp;" "),"")&amp;IF(C211!$B$5="Aula 9",(C211!$A$1&amp;" "),"")&amp;IF(C212!$B$5="Aula 9",(C212!$A$1&amp;" "),"")&amp;IF(C311!$B$5="Aula 9",(C311!$A$1&amp;" "),"")&amp;IF(C312!$B$5="Aula 9",(C312!$A$1&amp;" "),"")&amp;IF(C411!$B$5="Aula 9",(C411!$A$1&amp;" "),"")&amp;IF(C412!$B$5="Aula 9",(C412!$A$1&amp;" "),"")&amp;IF(M111!$B$5="Aula 9",(M111!$A$1&amp;" "),"")&amp;IF(M211!$B$5="Aula 9",(M211!$A$1&amp;" "),"")&amp;IF(M311!$B$5="Aula 9",(M311!$A$1&amp;" "),"")&amp;IF(M411!$B$5="Aula 9",(M411!$A$1&amp;" "),""))," ",",")</f>
        <v/>
      </c>
      <c r="K4" s="2">
        <f>SUBSTITUTE(TRIM(IF(D111!$B$5="Lab",(D111!$A$1&amp;" "),"")&amp;IF(D211!$B$5="Lab",(D211!$A$1&amp;" "),"")&amp;IF(D311!$B$5="Lab",(D311!$A$1&amp;" "),"")&amp;IF(D411!$B$5="Lab",(D411!$A$1&amp;" "),"")&amp;IF(C111!$B$5="Lab",(C111!$A$1&amp;" "),"")&amp;IF(C121!$B$5="Lab",(C121!$A$1&amp;" "),"")&amp;IF(C122!$B$5="Lab",(C122!$A$1&amp;" "),"")&amp;IF(C211!$B$5="Lab",(C211!$A$1&amp;" "),"")&amp;IF(C212!$B$5="Lab",(C212!$A$1&amp;" "),"")&amp;IF(C311!$B$5="Lab",(C311!$A$1&amp;" "),"")&amp;IF(C312!$B$5="Lab",(C312!$A$1&amp;" "),"")&amp;IF(C411!$B$5="Lab",(C411!$A$1&amp;" "),"")&amp;IF(C412!$B$5="Lab",(C412!$A$1&amp;" "),"")&amp;IF(M111!$B$5="Lab",(M111!$A$1&amp;" "),"")&amp;IF(M211!$B$5="Lab",(M211!$A$1&amp;" "),"")&amp;IF(M311!$B$5="Lab",(M311!$A$1&amp;" "),"")&amp;IF(M411!$B$5="Lab",(M411!$A$1&amp;" "),""))," ",",")</f>
        <v/>
      </c>
      <c r="L4" t="inlineStr"/>
    </row>
    <row r="5">
      <c r="A5" s="2" t="inlineStr">
        <is>
          <t>4</t>
        </is>
      </c>
      <c r="B5" s="2">
        <f>SUBSTITUTE(TRIM(IF(D111!$B$7="Aula 1",(D111!$A$1&amp;" "),"")&amp;IF(D211!$B$7="Aula 1",(D211!$A$1&amp;" "),"")&amp;IF(D311!$B$7="Aula 1",(D311!$A$1&amp;" "),"")&amp;IF(D411!$B$7="Aula 1",(D411!$A$1&amp;" "),"")&amp;IF(C111!$B$7="Aula 1",(C111!$A$1&amp;" "),"")&amp;IF(C121!$B$7="Aula 1",(C121!$A$1&amp;" "),"")&amp;IF(C122!$B$7="Aula 1",(C122!$A$1&amp;" "),"")&amp;IF(C211!$B$7="Aula 1",(C211!$A$1&amp;" "),"")&amp;IF(C212!$B$7="Aula 1",(C212!$A$1&amp;" "),"")&amp;IF(C311!$B$7="Aula 1",(C311!$A$1&amp;" "),"")&amp;IF(C312!$B$7="Aula 1",(C312!$A$1&amp;" "),"")&amp;IF(C411!$B$7="Aula 1",(C411!$A$1&amp;" "),"")&amp;IF(C412!$B$7="Aula 1",(C412!$A$1&amp;" "),"")&amp;IF(M111!$B$7="Aula 1",(M111!$A$1&amp;" "),"")&amp;IF(M211!$B$7="Aula 1",(M211!$A$1&amp;" "),"")&amp;IF(M311!$B$7="Aula 1",(M311!$A$1&amp;" "),"")&amp;IF(M411!$B$7="Aula 1",(M411!$A$1&amp;" "),""))," ",",")</f>
        <v/>
      </c>
      <c r="C5" s="2">
        <f>SUBSTITUTE(TRIM(IF(D111!$B$7="Aula 2",(D111!$A$1&amp;" "),"")&amp;IF(D211!$B$7="Aula 2",(D211!$A$1&amp;" "),"")&amp;IF(D311!$B$7="Aula 2",(D311!$A$1&amp;" "),"")&amp;IF(D411!$B$7="Aula 2",(D411!$A$1&amp;" "),"")&amp;IF(C111!$B$7="Aula 2",(C111!$A$1&amp;" "),"")&amp;IF(C121!$B$7="Aula 2",(C121!$A$1&amp;" "),"")&amp;IF(C122!$B$7="Aula 2",(C122!$A$1&amp;" "),"")&amp;IF(C211!$B$7="Aula 2",(C211!$A$1&amp;" "),"")&amp;IF(C212!$B$7="Aula 2",(C212!$A$1&amp;" "),"")&amp;IF(C311!$B$7="Aula 2",(C311!$A$1&amp;" "),"")&amp;IF(C312!$B$7="Aula 2",(C312!$A$1&amp;" "),"")&amp;IF(C411!$B$7="Aula 2",(C411!$A$1&amp;" "),"")&amp;IF(C412!$B$7="Aula 2",(C412!$A$1&amp;" "),"")&amp;IF(M111!$B$7="Aula 2",(M111!$A$1&amp;" "),"")&amp;IF(M211!$B$7="Aula 2",(M211!$A$1&amp;" "),"")&amp;IF(M311!$B$7="Aula 2",(M311!$A$1&amp;" "),"")&amp;IF(M411!$B$7="Aula 2",(M411!$A$1&amp;" "),""))," ",",")</f>
        <v/>
      </c>
      <c r="D5" s="2">
        <f>SUBSTITUTE(TRIM(IF(D111!$B$7="Aula 3",(D111!$A$1&amp;" "),"")&amp;IF(D211!$B$7="Aula 3",(D211!$A$1&amp;" "),"")&amp;IF(D311!$B$7="Aula 3",(D311!$A$1&amp;" "),"")&amp;IF(D411!$B$7="Aula 3",(D411!$A$1&amp;" "),"")&amp;IF(C111!$B$7="Aula 3",(C111!$A$1&amp;" "),"")&amp;IF(C121!$B$7="Aula 3",(C121!$A$1&amp;" "),"")&amp;IF(C122!$B$7="Aula 3",(C122!$A$1&amp;" "),"")&amp;IF(C211!$B$7="Aula 3",(C211!$A$1&amp;" "),"")&amp;IF(C212!$B$7="Aula 3",(C212!$A$1&amp;" "),"")&amp;IF(C311!$B$7="Aula 3",(C311!$A$1&amp;" "),"")&amp;IF(C312!$B$7="Aula 3",(C312!$A$1&amp;" "),"")&amp;IF(C411!$B$7="Aula 3",(C411!$A$1&amp;" "),"")&amp;IF(C412!$B$7="Aula 3",(C412!$A$1&amp;" "),"")&amp;IF(M111!$B$7="Aula 3",(M111!$A$1&amp;" "),"")&amp;IF(M211!$B$7="Aula 3",(M211!$A$1&amp;" "),"")&amp;IF(M311!$B$7="Aula 3",(M311!$A$1&amp;" "),"")&amp;IF(M411!$B$7="Aula 3",(M411!$A$1&amp;" "),""))," ",",")</f>
        <v/>
      </c>
      <c r="E5" s="2">
        <f>SUBSTITUTE(TRIM(IF(D111!$B$7="Aula 4",(D111!$A$1&amp;" "),"")&amp;IF(D211!$B$7="Aula 4",(D211!$A$1&amp;" "),"")&amp;IF(D311!$B$7="Aula 4",(D311!$A$1&amp;" "),"")&amp;IF(D411!$B$7="Aula 4",(D411!$A$1&amp;" "),"")&amp;IF(C111!$B$7="Aula 4",(C111!$A$1&amp;" "),"")&amp;IF(C121!$B$7="Aula 4",(C121!$A$1&amp;" "),"")&amp;IF(C122!$B$7="Aula 4",(C122!$A$1&amp;" "),"")&amp;IF(C211!$B$7="Aula 4",(C211!$A$1&amp;" "),"")&amp;IF(C212!$B$7="Aula 4",(C212!$A$1&amp;" "),"")&amp;IF(C311!$B$7="Aula 4",(C311!$A$1&amp;" "),"")&amp;IF(C312!$B$7="Aula 4",(C312!$A$1&amp;" "),"")&amp;IF(C411!$B$7="Aula 4",(C411!$A$1&amp;" "),"")&amp;IF(C412!$B$7="Aula 4",(C412!$A$1&amp;" "),"")&amp;IF(M111!$B$7="Aula 4",(M111!$A$1&amp;" "),"")&amp;IF(M211!$B$7="Aula 4",(M211!$A$1&amp;" "),"")&amp;IF(M311!$B$7="Aula 4",(M311!$A$1&amp;" "),"")&amp;IF(M411!$B$7="Aula 4",(M411!$A$1&amp;" "),""))," ",",")</f>
        <v/>
      </c>
      <c r="F5" s="2">
        <f>SUBSTITUTE(TRIM(IF(D111!$B$7="Aula 5",(D111!$A$1&amp;" "),"")&amp;IF(D211!$B$7="Aula 5",(D211!$A$1&amp;" "),"")&amp;IF(D311!$B$7="Aula 5",(D311!$A$1&amp;" "),"")&amp;IF(D411!$B$7="Aula 5",(D411!$A$1&amp;" "),"")&amp;IF(C111!$B$7="Aula 5",(C111!$A$1&amp;" "),"")&amp;IF(C121!$B$7="Aula 5",(C121!$A$1&amp;" "),"")&amp;IF(C122!$B$7="Aula 5",(C122!$A$1&amp;" "),"")&amp;IF(C211!$B$7="Aula 5",(C211!$A$1&amp;" "),"")&amp;IF(C212!$B$7="Aula 5",(C212!$A$1&amp;" "),"")&amp;IF(C311!$B$7="Aula 5",(C311!$A$1&amp;" "),"")&amp;IF(C312!$B$7="Aula 5",(C312!$A$1&amp;" "),"")&amp;IF(C411!$B$7="Aula 5",(C411!$A$1&amp;" "),"")&amp;IF(C412!$B$7="Aula 5",(C412!$A$1&amp;" "),"")&amp;IF(M111!$B$7="Aula 5",(M111!$A$1&amp;" "),"")&amp;IF(M211!$B$7="Aula 5",(M211!$A$1&amp;" "),"")&amp;IF(M311!$B$7="Aula 5",(M311!$A$1&amp;" "),"")&amp;IF(M411!$B$7="Aula 5",(M411!$A$1&amp;" "),""))," ",",")</f>
        <v/>
      </c>
      <c r="G5" s="2">
        <f>SUBSTITUTE(TRIM(IF(D111!$B$7="Aula 6",(D111!$A$1&amp;" "),"")&amp;IF(D211!$B$7="Aula 6",(D211!$A$1&amp;" "),"")&amp;IF(D311!$B$7="Aula 6",(D311!$A$1&amp;" "),"")&amp;IF(D411!$B$7="Aula 6",(D411!$A$1&amp;" "),"")&amp;IF(C111!$B$7="Aula 6",(C111!$A$1&amp;" "),"")&amp;IF(C121!$B$7="Aula 6",(C121!$A$1&amp;" "),"")&amp;IF(C122!$B$7="Aula 6",(C122!$A$1&amp;" "),"")&amp;IF(C211!$B$7="Aula 6",(C211!$A$1&amp;" "),"")&amp;IF(C212!$B$7="Aula 6",(C212!$A$1&amp;" "),"")&amp;IF(C311!$B$7="Aula 6",(C311!$A$1&amp;" "),"")&amp;IF(C312!$B$7="Aula 6",(C312!$A$1&amp;" "),"")&amp;IF(C411!$B$7="Aula 6",(C411!$A$1&amp;" "),"")&amp;IF(C412!$B$7="Aula 6",(C412!$A$1&amp;" "),"")&amp;IF(M111!$B$7="Aula 6",(M111!$A$1&amp;" "),"")&amp;IF(M211!$B$7="Aula 6",(M211!$A$1&amp;" "),"")&amp;IF(M311!$B$7="Aula 6",(M311!$A$1&amp;" "),"")&amp;IF(M411!$B$7="Aula 6",(M411!$A$1&amp;" "),""))," ",",")</f>
        <v/>
      </c>
      <c r="H5" s="2">
        <f>SUBSTITUTE(TRIM(IF(D111!$B$7="Aula 7",(D111!$A$1&amp;" "),"")&amp;IF(D211!$B$7="Aula 7",(D211!$A$1&amp;" "),"")&amp;IF(D311!$B$7="Aula 7",(D311!$A$1&amp;" "),"")&amp;IF(D411!$B$7="Aula 7",(D411!$A$1&amp;" "),"")&amp;IF(C111!$B$7="Aula 7",(C111!$A$1&amp;" "),"")&amp;IF(C121!$B$7="Aula 7",(C121!$A$1&amp;" "),"")&amp;IF(C122!$B$7="Aula 7",(C122!$A$1&amp;" "),"")&amp;IF(C211!$B$7="Aula 7",(C211!$A$1&amp;" "),"")&amp;IF(C212!$B$7="Aula 7",(C212!$A$1&amp;" "),"")&amp;IF(C311!$B$7="Aula 7",(C311!$A$1&amp;" "),"")&amp;IF(C312!$B$7="Aula 7",(C312!$A$1&amp;" "),"")&amp;IF(C411!$B$7="Aula 7",(C411!$A$1&amp;" "),"")&amp;IF(C412!$B$7="Aula 7",(C412!$A$1&amp;" "),"")&amp;IF(M111!$B$7="Aula 7",(M111!$A$1&amp;" "),"")&amp;IF(M211!$B$7="Aula 7",(M211!$A$1&amp;" "),"")&amp;IF(M311!$B$7="Aula 7",(M311!$A$1&amp;" "),"")&amp;IF(M411!$B$7="Aula 7",(M411!$A$1&amp;" "),""))," ",",")</f>
        <v/>
      </c>
      <c r="I5" s="2">
        <f>SUBSTITUTE(TRIM(IF(D111!$B$7="Aula 8",(D111!$A$1&amp;" "),"")&amp;IF(D211!$B$7="Aula 8",(D211!$A$1&amp;" "),"")&amp;IF(D311!$B$7="Aula 8",(D311!$A$1&amp;" "),"")&amp;IF(D411!$B$7="Aula 8",(D411!$A$1&amp;" "),"")&amp;IF(C111!$B$7="Aula 8",(C111!$A$1&amp;" "),"")&amp;IF(C121!$B$7="Aula 8",(C121!$A$1&amp;" "),"")&amp;IF(C122!$B$7="Aula 8",(C122!$A$1&amp;" "),"")&amp;IF(C211!$B$7="Aula 8",(C211!$A$1&amp;" "),"")&amp;IF(C212!$B$7="Aula 8",(C212!$A$1&amp;" "),"")&amp;IF(C311!$B$7="Aula 8",(C311!$A$1&amp;" "),"")&amp;IF(C312!$B$7="Aula 8",(C312!$A$1&amp;" "),"")&amp;IF(C411!$B$7="Aula 8",(C411!$A$1&amp;" "),"")&amp;IF(C412!$B$7="Aula 8",(C412!$A$1&amp;" "),"")&amp;IF(M111!$B$7="Aula 8",(M111!$A$1&amp;" "),"")&amp;IF(M211!$B$7="Aula 8",(M211!$A$1&amp;" "),"")&amp;IF(M311!$B$7="Aula 8",(M311!$A$1&amp;" "),"")&amp;IF(M411!$B$7="Aula 8",(M411!$A$1&amp;" "),""))," ",",")</f>
        <v/>
      </c>
      <c r="J5" s="2">
        <f>SUBSTITUTE(TRIM(IF(D111!$B$7="Aula 9",(D111!$A$1&amp;" "),"")&amp;IF(D211!$B$7="Aula 9",(D211!$A$1&amp;" "),"")&amp;IF(D311!$B$7="Aula 9",(D311!$A$1&amp;" "),"")&amp;IF(D411!$B$7="Aula 9",(D411!$A$1&amp;" "),"")&amp;IF(C111!$B$7="Aula 9",(C111!$A$1&amp;" "),"")&amp;IF(C121!$B$7="Aula 9",(C121!$A$1&amp;" "),"")&amp;IF(C122!$B$7="Aula 9",(C122!$A$1&amp;" "),"")&amp;IF(C211!$B$7="Aula 9",(C211!$A$1&amp;" "),"")&amp;IF(C212!$B$7="Aula 9",(C212!$A$1&amp;" "),"")&amp;IF(C311!$B$7="Aula 9",(C311!$A$1&amp;" "),"")&amp;IF(C312!$B$7="Aula 9",(C312!$A$1&amp;" "),"")&amp;IF(C411!$B$7="Aula 9",(C411!$A$1&amp;" "),"")&amp;IF(C412!$B$7="Aula 9",(C412!$A$1&amp;" "),"")&amp;IF(M111!$B$7="Aula 9",(M111!$A$1&amp;" "),"")&amp;IF(M211!$B$7="Aula 9",(M211!$A$1&amp;" "),"")&amp;IF(M311!$B$7="Aula 9",(M311!$A$1&amp;" "),"")&amp;IF(M411!$B$7="Aula 9",(M411!$A$1&amp;" "),""))," ",",")</f>
        <v/>
      </c>
      <c r="K5" s="2">
        <f>SUBSTITUTE(TRIM(IF(D111!$B$7="Lab",(D111!$A$1&amp;" "),"")&amp;IF(D211!$B$7="Lab",(D211!$A$1&amp;" "),"")&amp;IF(D311!$B$7="Lab",(D311!$A$1&amp;" "),"")&amp;IF(D411!$B$7="Lab",(D411!$A$1&amp;" "),"")&amp;IF(C111!$B$7="Lab",(C111!$A$1&amp;" "),"")&amp;IF(C121!$B$7="Lab",(C121!$A$1&amp;" "),"")&amp;IF(C122!$B$7="Lab",(C122!$A$1&amp;" "),"")&amp;IF(C211!$B$7="Lab",(C211!$A$1&amp;" "),"")&amp;IF(C212!$B$7="Lab",(C212!$A$1&amp;" "),"")&amp;IF(C311!$B$7="Lab",(C311!$A$1&amp;" "),"")&amp;IF(C312!$B$7="Lab",(C312!$A$1&amp;" "),"")&amp;IF(C411!$B$7="Lab",(C411!$A$1&amp;" "),"")&amp;IF(C412!$B$7="Lab",(C412!$A$1&amp;" "),"")&amp;IF(M111!$B$7="Lab",(M111!$A$1&amp;" "),"")&amp;IF(M211!$B$7="Lab",(M211!$A$1&amp;" "),"")&amp;IF(M311!$B$7="Lab",(M311!$A$1&amp;" "),"")&amp;IF(M411!$B$7="Lab",(M411!$A$1&amp;" "),""))," ",",")</f>
        <v/>
      </c>
      <c r="L5" t="inlineStr"/>
    </row>
    <row r="6">
      <c r="A6" s="2" t="inlineStr">
        <is>
          <t>5</t>
        </is>
      </c>
      <c r="B6" s="2">
        <f>SUBSTITUTE(TRIM(IF(D111!$B$9="Aula 1",(D111!$A$1&amp;" "),"")&amp;IF(D211!$B$9="Aula 1",(D211!$A$1&amp;" "),"")&amp;IF(D311!$B$9="Aula 1",(D311!$A$1&amp;" "),"")&amp;IF(D411!$B$9="Aula 1",(D411!$A$1&amp;" "),"")&amp;IF(C111!$B$9="Aula 1",(C111!$A$1&amp;" "),"")&amp;IF(C121!$B$9="Aula 1",(C121!$A$1&amp;" "),"")&amp;IF(C122!$B$9="Aula 1",(C122!$A$1&amp;" "),"")&amp;IF(C211!$B$9="Aula 1",(C211!$A$1&amp;" "),"")&amp;IF(C212!$B$9="Aula 1",(C212!$A$1&amp;" "),"")&amp;IF(C311!$B$9="Aula 1",(C311!$A$1&amp;" "),"")&amp;IF(C312!$B$9="Aula 1",(C312!$A$1&amp;" "),"")&amp;IF(C411!$B$9="Aula 1",(C411!$A$1&amp;" "),"")&amp;IF(C412!$B$9="Aula 1",(C412!$A$1&amp;" "),"")&amp;IF(M111!$B$9="Aula 1",(M111!$A$1&amp;" "),"")&amp;IF(M211!$B$9="Aula 1",(M211!$A$1&amp;" "),"")&amp;IF(M311!$B$9="Aula 1",(M311!$A$1&amp;" "),"")&amp;IF(M411!$B$9="Aula 1",(M411!$A$1&amp;" "),""))," ",",")</f>
        <v/>
      </c>
      <c r="C6" s="2">
        <f>SUBSTITUTE(TRIM(IF(D111!$B$9="Aula 2",(D111!$A$1&amp;" "),"")&amp;IF(D211!$B$9="Aula 2",(D211!$A$1&amp;" "),"")&amp;IF(D311!$B$9="Aula 2",(D311!$A$1&amp;" "),"")&amp;IF(D411!$B$9="Aula 2",(D411!$A$1&amp;" "),"")&amp;IF(C111!$B$9="Aula 2",(C111!$A$1&amp;" "),"")&amp;IF(C121!$B$9="Aula 2",(C121!$A$1&amp;" "),"")&amp;IF(C122!$B$9="Aula 2",(C122!$A$1&amp;" "),"")&amp;IF(C211!$B$9="Aula 2",(C211!$A$1&amp;" "),"")&amp;IF(C212!$B$9="Aula 2",(C212!$A$1&amp;" "),"")&amp;IF(C311!$B$9="Aula 2",(C311!$A$1&amp;" "),"")&amp;IF(C312!$B$9="Aula 2",(C312!$A$1&amp;" "),"")&amp;IF(C411!$B$9="Aula 2",(C411!$A$1&amp;" "),"")&amp;IF(C412!$B$9="Aula 2",(C412!$A$1&amp;" "),"")&amp;IF(M111!$B$9="Aula 2",(M111!$A$1&amp;" "),"")&amp;IF(M211!$B$9="Aula 2",(M211!$A$1&amp;" "),"")&amp;IF(M311!$B$9="Aula 2",(M311!$A$1&amp;" "),"")&amp;IF(M411!$B$9="Aula 2",(M411!$A$1&amp;" "),""))," ",",")</f>
        <v/>
      </c>
      <c r="D6" s="2">
        <f>SUBSTITUTE(TRIM(IF(D111!$B$9="Aula 3",(D111!$A$1&amp;" "),"")&amp;IF(D211!$B$9="Aula 3",(D211!$A$1&amp;" "),"")&amp;IF(D311!$B$9="Aula 3",(D311!$A$1&amp;" "),"")&amp;IF(D411!$B$9="Aula 3",(D411!$A$1&amp;" "),"")&amp;IF(C111!$B$9="Aula 3",(C111!$A$1&amp;" "),"")&amp;IF(C121!$B$9="Aula 3",(C121!$A$1&amp;" "),"")&amp;IF(C122!$B$9="Aula 3",(C122!$A$1&amp;" "),"")&amp;IF(C211!$B$9="Aula 3",(C211!$A$1&amp;" "),"")&amp;IF(C212!$B$9="Aula 3",(C212!$A$1&amp;" "),"")&amp;IF(C311!$B$9="Aula 3",(C311!$A$1&amp;" "),"")&amp;IF(C312!$B$9="Aula 3",(C312!$A$1&amp;" "),"")&amp;IF(C411!$B$9="Aula 3",(C411!$A$1&amp;" "),"")&amp;IF(C412!$B$9="Aula 3",(C412!$A$1&amp;" "),"")&amp;IF(M111!$B$9="Aula 3",(M111!$A$1&amp;" "),"")&amp;IF(M211!$B$9="Aula 3",(M211!$A$1&amp;" "),"")&amp;IF(M311!$B$9="Aula 3",(M311!$A$1&amp;" "),"")&amp;IF(M411!$B$9="Aula 3",(M411!$A$1&amp;" "),""))," ",",")</f>
        <v/>
      </c>
      <c r="E6" s="2">
        <f>SUBSTITUTE(TRIM(IF(D111!$B$9="Aula 4",(D111!$A$1&amp;" "),"")&amp;IF(D211!$B$9="Aula 4",(D211!$A$1&amp;" "),"")&amp;IF(D311!$B$9="Aula 4",(D311!$A$1&amp;" "),"")&amp;IF(D411!$B$9="Aula 4",(D411!$A$1&amp;" "),"")&amp;IF(C111!$B$9="Aula 4",(C111!$A$1&amp;" "),"")&amp;IF(C121!$B$9="Aula 4",(C121!$A$1&amp;" "),"")&amp;IF(C122!$B$9="Aula 4",(C122!$A$1&amp;" "),"")&amp;IF(C211!$B$9="Aula 4",(C211!$A$1&amp;" "),"")&amp;IF(C212!$B$9="Aula 4",(C212!$A$1&amp;" "),"")&amp;IF(C311!$B$9="Aula 4",(C311!$A$1&amp;" "),"")&amp;IF(C312!$B$9="Aula 4",(C312!$A$1&amp;" "),"")&amp;IF(C411!$B$9="Aula 4",(C411!$A$1&amp;" "),"")&amp;IF(C412!$B$9="Aula 4",(C412!$A$1&amp;" "),"")&amp;IF(M111!$B$9="Aula 4",(M111!$A$1&amp;" "),"")&amp;IF(M211!$B$9="Aula 4",(M211!$A$1&amp;" "),"")&amp;IF(M311!$B$9="Aula 4",(M311!$A$1&amp;" "),"")&amp;IF(M411!$B$9="Aula 4",(M411!$A$1&amp;" "),""))," ",",")</f>
        <v/>
      </c>
      <c r="F6" s="2">
        <f>SUBSTITUTE(TRIM(IF(D111!$B$9="Aula 5",(D111!$A$1&amp;" "),"")&amp;IF(D211!$B$9="Aula 5",(D211!$A$1&amp;" "),"")&amp;IF(D311!$B$9="Aula 5",(D311!$A$1&amp;" "),"")&amp;IF(D411!$B$9="Aula 5",(D411!$A$1&amp;" "),"")&amp;IF(C111!$B$9="Aula 5",(C111!$A$1&amp;" "),"")&amp;IF(C121!$B$9="Aula 5",(C121!$A$1&amp;" "),"")&amp;IF(C122!$B$9="Aula 5",(C122!$A$1&amp;" "),"")&amp;IF(C211!$B$9="Aula 5",(C211!$A$1&amp;" "),"")&amp;IF(C212!$B$9="Aula 5",(C212!$A$1&amp;" "),"")&amp;IF(C311!$B$9="Aula 5",(C311!$A$1&amp;" "),"")&amp;IF(C312!$B$9="Aula 5",(C312!$A$1&amp;" "),"")&amp;IF(C411!$B$9="Aula 5",(C411!$A$1&amp;" "),"")&amp;IF(C412!$B$9="Aula 5",(C412!$A$1&amp;" "),"")&amp;IF(M111!$B$9="Aula 5",(M111!$A$1&amp;" "),"")&amp;IF(M211!$B$9="Aula 5",(M211!$A$1&amp;" "),"")&amp;IF(M311!$B$9="Aula 5",(M311!$A$1&amp;" "),"")&amp;IF(M411!$B$9="Aula 5",(M411!$A$1&amp;" "),""))," ",",")</f>
        <v/>
      </c>
      <c r="G6" s="2">
        <f>SUBSTITUTE(TRIM(IF(D111!$B$9="Aula 6",(D111!$A$1&amp;" "),"")&amp;IF(D211!$B$9="Aula 6",(D211!$A$1&amp;" "),"")&amp;IF(D311!$B$9="Aula 6",(D311!$A$1&amp;" "),"")&amp;IF(D411!$B$9="Aula 6",(D411!$A$1&amp;" "),"")&amp;IF(C111!$B$9="Aula 6",(C111!$A$1&amp;" "),"")&amp;IF(C121!$B$9="Aula 6",(C121!$A$1&amp;" "),"")&amp;IF(C122!$B$9="Aula 6",(C122!$A$1&amp;" "),"")&amp;IF(C211!$B$9="Aula 6",(C211!$A$1&amp;" "),"")&amp;IF(C212!$B$9="Aula 6",(C212!$A$1&amp;" "),"")&amp;IF(C311!$B$9="Aula 6",(C311!$A$1&amp;" "),"")&amp;IF(C312!$B$9="Aula 6",(C312!$A$1&amp;" "),"")&amp;IF(C411!$B$9="Aula 6",(C411!$A$1&amp;" "),"")&amp;IF(C412!$B$9="Aula 6",(C412!$A$1&amp;" "),"")&amp;IF(M111!$B$9="Aula 6",(M111!$A$1&amp;" "),"")&amp;IF(M211!$B$9="Aula 6",(M211!$A$1&amp;" "),"")&amp;IF(M311!$B$9="Aula 6",(M311!$A$1&amp;" "),"")&amp;IF(M411!$B$9="Aula 6",(M411!$A$1&amp;" "),""))," ",",")</f>
        <v/>
      </c>
      <c r="H6" s="2">
        <f>SUBSTITUTE(TRIM(IF(D111!$B$9="Aula 7",(D111!$A$1&amp;" "),"")&amp;IF(D211!$B$9="Aula 7",(D211!$A$1&amp;" "),"")&amp;IF(D311!$B$9="Aula 7",(D311!$A$1&amp;" "),"")&amp;IF(D411!$B$9="Aula 7",(D411!$A$1&amp;" "),"")&amp;IF(C111!$B$9="Aula 7",(C111!$A$1&amp;" "),"")&amp;IF(C121!$B$9="Aula 7",(C121!$A$1&amp;" "),"")&amp;IF(C122!$B$9="Aula 7",(C122!$A$1&amp;" "),"")&amp;IF(C211!$B$9="Aula 7",(C211!$A$1&amp;" "),"")&amp;IF(C212!$B$9="Aula 7",(C212!$A$1&amp;" "),"")&amp;IF(C311!$B$9="Aula 7",(C311!$A$1&amp;" "),"")&amp;IF(C312!$B$9="Aula 7",(C312!$A$1&amp;" "),"")&amp;IF(C411!$B$9="Aula 7",(C411!$A$1&amp;" "),"")&amp;IF(C412!$B$9="Aula 7",(C412!$A$1&amp;" "),"")&amp;IF(M111!$B$9="Aula 7",(M111!$A$1&amp;" "),"")&amp;IF(M211!$B$9="Aula 7",(M211!$A$1&amp;" "),"")&amp;IF(M311!$B$9="Aula 7",(M311!$A$1&amp;" "),"")&amp;IF(M411!$B$9="Aula 7",(M411!$A$1&amp;" "),""))," ",",")</f>
        <v/>
      </c>
      <c r="I6" s="2">
        <f>SUBSTITUTE(TRIM(IF(D111!$B$9="Aula 8",(D111!$A$1&amp;" "),"")&amp;IF(D211!$B$9="Aula 8",(D211!$A$1&amp;" "),"")&amp;IF(D311!$B$9="Aula 8",(D311!$A$1&amp;" "),"")&amp;IF(D411!$B$9="Aula 8",(D411!$A$1&amp;" "),"")&amp;IF(C111!$B$9="Aula 8",(C111!$A$1&amp;" "),"")&amp;IF(C121!$B$9="Aula 8",(C121!$A$1&amp;" "),"")&amp;IF(C122!$B$9="Aula 8",(C122!$A$1&amp;" "),"")&amp;IF(C211!$B$9="Aula 8",(C211!$A$1&amp;" "),"")&amp;IF(C212!$B$9="Aula 8",(C212!$A$1&amp;" "),"")&amp;IF(C311!$B$9="Aula 8",(C311!$A$1&amp;" "),"")&amp;IF(C312!$B$9="Aula 8",(C312!$A$1&amp;" "),"")&amp;IF(C411!$B$9="Aula 8",(C411!$A$1&amp;" "),"")&amp;IF(C412!$B$9="Aula 8",(C412!$A$1&amp;" "),"")&amp;IF(M111!$B$9="Aula 8",(M111!$A$1&amp;" "),"")&amp;IF(M211!$B$9="Aula 8",(M211!$A$1&amp;" "),"")&amp;IF(M311!$B$9="Aula 8",(M311!$A$1&amp;" "),"")&amp;IF(M411!$B$9="Aula 8",(M411!$A$1&amp;" "),""))," ",",")</f>
        <v/>
      </c>
      <c r="J6" s="2">
        <f>SUBSTITUTE(TRIM(IF(D111!$B$9="Aula 9",(D111!$A$1&amp;" "),"")&amp;IF(D211!$B$9="Aula 9",(D211!$A$1&amp;" "),"")&amp;IF(D311!$B$9="Aula 9",(D311!$A$1&amp;" "),"")&amp;IF(D411!$B$9="Aula 9",(D411!$A$1&amp;" "),"")&amp;IF(C111!$B$9="Aula 9",(C111!$A$1&amp;" "),"")&amp;IF(C121!$B$9="Aula 9",(C121!$A$1&amp;" "),"")&amp;IF(C122!$B$9="Aula 9",(C122!$A$1&amp;" "),"")&amp;IF(C211!$B$9="Aula 9",(C211!$A$1&amp;" "),"")&amp;IF(C212!$B$9="Aula 9",(C212!$A$1&amp;" "),"")&amp;IF(C311!$B$9="Aula 9",(C311!$A$1&amp;" "),"")&amp;IF(C312!$B$9="Aula 9",(C312!$A$1&amp;" "),"")&amp;IF(C411!$B$9="Aula 9",(C411!$A$1&amp;" "),"")&amp;IF(C412!$B$9="Aula 9",(C412!$A$1&amp;" "),"")&amp;IF(M111!$B$9="Aula 9",(M111!$A$1&amp;" "),"")&amp;IF(M211!$B$9="Aula 9",(M211!$A$1&amp;" "),"")&amp;IF(M311!$B$9="Aula 9",(M311!$A$1&amp;" "),"")&amp;IF(M411!$B$9="Aula 9",(M411!$A$1&amp;" "),""))," ",",")</f>
        <v/>
      </c>
      <c r="K6" s="2">
        <f>SUBSTITUTE(TRIM(IF(D111!$B$9="Lab",(D111!$A$1&amp;" "),"")&amp;IF(D211!$B$9="Lab",(D211!$A$1&amp;" "),"")&amp;IF(D311!$B$9="Lab",(D311!$A$1&amp;" "),"")&amp;IF(D411!$B$9="Lab",(D411!$A$1&amp;" "),"")&amp;IF(C111!$B$9="Lab",(C111!$A$1&amp;" "),"")&amp;IF(C121!$B$9="Lab",(C121!$A$1&amp;" "),"")&amp;IF(C122!$B$9="Lab",(C122!$A$1&amp;" "),"")&amp;IF(C211!$B$9="Lab",(C211!$A$1&amp;" "),"")&amp;IF(C212!$B$9="Lab",(C212!$A$1&amp;" "),"")&amp;IF(C311!$B$9="Lab",(C311!$A$1&amp;" "),"")&amp;IF(C312!$B$9="Lab",(C312!$A$1&amp;" "),"")&amp;IF(C411!$B$9="Lab",(C411!$A$1&amp;" "),"")&amp;IF(C412!$B$9="Lab",(C412!$A$1&amp;" "),"")&amp;IF(M111!$B$9="Lab",(M111!$A$1&amp;" "),"")&amp;IF(M211!$B$9="Lab",(M211!$A$1&amp;" "),"")&amp;IF(M311!$B$9="Lab",(M311!$A$1&amp;" "),"")&amp;IF(M411!$B$9="Lab",(M411!$A$1&amp;" "),""))," ",",")</f>
        <v/>
      </c>
      <c r="L6" t="inlineStr"/>
    </row>
    <row r="7">
      <c r="A7" s="2" t="inlineStr">
        <is>
          <t>6</t>
        </is>
      </c>
      <c r="B7" s="2">
        <f>SUBSTITUTE(TRIM(IF(D111!$B$11="Aula 1",(D111!$A$1&amp;" "),"")&amp;IF(D211!$B$11="Aula 1",(D211!$A$1&amp;" "),"")&amp;IF(D311!$B$11="Aula 1",(D311!$A$1&amp;" "),"")&amp;IF(D411!$B$11="Aula 1",(D411!$A$1&amp;" "),"")&amp;IF(C111!$B$11="Aula 1",(C111!$A$1&amp;" "),"")&amp;IF(C121!$B$11="Aula 1",(C121!$A$1&amp;" "),"")&amp;IF(C122!$B$11="Aula 1",(C122!$A$1&amp;" "),"")&amp;IF(C211!$B$11="Aula 1",(C211!$A$1&amp;" "),"")&amp;IF(C212!$B$11="Aula 1",(C212!$A$1&amp;" "),"")&amp;IF(C311!$B$11="Aula 1",(C311!$A$1&amp;" "),"")&amp;IF(C312!$B$11="Aula 1",(C312!$A$1&amp;" "),"")&amp;IF(C411!$B$11="Aula 1",(C411!$A$1&amp;" "),"")&amp;IF(C412!$B$11="Aula 1",(C412!$A$1&amp;" "),"")&amp;IF(M111!$B$11="Aula 1",(M111!$A$1&amp;" "),"")&amp;IF(M211!$B$11="Aula 1",(M211!$A$1&amp;" "),"")&amp;IF(M311!$B$11="Aula 1",(M311!$A$1&amp;" "),"")&amp;IF(M411!$B$11="Aula 1",(M411!$A$1&amp;" "),""))," ",",")</f>
        <v/>
      </c>
      <c r="C7" s="2">
        <f>SUBSTITUTE(TRIM(IF(D111!$B$11="Aula 2",(D111!$A$1&amp;" "),"")&amp;IF(D211!$B$11="Aula 2",(D211!$A$1&amp;" "),"")&amp;IF(D311!$B$11="Aula 2",(D311!$A$1&amp;" "),"")&amp;IF(D411!$B$11="Aula 2",(D411!$A$1&amp;" "),"")&amp;IF(C111!$B$11="Aula 2",(C111!$A$1&amp;" "),"")&amp;IF(C121!$B$11="Aula 2",(C121!$A$1&amp;" "),"")&amp;IF(C122!$B$11="Aula 2",(C122!$A$1&amp;" "),"")&amp;IF(C211!$B$11="Aula 2",(C211!$A$1&amp;" "),"")&amp;IF(C212!$B$11="Aula 2",(C212!$A$1&amp;" "),"")&amp;IF(C311!$B$11="Aula 2",(C311!$A$1&amp;" "),"")&amp;IF(C312!$B$11="Aula 2",(C312!$A$1&amp;" "),"")&amp;IF(C411!$B$11="Aula 2",(C411!$A$1&amp;" "),"")&amp;IF(C412!$B$11="Aula 2",(C412!$A$1&amp;" "),"")&amp;IF(M111!$B$11="Aula 2",(M111!$A$1&amp;" "),"")&amp;IF(M211!$B$11="Aula 2",(M211!$A$1&amp;" "),"")&amp;IF(M311!$B$11="Aula 2",(M311!$A$1&amp;" "),"")&amp;IF(M411!$B$11="Aula 2",(M411!$A$1&amp;" "),""))," ",",")</f>
        <v/>
      </c>
      <c r="D7" s="2">
        <f>SUBSTITUTE(TRIM(IF(D111!$B$11="Aula 3",(D111!$A$1&amp;" "),"")&amp;IF(D211!$B$11="Aula 3",(D211!$A$1&amp;" "),"")&amp;IF(D311!$B$11="Aula 3",(D311!$A$1&amp;" "),"")&amp;IF(D411!$B$11="Aula 3",(D411!$A$1&amp;" "),"")&amp;IF(C111!$B$11="Aula 3",(C111!$A$1&amp;" "),"")&amp;IF(C121!$B$11="Aula 3",(C121!$A$1&amp;" "),"")&amp;IF(C122!$B$11="Aula 3",(C122!$A$1&amp;" "),"")&amp;IF(C211!$B$11="Aula 3",(C211!$A$1&amp;" "),"")&amp;IF(C212!$B$11="Aula 3",(C212!$A$1&amp;" "),"")&amp;IF(C311!$B$11="Aula 3",(C311!$A$1&amp;" "),"")&amp;IF(C312!$B$11="Aula 3",(C312!$A$1&amp;" "),"")&amp;IF(C411!$B$11="Aula 3",(C411!$A$1&amp;" "),"")&amp;IF(C412!$B$11="Aula 3",(C412!$A$1&amp;" "),"")&amp;IF(M111!$B$11="Aula 3",(M111!$A$1&amp;" "),"")&amp;IF(M211!$B$11="Aula 3",(M211!$A$1&amp;" "),"")&amp;IF(M311!$B$11="Aula 3",(M311!$A$1&amp;" "),"")&amp;IF(M411!$B$11="Aula 3",(M411!$A$1&amp;" "),""))," ",",")</f>
        <v/>
      </c>
      <c r="E7" s="2">
        <f>SUBSTITUTE(TRIM(IF(D111!$B$11="Aula 4",(D111!$A$1&amp;" "),"")&amp;IF(D211!$B$11="Aula 4",(D211!$A$1&amp;" "),"")&amp;IF(D311!$B$11="Aula 4",(D311!$A$1&amp;" "),"")&amp;IF(D411!$B$11="Aula 4",(D411!$A$1&amp;" "),"")&amp;IF(C111!$B$11="Aula 4",(C111!$A$1&amp;" "),"")&amp;IF(C121!$B$11="Aula 4",(C121!$A$1&amp;" "),"")&amp;IF(C122!$B$11="Aula 4",(C122!$A$1&amp;" "),"")&amp;IF(C211!$B$11="Aula 4",(C211!$A$1&amp;" "),"")&amp;IF(C212!$B$11="Aula 4",(C212!$A$1&amp;" "),"")&amp;IF(C311!$B$11="Aula 4",(C311!$A$1&amp;" "),"")&amp;IF(C312!$B$11="Aula 4",(C312!$A$1&amp;" "),"")&amp;IF(C411!$B$11="Aula 4",(C411!$A$1&amp;" "),"")&amp;IF(C412!$B$11="Aula 4",(C412!$A$1&amp;" "),"")&amp;IF(M111!$B$11="Aula 4",(M111!$A$1&amp;" "),"")&amp;IF(M211!$B$11="Aula 4",(M211!$A$1&amp;" "),"")&amp;IF(M311!$B$11="Aula 4",(M311!$A$1&amp;" "),"")&amp;IF(M411!$B$11="Aula 4",(M411!$A$1&amp;" "),""))," ",",")</f>
        <v/>
      </c>
      <c r="F7" s="2">
        <f>SUBSTITUTE(TRIM(IF(D111!$B$11="Aula 5",(D111!$A$1&amp;" "),"")&amp;IF(D211!$B$11="Aula 5",(D211!$A$1&amp;" "),"")&amp;IF(D311!$B$11="Aula 5",(D311!$A$1&amp;" "),"")&amp;IF(D411!$B$11="Aula 5",(D411!$A$1&amp;" "),"")&amp;IF(C111!$B$11="Aula 5",(C111!$A$1&amp;" "),"")&amp;IF(C121!$B$11="Aula 5",(C121!$A$1&amp;" "),"")&amp;IF(C122!$B$11="Aula 5",(C122!$A$1&amp;" "),"")&amp;IF(C211!$B$11="Aula 5",(C211!$A$1&amp;" "),"")&amp;IF(C212!$B$11="Aula 5",(C212!$A$1&amp;" "),"")&amp;IF(C311!$B$11="Aula 5",(C311!$A$1&amp;" "),"")&amp;IF(C312!$B$11="Aula 5",(C312!$A$1&amp;" "),"")&amp;IF(C411!$B$11="Aula 5",(C411!$A$1&amp;" "),"")&amp;IF(C412!$B$11="Aula 5",(C412!$A$1&amp;" "),"")&amp;IF(M111!$B$11="Aula 5",(M111!$A$1&amp;" "),"")&amp;IF(M211!$B$11="Aula 5",(M211!$A$1&amp;" "),"")&amp;IF(M311!$B$11="Aula 5",(M311!$A$1&amp;" "),"")&amp;IF(M411!$B$11="Aula 5",(M411!$A$1&amp;" "),""))," ",",")</f>
        <v/>
      </c>
      <c r="G7" s="2">
        <f>SUBSTITUTE(TRIM(IF(D111!$B$11="Aula 6",(D111!$A$1&amp;" "),"")&amp;IF(D211!$B$11="Aula 6",(D211!$A$1&amp;" "),"")&amp;IF(D311!$B$11="Aula 6",(D311!$A$1&amp;" "),"")&amp;IF(D411!$B$11="Aula 6",(D411!$A$1&amp;" "),"")&amp;IF(C111!$B$11="Aula 6",(C111!$A$1&amp;" "),"")&amp;IF(C121!$B$11="Aula 6",(C121!$A$1&amp;" "),"")&amp;IF(C122!$B$11="Aula 6",(C122!$A$1&amp;" "),"")&amp;IF(C211!$B$11="Aula 6",(C211!$A$1&amp;" "),"")&amp;IF(C212!$B$11="Aula 6",(C212!$A$1&amp;" "),"")&amp;IF(C311!$B$11="Aula 6",(C311!$A$1&amp;" "),"")&amp;IF(C312!$B$11="Aula 6",(C312!$A$1&amp;" "),"")&amp;IF(C411!$B$11="Aula 6",(C411!$A$1&amp;" "),"")&amp;IF(C412!$B$11="Aula 6",(C412!$A$1&amp;" "),"")&amp;IF(M111!$B$11="Aula 6",(M111!$A$1&amp;" "),"")&amp;IF(M211!$B$11="Aula 6",(M211!$A$1&amp;" "),"")&amp;IF(M311!$B$11="Aula 6",(M311!$A$1&amp;" "),"")&amp;IF(M411!$B$11="Aula 6",(M411!$A$1&amp;" "),""))," ",",")</f>
        <v/>
      </c>
      <c r="H7" s="2">
        <f>SUBSTITUTE(TRIM(IF(D111!$B$11="Aula 7",(D111!$A$1&amp;" "),"")&amp;IF(D211!$B$11="Aula 7",(D211!$A$1&amp;" "),"")&amp;IF(D311!$B$11="Aula 7",(D311!$A$1&amp;" "),"")&amp;IF(D411!$B$11="Aula 7",(D411!$A$1&amp;" "),"")&amp;IF(C111!$B$11="Aula 7",(C111!$A$1&amp;" "),"")&amp;IF(C121!$B$11="Aula 7",(C121!$A$1&amp;" "),"")&amp;IF(C122!$B$11="Aula 7",(C122!$A$1&amp;" "),"")&amp;IF(C211!$B$11="Aula 7",(C211!$A$1&amp;" "),"")&amp;IF(C212!$B$11="Aula 7",(C212!$A$1&amp;" "),"")&amp;IF(C311!$B$11="Aula 7",(C311!$A$1&amp;" "),"")&amp;IF(C312!$B$11="Aula 7",(C312!$A$1&amp;" "),"")&amp;IF(C411!$B$11="Aula 7",(C411!$A$1&amp;" "),"")&amp;IF(C412!$B$11="Aula 7",(C412!$A$1&amp;" "),"")&amp;IF(M111!$B$11="Aula 7",(M111!$A$1&amp;" "),"")&amp;IF(M211!$B$11="Aula 7",(M211!$A$1&amp;" "),"")&amp;IF(M311!$B$11="Aula 7",(M311!$A$1&amp;" "),"")&amp;IF(M411!$B$11="Aula 7",(M411!$A$1&amp;" "),""))," ",",")</f>
        <v/>
      </c>
      <c r="I7" s="2">
        <f>SUBSTITUTE(TRIM(IF(D111!$B$11="Aula 8",(D111!$A$1&amp;" "),"")&amp;IF(D211!$B$11="Aula 8",(D211!$A$1&amp;" "),"")&amp;IF(D311!$B$11="Aula 8",(D311!$A$1&amp;" "),"")&amp;IF(D411!$B$11="Aula 8",(D411!$A$1&amp;" "),"")&amp;IF(C111!$B$11="Aula 8",(C111!$A$1&amp;" "),"")&amp;IF(C121!$B$11="Aula 8",(C121!$A$1&amp;" "),"")&amp;IF(C122!$B$11="Aula 8",(C122!$A$1&amp;" "),"")&amp;IF(C211!$B$11="Aula 8",(C211!$A$1&amp;" "),"")&amp;IF(C212!$B$11="Aula 8",(C212!$A$1&amp;" "),"")&amp;IF(C311!$B$11="Aula 8",(C311!$A$1&amp;" "),"")&amp;IF(C312!$B$11="Aula 8",(C312!$A$1&amp;" "),"")&amp;IF(C411!$B$11="Aula 8",(C411!$A$1&amp;" "),"")&amp;IF(C412!$B$11="Aula 8",(C412!$A$1&amp;" "),"")&amp;IF(M111!$B$11="Aula 8",(M111!$A$1&amp;" "),"")&amp;IF(M211!$B$11="Aula 8",(M211!$A$1&amp;" "),"")&amp;IF(M311!$B$11="Aula 8",(M311!$A$1&amp;" "),"")&amp;IF(M411!$B$11="Aula 8",(M411!$A$1&amp;" "),""))," ",",")</f>
        <v/>
      </c>
      <c r="J7" s="2">
        <f>SUBSTITUTE(TRIM(IF(D111!$B$11="Aula 9",(D111!$A$1&amp;" "),"")&amp;IF(D211!$B$11="Aula 9",(D211!$A$1&amp;" "),"")&amp;IF(D311!$B$11="Aula 9",(D311!$A$1&amp;" "),"")&amp;IF(D411!$B$11="Aula 9",(D411!$A$1&amp;" "),"")&amp;IF(C111!$B$11="Aula 9",(C111!$A$1&amp;" "),"")&amp;IF(C121!$B$11="Aula 9",(C121!$A$1&amp;" "),"")&amp;IF(C122!$B$11="Aula 9",(C122!$A$1&amp;" "),"")&amp;IF(C211!$B$11="Aula 9",(C211!$A$1&amp;" "),"")&amp;IF(C212!$B$11="Aula 9",(C212!$A$1&amp;" "),"")&amp;IF(C311!$B$11="Aula 9",(C311!$A$1&amp;" "),"")&amp;IF(C312!$B$11="Aula 9",(C312!$A$1&amp;" "),"")&amp;IF(C411!$B$11="Aula 9",(C411!$A$1&amp;" "),"")&amp;IF(C412!$B$11="Aula 9",(C412!$A$1&amp;" "),"")&amp;IF(M111!$B$11="Aula 9",(M111!$A$1&amp;" "),"")&amp;IF(M211!$B$11="Aula 9",(M211!$A$1&amp;" "),"")&amp;IF(M311!$B$11="Aula 9",(M311!$A$1&amp;" "),"")&amp;IF(M411!$B$11="Aula 9",(M411!$A$1&amp;" "),""))," ",",")</f>
        <v/>
      </c>
      <c r="K7" s="2">
        <f>SUBSTITUTE(TRIM(IF(D111!$B$11="Lab",(D111!$A$1&amp;" "),"")&amp;IF(D211!$B$11="Lab",(D211!$A$1&amp;" "),"")&amp;IF(D311!$B$11="Lab",(D311!$A$1&amp;" "),"")&amp;IF(D411!$B$11="Lab",(D411!$A$1&amp;" "),"")&amp;IF(C111!$B$11="Lab",(C111!$A$1&amp;" "),"")&amp;IF(C121!$B$11="Lab",(C121!$A$1&amp;" "),"")&amp;IF(C122!$B$11="Lab",(C122!$A$1&amp;" "),"")&amp;IF(C211!$B$11="Lab",(C211!$A$1&amp;" "),"")&amp;IF(C212!$B$11="Lab",(C212!$A$1&amp;" "),"")&amp;IF(C311!$B$11="Lab",(C311!$A$1&amp;" "),"")&amp;IF(C312!$B$11="Lab",(C312!$A$1&amp;" "),"")&amp;IF(C411!$B$11="Lab",(C411!$A$1&amp;" "),"")&amp;IF(C412!$B$11="Lab",(C412!$A$1&amp;" "),"")&amp;IF(M111!$B$11="Lab",(M111!$A$1&amp;" "),"")&amp;IF(M211!$B$11="Lab",(M211!$A$1&amp;" "),"")&amp;IF(M311!$B$11="Lab",(M311!$A$1&amp;" "),"")&amp;IF(M411!$B$11="Lab",(M411!$A$1&amp;" "),""))," ",",")</f>
        <v/>
      </c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Lab</t>
        </is>
      </c>
      <c r="L9" t="inlineStr"/>
    </row>
    <row r="10">
      <c r="A10" t="inlineStr">
        <is>
          <t>1</t>
        </is>
      </c>
      <c r="B10" t="inlineStr"/>
      <c r="C10" t="inlineStr">
        <is>
          <t>C112</t>
        </is>
      </c>
      <c r="D10" t="inlineStr"/>
      <c r="E10" t="inlineStr"/>
      <c r="F10" t="inlineStr"/>
      <c r="G10" t="inlineStr">
        <is>
          <t>C111</t>
        </is>
      </c>
      <c r="H10" t="inlineStr">
        <is>
          <t>C113</t>
        </is>
      </c>
      <c r="I10" t="inlineStr"/>
      <c r="J10" t="inlineStr"/>
      <c r="K10" t="inlineStr"/>
      <c r="L10" t="inlineStr"/>
    </row>
    <row r="11">
      <c r="A11" t="inlineStr">
        <is>
          <t>2</t>
        </is>
      </c>
      <c r="B11" t="inlineStr">
        <is>
          <t>C111</t>
        </is>
      </c>
      <c r="C11" t="inlineStr"/>
      <c r="D11" t="inlineStr"/>
      <c r="E11" t="inlineStr"/>
      <c r="F11" t="inlineStr"/>
      <c r="G11" t="inlineStr">
        <is>
          <t>C112,C113</t>
        </is>
      </c>
      <c r="H11" t="inlineStr"/>
      <c r="I11" t="inlineStr"/>
      <c r="J11" t="inlineStr"/>
      <c r="K11" t="inlineStr"/>
      <c r="L11" t="inlineStr"/>
    </row>
    <row r="12">
      <c r="A12" s="2" t="inlineStr">
        <is>
          <t>3</t>
        </is>
      </c>
      <c r="B12" s="2">
        <f>SUBSTITUTE(TRIM(IF(D111!$C$5="Aula 1",(D111!$A$1&amp;" "),"")&amp;IF(D211!$C$5="Aula 1",(D211!$A$1&amp;" "),"")&amp;IF(D311!$C$5="Aula 1",(D311!$A$1&amp;" "),"")&amp;IF(D411!$C$5="Aula 1",(D411!$A$1&amp;" "),"")&amp;IF(C111!$C$5="Aula 1",(C111!$A$1&amp;" "),"")&amp;IF(C121!$C$5="Aula 1",(C121!$A$1&amp;" "),"")&amp;IF(C122!$C$5="Aula 1",(C122!$A$1&amp;" "),"")&amp;IF(C211!$C$5="Aula 1",(C211!$A$1&amp;" "),"")&amp;IF(C212!$C$5="Aula 1",(C212!$A$1&amp;" "),"")&amp;IF(C311!$C$5="Aula 1",(C311!$A$1&amp;" "),"")&amp;IF(C312!$C$5="Aula 1",(C312!$A$1&amp;" "),"")&amp;IF(C411!$C$5="Aula 1",(C411!$A$1&amp;" "),"")&amp;IF(C412!$C$5="Aula 1",(C412!$A$1&amp;" "),"")&amp;IF(M111!$C$5="Aula 1",(M111!$A$1&amp;" "),"")&amp;IF(M211!$C$5="Aula 1",(M211!$A$1&amp;" "),"")&amp;IF(M311!$C$5="Aula 1",(M311!$A$1&amp;" "),"")&amp;IF(M411!$C$5="Aula 1",(M411!$A$1&amp;" "),""))," ",",")</f>
        <v/>
      </c>
      <c r="C12" s="2">
        <f>SUBSTITUTE(TRIM(IF(D111!$C$5="Aula 2",(D111!$A$1&amp;" "),"")&amp;IF(D211!$C$5="Aula 2",(D211!$A$1&amp;" "),"")&amp;IF(D311!$C$5="Aula 2",(D311!$A$1&amp;" "),"")&amp;IF(D411!$C$5="Aula 2",(D411!$A$1&amp;" "),"")&amp;IF(C111!$C$5="Aula 2",(C111!$A$1&amp;" "),"")&amp;IF(C121!$C$5="Aula 2",(C121!$A$1&amp;" "),"")&amp;IF(C122!$C$5="Aula 2",(C122!$A$1&amp;" "),"")&amp;IF(C211!$C$5="Aula 2",(C211!$A$1&amp;" "),"")&amp;IF(C212!$C$5="Aula 2",(C212!$A$1&amp;" "),"")&amp;IF(C311!$C$5="Aula 2",(C311!$A$1&amp;" "),"")&amp;IF(C312!$C$5="Aula 2",(C312!$A$1&amp;" "),"")&amp;IF(C411!$C$5="Aula 2",(C411!$A$1&amp;" "),"")&amp;IF(C412!$C$5="Aula 2",(C412!$A$1&amp;" "),"")&amp;IF(M111!$C$5="Aula 2",(M111!$A$1&amp;" "),"")&amp;IF(M211!$C$5="Aula 2",(M211!$A$1&amp;" "),"")&amp;IF(M311!$C$5="Aula 2",(M311!$A$1&amp;" "),"")&amp;IF(M411!$C$5="Aula 2",(M411!$A$1&amp;" "),""))," ",",")</f>
        <v/>
      </c>
      <c r="D12" s="2">
        <f>SUBSTITUTE(TRIM(IF(D111!$C$5="Aula 3",(D111!$A$1&amp;" "),"")&amp;IF(D211!$C$5="Aula 3",(D211!$A$1&amp;" "),"")&amp;IF(D311!$C$5="Aula 3",(D311!$A$1&amp;" "),"")&amp;IF(D411!$C$5="Aula 3",(D411!$A$1&amp;" "),"")&amp;IF(C111!$C$5="Aula 3",(C111!$A$1&amp;" "),"")&amp;IF(C121!$C$5="Aula 3",(C121!$A$1&amp;" "),"")&amp;IF(C122!$C$5="Aula 3",(C122!$A$1&amp;" "),"")&amp;IF(C211!$C$5="Aula 3",(C211!$A$1&amp;" "),"")&amp;IF(C212!$C$5="Aula 3",(C212!$A$1&amp;" "),"")&amp;IF(C311!$C$5="Aula 3",(C311!$A$1&amp;" "),"")&amp;IF(C312!$C$5="Aula 3",(C312!$A$1&amp;" "),"")&amp;IF(C411!$C$5="Aula 3",(C411!$A$1&amp;" "),"")&amp;IF(C412!$C$5="Aula 3",(C412!$A$1&amp;" "),"")&amp;IF(M111!$C$5="Aula 3",(M111!$A$1&amp;" "),"")&amp;IF(M211!$C$5="Aula 3",(M211!$A$1&amp;" "),"")&amp;IF(M311!$C$5="Aula 3",(M311!$A$1&amp;" "),"")&amp;IF(M411!$C$5="Aula 3",(M411!$A$1&amp;" "),""))," ",",")</f>
        <v/>
      </c>
      <c r="E12" s="2">
        <f>SUBSTITUTE(TRIM(IF(D111!$C$5="Aula 4",(D111!$A$1&amp;" "),"")&amp;IF(D211!$C$5="Aula 4",(D211!$A$1&amp;" "),"")&amp;IF(D311!$C$5="Aula 4",(D311!$A$1&amp;" "),"")&amp;IF(D411!$C$5="Aula 4",(D411!$A$1&amp;" "),"")&amp;IF(C111!$C$5="Aula 4",(C111!$A$1&amp;" "),"")&amp;IF(C121!$C$5="Aula 4",(C121!$A$1&amp;" "),"")&amp;IF(C122!$C$5="Aula 4",(C122!$A$1&amp;" "),"")&amp;IF(C211!$C$5="Aula 4",(C211!$A$1&amp;" "),"")&amp;IF(C212!$C$5="Aula 4",(C212!$A$1&amp;" "),"")&amp;IF(C311!$C$5="Aula 4",(C311!$A$1&amp;" "),"")&amp;IF(C312!$C$5="Aula 4",(C312!$A$1&amp;" "),"")&amp;IF(C411!$C$5="Aula 4",(C411!$A$1&amp;" "),"")&amp;IF(C412!$C$5="Aula 4",(C412!$A$1&amp;" "),"")&amp;IF(M111!$C$5="Aula 4",(M111!$A$1&amp;" "),"")&amp;IF(M211!$C$5="Aula 4",(M211!$A$1&amp;" "),"")&amp;IF(M311!$C$5="Aula 4",(M311!$A$1&amp;" "),"")&amp;IF(M411!$C$5="Aula 4",(M411!$A$1&amp;" "),""))," ",",")</f>
        <v/>
      </c>
      <c r="F12" s="2">
        <f>SUBSTITUTE(TRIM(IF(D111!$C$5="Aula 5",(D111!$A$1&amp;" "),"")&amp;IF(D211!$C$5="Aula 5",(D211!$A$1&amp;" "),"")&amp;IF(D311!$C$5="Aula 5",(D311!$A$1&amp;" "),"")&amp;IF(D411!$C$5="Aula 5",(D411!$A$1&amp;" "),"")&amp;IF(C111!$C$5="Aula 5",(C111!$A$1&amp;" "),"")&amp;IF(C121!$C$5="Aula 5",(C121!$A$1&amp;" "),"")&amp;IF(C122!$C$5="Aula 5",(C122!$A$1&amp;" "),"")&amp;IF(C211!$C$5="Aula 5",(C211!$A$1&amp;" "),"")&amp;IF(C212!$C$5="Aula 5",(C212!$A$1&amp;" "),"")&amp;IF(C311!$C$5="Aula 5",(C311!$A$1&amp;" "),"")&amp;IF(C312!$C$5="Aula 5",(C312!$A$1&amp;" "),"")&amp;IF(C411!$C$5="Aula 5",(C411!$A$1&amp;" "),"")&amp;IF(C412!$C$5="Aula 5",(C412!$A$1&amp;" "),"")&amp;IF(M111!$C$5="Aula 5",(M111!$A$1&amp;" "),"")&amp;IF(M211!$C$5="Aula 5",(M211!$A$1&amp;" "),"")&amp;IF(M311!$C$5="Aula 5",(M311!$A$1&amp;" "),"")&amp;IF(M411!$C$5="Aula 5",(M411!$A$1&amp;" "),""))," ",",")</f>
        <v/>
      </c>
      <c r="G12" s="2">
        <f>SUBSTITUTE(TRIM(IF(D111!$C$5="Aula 6",(D111!$A$1&amp;" "),"")&amp;IF(D211!$C$5="Aula 6",(D211!$A$1&amp;" "),"")&amp;IF(D311!$C$5="Aula 6",(D311!$A$1&amp;" "),"")&amp;IF(D411!$C$5="Aula 6",(D411!$A$1&amp;" "),"")&amp;IF(C111!$C$5="Aula 6",(C111!$A$1&amp;" "),"")&amp;IF(C121!$C$5="Aula 6",(C121!$A$1&amp;" "),"")&amp;IF(C122!$C$5="Aula 6",(C122!$A$1&amp;" "),"")&amp;IF(C211!$C$5="Aula 6",(C211!$A$1&amp;" "),"")&amp;IF(C212!$C$5="Aula 6",(C212!$A$1&amp;" "),"")&amp;IF(C311!$C$5="Aula 6",(C311!$A$1&amp;" "),"")&amp;IF(C312!$C$5="Aula 6",(C312!$A$1&amp;" "),"")&amp;IF(C411!$C$5="Aula 6",(C411!$A$1&amp;" "),"")&amp;IF(C412!$C$5="Aula 6",(C412!$A$1&amp;" "),"")&amp;IF(M111!$C$5="Aula 6",(M111!$A$1&amp;" "),"")&amp;IF(M211!$C$5="Aula 6",(M211!$A$1&amp;" "),"")&amp;IF(M311!$C$5="Aula 6",(M311!$A$1&amp;" "),"")&amp;IF(M411!$C$5="Aula 6",(M411!$A$1&amp;" "),""))," ",",")</f>
        <v/>
      </c>
      <c r="H12" s="2">
        <f>SUBSTITUTE(TRIM(IF(D111!$C$5="Aula 7",(D111!$A$1&amp;" "),"")&amp;IF(D211!$C$5="Aula 7",(D211!$A$1&amp;" "),"")&amp;IF(D311!$C$5="Aula 7",(D311!$A$1&amp;" "),"")&amp;IF(D411!$C$5="Aula 7",(D411!$A$1&amp;" "),"")&amp;IF(C111!$C$5="Aula 7",(C111!$A$1&amp;" "),"")&amp;IF(C121!$C$5="Aula 7",(C121!$A$1&amp;" "),"")&amp;IF(C122!$C$5="Aula 7",(C122!$A$1&amp;" "),"")&amp;IF(C211!$C$5="Aula 7",(C211!$A$1&amp;" "),"")&amp;IF(C212!$C$5="Aula 7",(C212!$A$1&amp;" "),"")&amp;IF(C311!$C$5="Aula 7",(C311!$A$1&amp;" "),"")&amp;IF(C312!$C$5="Aula 7",(C312!$A$1&amp;" "),"")&amp;IF(C411!$C$5="Aula 7",(C411!$A$1&amp;" "),"")&amp;IF(C412!$C$5="Aula 7",(C412!$A$1&amp;" "),"")&amp;IF(M111!$C$5="Aula 7",(M111!$A$1&amp;" "),"")&amp;IF(M211!$C$5="Aula 7",(M211!$A$1&amp;" "),"")&amp;IF(M311!$C$5="Aula 7",(M311!$A$1&amp;" "),"")&amp;IF(M411!$C$5="Aula 7",(M411!$A$1&amp;" "),""))," ",",")</f>
        <v/>
      </c>
      <c r="I12" s="2">
        <f>SUBSTITUTE(TRIM(IF(D111!$C$5="Aula 8",(D111!$A$1&amp;" "),"")&amp;IF(D211!$C$5="Aula 8",(D211!$A$1&amp;" "),"")&amp;IF(D311!$C$5="Aula 8",(D311!$A$1&amp;" "),"")&amp;IF(D411!$C$5="Aula 8",(D411!$A$1&amp;" "),"")&amp;IF(C111!$C$5="Aula 8",(C111!$A$1&amp;" "),"")&amp;IF(C121!$C$5="Aula 8",(C121!$A$1&amp;" "),"")&amp;IF(C122!$C$5="Aula 8",(C122!$A$1&amp;" "),"")&amp;IF(C211!$C$5="Aula 8",(C211!$A$1&amp;" "),"")&amp;IF(C212!$C$5="Aula 8",(C212!$A$1&amp;" "),"")&amp;IF(C311!$C$5="Aula 8",(C311!$A$1&amp;" "),"")&amp;IF(C312!$C$5="Aula 8",(C312!$A$1&amp;" "),"")&amp;IF(C411!$C$5="Aula 8",(C411!$A$1&amp;" "),"")&amp;IF(C412!$C$5="Aula 8",(C412!$A$1&amp;" "),"")&amp;IF(M111!$C$5="Aula 8",(M111!$A$1&amp;" "),"")&amp;IF(M211!$C$5="Aula 8",(M211!$A$1&amp;" "),"")&amp;IF(M311!$C$5="Aula 8",(M311!$A$1&amp;" "),"")&amp;IF(M411!$C$5="Aula 8",(M411!$A$1&amp;" "),""))," ",",")</f>
        <v/>
      </c>
      <c r="J12" s="2">
        <f>SUBSTITUTE(TRIM(IF(D111!$C$5="Aula 9",(D111!$A$1&amp;" "),"")&amp;IF(D211!$C$5="Aula 9",(D211!$A$1&amp;" "),"")&amp;IF(D311!$C$5="Aula 9",(D311!$A$1&amp;" "),"")&amp;IF(D411!$C$5="Aula 9",(D411!$A$1&amp;" "),"")&amp;IF(C111!$C$5="Aula 9",(C111!$A$1&amp;" "),"")&amp;IF(C121!$C$5="Aula 9",(C121!$A$1&amp;" "),"")&amp;IF(C122!$C$5="Aula 9",(C122!$A$1&amp;" "),"")&amp;IF(C211!$C$5="Aula 9",(C211!$A$1&amp;" "),"")&amp;IF(C212!$C$5="Aula 9",(C212!$A$1&amp;" "),"")&amp;IF(C311!$C$5="Aula 9",(C311!$A$1&amp;" "),"")&amp;IF(C312!$C$5="Aula 9",(C312!$A$1&amp;" "),"")&amp;IF(C411!$C$5="Aula 9",(C411!$A$1&amp;" "),"")&amp;IF(C412!$C$5="Aula 9",(C412!$A$1&amp;" "),"")&amp;IF(M111!$C$5="Aula 9",(M111!$A$1&amp;" "),"")&amp;IF(M211!$C$5="Aula 9",(M211!$A$1&amp;" "),"")&amp;IF(M311!$C$5="Aula 9",(M311!$A$1&amp;" "),"")&amp;IF(M411!$C$5="Aula 9",(M411!$A$1&amp;" "),""))," ",",")</f>
        <v/>
      </c>
      <c r="K12" s="2">
        <f>SUBSTITUTE(TRIM(IF(D111!$C$5="Lab",(D111!$A$1&amp;" "),"")&amp;IF(D211!$C$5="Lab",(D211!$A$1&amp;" "),"")&amp;IF(D311!$C$5="Lab",(D311!$A$1&amp;" "),"")&amp;IF(D411!$C$5="Lab",(D411!$A$1&amp;" "),"")&amp;IF(C111!$C$5="Lab",(C111!$A$1&amp;" "),"")&amp;IF(C121!$C$5="Lab",(C121!$A$1&amp;" "),"")&amp;IF(C122!$C$5="Lab",(C122!$A$1&amp;" "),"")&amp;IF(C211!$C$5="Lab",(C211!$A$1&amp;" "),"")&amp;IF(C212!$C$5="Lab",(C212!$A$1&amp;" "),"")&amp;IF(C311!$C$5="Lab",(C311!$A$1&amp;" "),"")&amp;IF(C312!$C$5="Lab",(C312!$A$1&amp;" "),"")&amp;IF(C411!$C$5="Lab",(C411!$A$1&amp;" "),"")&amp;IF(C412!$C$5="Lab",(C412!$A$1&amp;" "),"")&amp;IF(M111!$C$5="Lab",(M111!$A$1&amp;" "),"")&amp;IF(M211!$C$5="Lab",(M211!$A$1&amp;" "),"")&amp;IF(M311!$C$5="Lab",(M311!$A$1&amp;" "),"")&amp;IF(M411!$C$5="Lab",(M411!$A$1&amp;" "),""))," ",",")</f>
        <v/>
      </c>
      <c r="L12" t="inlineStr"/>
    </row>
    <row r="13">
      <c r="A13" s="2" t="inlineStr">
        <is>
          <t>4</t>
        </is>
      </c>
      <c r="B13" s="2">
        <f>SUBSTITUTE(TRIM(IF(D111!$C$7="Aula 1",(D111!$A$1&amp;" "),"")&amp;IF(D211!$C$7="Aula 1",(D211!$A$1&amp;" "),"")&amp;IF(D311!$C$7="Aula 1",(D311!$A$1&amp;" "),"")&amp;IF(D411!$C$7="Aula 1",(D411!$A$1&amp;" "),"")&amp;IF(C111!$C$7="Aula 1",(C111!$A$1&amp;" "),"")&amp;IF(C121!$C$7="Aula 1",(C121!$A$1&amp;" "),"")&amp;IF(C122!$C$7="Aula 1",(C122!$A$1&amp;" "),"")&amp;IF(C211!$C$7="Aula 1",(C211!$A$1&amp;" "),"")&amp;IF(C212!$C$7="Aula 1",(C212!$A$1&amp;" "),"")&amp;IF(C311!$C$7="Aula 1",(C311!$A$1&amp;" "),"")&amp;IF(C312!$C$7="Aula 1",(C312!$A$1&amp;" "),"")&amp;IF(C411!$C$7="Aula 1",(C411!$A$1&amp;" "),"")&amp;IF(C412!$C$7="Aula 1",(C412!$A$1&amp;" "),"")&amp;IF(M111!$C$7="Aula 1",(M111!$A$1&amp;" "),"")&amp;IF(M211!$C$7="Aula 1",(M211!$A$1&amp;" "),"")&amp;IF(M311!$C$7="Aula 1",(M311!$A$1&amp;" "),"")&amp;IF(M411!$C$7="Aula 1",(M411!$A$1&amp;" "),""))," ",",")</f>
        <v/>
      </c>
      <c r="C13" s="2">
        <f>SUBSTITUTE(TRIM(IF(D111!$C$7="Aula 2",(D111!$A$1&amp;" "),"")&amp;IF(D211!$C$7="Aula 2",(D211!$A$1&amp;" "),"")&amp;IF(D311!$C$7="Aula 2",(D311!$A$1&amp;" "),"")&amp;IF(D411!$C$7="Aula 2",(D411!$A$1&amp;" "),"")&amp;IF(C111!$C$7="Aula 2",(C111!$A$1&amp;" "),"")&amp;IF(C121!$C$7="Aula 2",(C121!$A$1&amp;" "),"")&amp;IF(C122!$C$7="Aula 2",(C122!$A$1&amp;" "),"")&amp;IF(C211!$C$7="Aula 2",(C211!$A$1&amp;" "),"")&amp;IF(C212!$C$7="Aula 2",(C212!$A$1&amp;" "),"")&amp;IF(C311!$C$7="Aula 2",(C311!$A$1&amp;" "),"")&amp;IF(C312!$C$7="Aula 2",(C312!$A$1&amp;" "),"")&amp;IF(C411!$C$7="Aula 2",(C411!$A$1&amp;" "),"")&amp;IF(C412!$C$7="Aula 2",(C412!$A$1&amp;" "),"")&amp;IF(M111!$C$7="Aula 2",(M111!$A$1&amp;" "),"")&amp;IF(M211!$C$7="Aula 2",(M211!$A$1&amp;" "),"")&amp;IF(M311!$C$7="Aula 2",(M311!$A$1&amp;" "),"")&amp;IF(M411!$C$7="Aula 2",(M411!$A$1&amp;" "),""))," ",",")</f>
        <v/>
      </c>
      <c r="D13" s="2">
        <f>SUBSTITUTE(TRIM(IF(D111!$C$7="Aula 3",(D111!$A$1&amp;" "),"")&amp;IF(D211!$C$7="Aula 3",(D211!$A$1&amp;" "),"")&amp;IF(D311!$C$7="Aula 3",(D311!$A$1&amp;" "),"")&amp;IF(D411!$C$7="Aula 3",(D411!$A$1&amp;" "),"")&amp;IF(C111!$C$7="Aula 3",(C111!$A$1&amp;" "),"")&amp;IF(C121!$C$7="Aula 3",(C121!$A$1&amp;" "),"")&amp;IF(C122!$C$7="Aula 3",(C122!$A$1&amp;" "),"")&amp;IF(C211!$C$7="Aula 3",(C211!$A$1&amp;" "),"")&amp;IF(C212!$C$7="Aula 3",(C212!$A$1&amp;" "),"")&amp;IF(C311!$C$7="Aula 3",(C311!$A$1&amp;" "),"")&amp;IF(C312!$C$7="Aula 3",(C312!$A$1&amp;" "),"")&amp;IF(C411!$C$7="Aula 3",(C411!$A$1&amp;" "),"")&amp;IF(C412!$C$7="Aula 3",(C412!$A$1&amp;" "),"")&amp;IF(M111!$C$7="Aula 3",(M111!$A$1&amp;" "),"")&amp;IF(M211!$C$7="Aula 3",(M211!$A$1&amp;" "),"")&amp;IF(M311!$C$7="Aula 3",(M311!$A$1&amp;" "),"")&amp;IF(M411!$C$7="Aula 3",(M411!$A$1&amp;" "),""))," ",",")</f>
        <v/>
      </c>
      <c r="E13" s="2">
        <f>SUBSTITUTE(TRIM(IF(D111!$C$7="Aula 4",(D111!$A$1&amp;" "),"")&amp;IF(D211!$C$7="Aula 4",(D211!$A$1&amp;" "),"")&amp;IF(D311!$C$7="Aula 4",(D311!$A$1&amp;" "),"")&amp;IF(D411!$C$7="Aula 4",(D411!$A$1&amp;" "),"")&amp;IF(C111!$C$7="Aula 4",(C111!$A$1&amp;" "),"")&amp;IF(C121!$C$7="Aula 4",(C121!$A$1&amp;" "),"")&amp;IF(C122!$C$7="Aula 4",(C122!$A$1&amp;" "),"")&amp;IF(C211!$C$7="Aula 4",(C211!$A$1&amp;" "),"")&amp;IF(C212!$C$7="Aula 4",(C212!$A$1&amp;" "),"")&amp;IF(C311!$C$7="Aula 4",(C311!$A$1&amp;" "),"")&amp;IF(C312!$C$7="Aula 4",(C312!$A$1&amp;" "),"")&amp;IF(C411!$C$7="Aula 4",(C411!$A$1&amp;" "),"")&amp;IF(C412!$C$7="Aula 4",(C412!$A$1&amp;" "),"")&amp;IF(M111!$C$7="Aula 4",(M111!$A$1&amp;" "),"")&amp;IF(M211!$C$7="Aula 4",(M211!$A$1&amp;" "),"")&amp;IF(M311!$C$7="Aula 4",(M311!$A$1&amp;" "),"")&amp;IF(M411!$C$7="Aula 4",(M411!$A$1&amp;" "),""))," ",",")</f>
        <v/>
      </c>
      <c r="F13" s="2">
        <f>SUBSTITUTE(TRIM(IF(D111!$C$7="Aula 5",(D111!$A$1&amp;" "),"")&amp;IF(D211!$C$7="Aula 5",(D211!$A$1&amp;" "),"")&amp;IF(D311!$C$7="Aula 5",(D311!$A$1&amp;" "),"")&amp;IF(D411!$C$7="Aula 5",(D411!$A$1&amp;" "),"")&amp;IF(C111!$C$7="Aula 5",(C111!$A$1&amp;" "),"")&amp;IF(C121!$C$7="Aula 5",(C121!$A$1&amp;" "),"")&amp;IF(C122!$C$7="Aula 5",(C122!$A$1&amp;" "),"")&amp;IF(C211!$C$7="Aula 5",(C211!$A$1&amp;" "),"")&amp;IF(C212!$C$7="Aula 5",(C212!$A$1&amp;" "),"")&amp;IF(C311!$C$7="Aula 5",(C311!$A$1&amp;" "),"")&amp;IF(C312!$C$7="Aula 5",(C312!$A$1&amp;" "),"")&amp;IF(C411!$C$7="Aula 5",(C411!$A$1&amp;" "),"")&amp;IF(C412!$C$7="Aula 5",(C412!$A$1&amp;" "),"")&amp;IF(M111!$C$7="Aula 5",(M111!$A$1&amp;" "),"")&amp;IF(M211!$C$7="Aula 5",(M211!$A$1&amp;" "),"")&amp;IF(M311!$C$7="Aula 5",(M311!$A$1&amp;" "),"")&amp;IF(M411!$C$7="Aula 5",(M411!$A$1&amp;" "),""))," ",",")</f>
        <v/>
      </c>
      <c r="G13" s="2">
        <f>SUBSTITUTE(TRIM(IF(D111!$C$7="Aula 6",(D111!$A$1&amp;" "),"")&amp;IF(D211!$C$7="Aula 6",(D211!$A$1&amp;" "),"")&amp;IF(D311!$C$7="Aula 6",(D311!$A$1&amp;" "),"")&amp;IF(D411!$C$7="Aula 6",(D411!$A$1&amp;" "),"")&amp;IF(C111!$C$7="Aula 6",(C111!$A$1&amp;" "),"")&amp;IF(C121!$C$7="Aula 6",(C121!$A$1&amp;" "),"")&amp;IF(C122!$C$7="Aula 6",(C122!$A$1&amp;" "),"")&amp;IF(C211!$C$7="Aula 6",(C211!$A$1&amp;" "),"")&amp;IF(C212!$C$7="Aula 6",(C212!$A$1&amp;" "),"")&amp;IF(C311!$C$7="Aula 6",(C311!$A$1&amp;" "),"")&amp;IF(C312!$C$7="Aula 6",(C312!$A$1&amp;" "),"")&amp;IF(C411!$C$7="Aula 6",(C411!$A$1&amp;" "),"")&amp;IF(C412!$C$7="Aula 6",(C412!$A$1&amp;" "),"")&amp;IF(M111!$C$7="Aula 6",(M111!$A$1&amp;" "),"")&amp;IF(M211!$C$7="Aula 6",(M211!$A$1&amp;" "),"")&amp;IF(M311!$C$7="Aula 6",(M311!$A$1&amp;" "),"")&amp;IF(M411!$C$7="Aula 6",(M411!$A$1&amp;" "),""))," ",",")</f>
        <v/>
      </c>
      <c r="H13" s="2">
        <f>SUBSTITUTE(TRIM(IF(D111!$C$7="Aula 7",(D111!$A$1&amp;" "),"")&amp;IF(D211!$C$7="Aula 7",(D211!$A$1&amp;" "),"")&amp;IF(D311!$C$7="Aula 7",(D311!$A$1&amp;" "),"")&amp;IF(D411!$C$7="Aula 7",(D411!$A$1&amp;" "),"")&amp;IF(C111!$C$7="Aula 7",(C111!$A$1&amp;" "),"")&amp;IF(C121!$C$7="Aula 7",(C121!$A$1&amp;" "),"")&amp;IF(C122!$C$7="Aula 7",(C122!$A$1&amp;" "),"")&amp;IF(C211!$C$7="Aula 7",(C211!$A$1&amp;" "),"")&amp;IF(C212!$C$7="Aula 7",(C212!$A$1&amp;" "),"")&amp;IF(C311!$C$7="Aula 7",(C311!$A$1&amp;" "),"")&amp;IF(C312!$C$7="Aula 7",(C312!$A$1&amp;" "),"")&amp;IF(C411!$C$7="Aula 7",(C411!$A$1&amp;" "),"")&amp;IF(C412!$C$7="Aula 7",(C412!$A$1&amp;" "),"")&amp;IF(M111!$C$7="Aula 7",(M111!$A$1&amp;" "),"")&amp;IF(M211!$C$7="Aula 7",(M211!$A$1&amp;" "),"")&amp;IF(M311!$C$7="Aula 7",(M311!$A$1&amp;" "),"")&amp;IF(M411!$C$7="Aula 7",(M411!$A$1&amp;" "),""))," ",",")</f>
        <v/>
      </c>
      <c r="I13" s="2">
        <f>SUBSTITUTE(TRIM(IF(D111!$C$7="Aula 8",(D111!$A$1&amp;" "),"")&amp;IF(D211!$C$7="Aula 8",(D211!$A$1&amp;" "),"")&amp;IF(D311!$C$7="Aula 8",(D311!$A$1&amp;" "),"")&amp;IF(D411!$C$7="Aula 8",(D411!$A$1&amp;" "),"")&amp;IF(C111!$C$7="Aula 8",(C111!$A$1&amp;" "),"")&amp;IF(C121!$C$7="Aula 8",(C121!$A$1&amp;" "),"")&amp;IF(C122!$C$7="Aula 8",(C122!$A$1&amp;" "),"")&amp;IF(C211!$C$7="Aula 8",(C211!$A$1&amp;" "),"")&amp;IF(C212!$C$7="Aula 8",(C212!$A$1&amp;" "),"")&amp;IF(C311!$C$7="Aula 8",(C311!$A$1&amp;" "),"")&amp;IF(C312!$C$7="Aula 8",(C312!$A$1&amp;" "),"")&amp;IF(C411!$C$7="Aula 8",(C411!$A$1&amp;" "),"")&amp;IF(C412!$C$7="Aula 8",(C412!$A$1&amp;" "),"")&amp;IF(M111!$C$7="Aula 8",(M111!$A$1&amp;" "),"")&amp;IF(M211!$C$7="Aula 8",(M211!$A$1&amp;" "),"")&amp;IF(M311!$C$7="Aula 8",(M311!$A$1&amp;" "),"")&amp;IF(M411!$C$7="Aula 8",(M411!$A$1&amp;" "),""))," ",",")</f>
        <v/>
      </c>
      <c r="J13" s="2">
        <f>SUBSTITUTE(TRIM(IF(D111!$C$7="Aula 9",(D111!$A$1&amp;" "),"")&amp;IF(D211!$C$7="Aula 9",(D211!$A$1&amp;" "),"")&amp;IF(D311!$C$7="Aula 9",(D311!$A$1&amp;" "),"")&amp;IF(D411!$C$7="Aula 9",(D411!$A$1&amp;" "),"")&amp;IF(C111!$C$7="Aula 9",(C111!$A$1&amp;" "),"")&amp;IF(C121!$C$7="Aula 9",(C121!$A$1&amp;" "),"")&amp;IF(C122!$C$7="Aula 9",(C122!$A$1&amp;" "),"")&amp;IF(C211!$C$7="Aula 9",(C211!$A$1&amp;" "),"")&amp;IF(C212!$C$7="Aula 9",(C212!$A$1&amp;" "),"")&amp;IF(C311!$C$7="Aula 9",(C311!$A$1&amp;" "),"")&amp;IF(C312!$C$7="Aula 9",(C312!$A$1&amp;" "),"")&amp;IF(C411!$C$7="Aula 9",(C411!$A$1&amp;" "),"")&amp;IF(C412!$C$7="Aula 9",(C412!$A$1&amp;" "),"")&amp;IF(M111!$C$7="Aula 9",(M111!$A$1&amp;" "),"")&amp;IF(M211!$C$7="Aula 9",(M211!$A$1&amp;" "),"")&amp;IF(M311!$C$7="Aula 9",(M311!$A$1&amp;" "),"")&amp;IF(M411!$C$7="Aula 9",(M411!$A$1&amp;" "),""))," ",",")</f>
        <v/>
      </c>
      <c r="K13" s="2">
        <f>SUBSTITUTE(TRIM(IF(D111!$C$7="Lab",(D111!$A$1&amp;" "),"")&amp;IF(D211!$C$7="Lab",(D211!$A$1&amp;" "),"")&amp;IF(D311!$C$7="Lab",(D311!$A$1&amp;" "),"")&amp;IF(D411!$C$7="Lab",(D411!$A$1&amp;" "),"")&amp;IF(C111!$C$7="Lab",(C111!$A$1&amp;" "),"")&amp;IF(C121!$C$7="Lab",(C121!$A$1&amp;" "),"")&amp;IF(C122!$C$7="Lab",(C122!$A$1&amp;" "),"")&amp;IF(C211!$C$7="Lab",(C211!$A$1&amp;" "),"")&amp;IF(C212!$C$7="Lab",(C212!$A$1&amp;" "),"")&amp;IF(C311!$C$7="Lab",(C311!$A$1&amp;" "),"")&amp;IF(C312!$C$7="Lab",(C312!$A$1&amp;" "),"")&amp;IF(C411!$C$7="Lab",(C411!$A$1&amp;" "),"")&amp;IF(C412!$C$7="Lab",(C412!$A$1&amp;" "),"")&amp;IF(M111!$C$7="Lab",(M111!$A$1&amp;" "),"")&amp;IF(M211!$C$7="Lab",(M211!$A$1&amp;" "),"")&amp;IF(M311!$C$7="Lab",(M311!$A$1&amp;" "),"")&amp;IF(M411!$C$7="Lab",(M411!$A$1&amp;" "),""))," ",",")</f>
        <v/>
      </c>
      <c r="L13" t="inlineStr"/>
    </row>
    <row r="14">
      <c r="A14" s="2" t="inlineStr">
        <is>
          <t>5</t>
        </is>
      </c>
      <c r="B14" s="2">
        <f>SUBSTITUTE(TRIM(IF(D111!$C$9="Aula 1",(D111!$A$1&amp;" "),"")&amp;IF(D211!$C$9="Aula 1",(D211!$A$1&amp;" "),"")&amp;IF(D311!$C$9="Aula 1",(D311!$A$1&amp;" "),"")&amp;IF(D411!$C$9="Aula 1",(D411!$A$1&amp;" "),"")&amp;IF(C111!$C$9="Aula 1",(C111!$A$1&amp;" "),"")&amp;IF(C121!$C$9="Aula 1",(C121!$A$1&amp;" "),"")&amp;IF(C122!$C$9="Aula 1",(C122!$A$1&amp;" "),"")&amp;IF(C211!$C$9="Aula 1",(C211!$A$1&amp;" "),"")&amp;IF(C212!$C$9="Aula 1",(C212!$A$1&amp;" "),"")&amp;IF(C311!$C$9="Aula 1",(C311!$A$1&amp;" "),"")&amp;IF(C312!$C$9="Aula 1",(C312!$A$1&amp;" "),"")&amp;IF(C411!$C$9="Aula 1",(C411!$A$1&amp;" "),"")&amp;IF(C412!$C$9="Aula 1",(C412!$A$1&amp;" "),"")&amp;IF(M111!$C$9="Aula 1",(M111!$A$1&amp;" "),"")&amp;IF(M211!$C$9="Aula 1",(M211!$A$1&amp;" "),"")&amp;IF(M311!$C$9="Aula 1",(M311!$A$1&amp;" "),"")&amp;IF(M411!$C$9="Aula 1",(M411!$A$1&amp;" "),""))," ",",")</f>
        <v/>
      </c>
      <c r="C14" s="2">
        <f>SUBSTITUTE(TRIM(IF(D111!$C$9="Aula 2",(D111!$A$1&amp;" "),"")&amp;IF(D211!$C$9="Aula 2",(D211!$A$1&amp;" "),"")&amp;IF(D311!$C$9="Aula 2",(D311!$A$1&amp;" "),"")&amp;IF(D411!$C$9="Aula 2",(D411!$A$1&amp;" "),"")&amp;IF(C111!$C$9="Aula 2",(C111!$A$1&amp;" "),"")&amp;IF(C121!$C$9="Aula 2",(C121!$A$1&amp;" "),"")&amp;IF(C122!$C$9="Aula 2",(C122!$A$1&amp;" "),"")&amp;IF(C211!$C$9="Aula 2",(C211!$A$1&amp;" "),"")&amp;IF(C212!$C$9="Aula 2",(C212!$A$1&amp;" "),"")&amp;IF(C311!$C$9="Aula 2",(C311!$A$1&amp;" "),"")&amp;IF(C312!$C$9="Aula 2",(C312!$A$1&amp;" "),"")&amp;IF(C411!$C$9="Aula 2",(C411!$A$1&amp;" "),"")&amp;IF(C412!$C$9="Aula 2",(C412!$A$1&amp;" "),"")&amp;IF(M111!$C$9="Aula 2",(M111!$A$1&amp;" "),"")&amp;IF(M211!$C$9="Aula 2",(M211!$A$1&amp;" "),"")&amp;IF(M311!$C$9="Aula 2",(M311!$A$1&amp;" "),"")&amp;IF(M411!$C$9="Aula 2",(M411!$A$1&amp;" "),""))," ",",")</f>
        <v/>
      </c>
      <c r="D14" s="2">
        <f>SUBSTITUTE(TRIM(IF(D111!$C$9="Aula 3",(D111!$A$1&amp;" "),"")&amp;IF(D211!$C$9="Aula 3",(D211!$A$1&amp;" "),"")&amp;IF(D311!$C$9="Aula 3",(D311!$A$1&amp;" "),"")&amp;IF(D411!$C$9="Aula 3",(D411!$A$1&amp;" "),"")&amp;IF(C111!$C$9="Aula 3",(C111!$A$1&amp;" "),"")&amp;IF(C121!$C$9="Aula 3",(C121!$A$1&amp;" "),"")&amp;IF(C122!$C$9="Aula 3",(C122!$A$1&amp;" "),"")&amp;IF(C211!$C$9="Aula 3",(C211!$A$1&amp;" "),"")&amp;IF(C212!$C$9="Aula 3",(C212!$A$1&amp;" "),"")&amp;IF(C311!$C$9="Aula 3",(C311!$A$1&amp;" "),"")&amp;IF(C312!$C$9="Aula 3",(C312!$A$1&amp;" "),"")&amp;IF(C411!$C$9="Aula 3",(C411!$A$1&amp;" "),"")&amp;IF(C412!$C$9="Aula 3",(C412!$A$1&amp;" "),"")&amp;IF(M111!$C$9="Aula 3",(M111!$A$1&amp;" "),"")&amp;IF(M211!$C$9="Aula 3",(M211!$A$1&amp;" "),"")&amp;IF(M311!$C$9="Aula 3",(M311!$A$1&amp;" "),"")&amp;IF(M411!$C$9="Aula 3",(M411!$A$1&amp;" "),""))," ",",")</f>
        <v/>
      </c>
      <c r="E14" s="2">
        <f>SUBSTITUTE(TRIM(IF(D111!$C$9="Aula 4",(D111!$A$1&amp;" "),"")&amp;IF(D211!$C$9="Aula 4",(D211!$A$1&amp;" "),"")&amp;IF(D311!$C$9="Aula 4",(D311!$A$1&amp;" "),"")&amp;IF(D411!$C$9="Aula 4",(D411!$A$1&amp;" "),"")&amp;IF(C111!$C$9="Aula 4",(C111!$A$1&amp;" "),"")&amp;IF(C121!$C$9="Aula 4",(C121!$A$1&amp;" "),"")&amp;IF(C122!$C$9="Aula 4",(C122!$A$1&amp;" "),"")&amp;IF(C211!$C$9="Aula 4",(C211!$A$1&amp;" "),"")&amp;IF(C212!$C$9="Aula 4",(C212!$A$1&amp;" "),"")&amp;IF(C311!$C$9="Aula 4",(C311!$A$1&amp;" "),"")&amp;IF(C312!$C$9="Aula 4",(C312!$A$1&amp;" "),"")&amp;IF(C411!$C$9="Aula 4",(C411!$A$1&amp;" "),"")&amp;IF(C412!$C$9="Aula 4",(C412!$A$1&amp;" "),"")&amp;IF(M111!$C$9="Aula 4",(M111!$A$1&amp;" "),"")&amp;IF(M211!$C$9="Aula 4",(M211!$A$1&amp;" "),"")&amp;IF(M311!$C$9="Aula 4",(M311!$A$1&amp;" "),"")&amp;IF(M411!$C$9="Aula 4",(M411!$A$1&amp;" "),""))," ",",")</f>
        <v/>
      </c>
      <c r="F14" s="2">
        <f>SUBSTITUTE(TRIM(IF(D111!$C$9="Aula 5",(D111!$A$1&amp;" "),"")&amp;IF(D211!$C$9="Aula 5",(D211!$A$1&amp;" "),"")&amp;IF(D311!$C$9="Aula 5",(D311!$A$1&amp;" "),"")&amp;IF(D411!$C$9="Aula 5",(D411!$A$1&amp;" "),"")&amp;IF(C111!$C$9="Aula 5",(C111!$A$1&amp;" "),"")&amp;IF(C121!$C$9="Aula 5",(C121!$A$1&amp;" "),"")&amp;IF(C122!$C$9="Aula 5",(C122!$A$1&amp;" "),"")&amp;IF(C211!$C$9="Aula 5",(C211!$A$1&amp;" "),"")&amp;IF(C212!$C$9="Aula 5",(C212!$A$1&amp;" "),"")&amp;IF(C311!$C$9="Aula 5",(C311!$A$1&amp;" "),"")&amp;IF(C312!$C$9="Aula 5",(C312!$A$1&amp;" "),"")&amp;IF(C411!$C$9="Aula 5",(C411!$A$1&amp;" "),"")&amp;IF(C412!$C$9="Aula 5",(C412!$A$1&amp;" "),"")&amp;IF(M111!$C$9="Aula 5",(M111!$A$1&amp;" "),"")&amp;IF(M211!$C$9="Aula 5",(M211!$A$1&amp;" "),"")&amp;IF(M311!$C$9="Aula 5",(M311!$A$1&amp;" "),"")&amp;IF(M411!$C$9="Aula 5",(M411!$A$1&amp;" "),""))," ",",")</f>
        <v/>
      </c>
      <c r="G14" s="2">
        <f>SUBSTITUTE(TRIM(IF(D111!$C$9="Aula 6",(D111!$A$1&amp;" "),"")&amp;IF(D211!$C$9="Aula 6",(D211!$A$1&amp;" "),"")&amp;IF(D311!$C$9="Aula 6",(D311!$A$1&amp;" "),"")&amp;IF(D411!$C$9="Aula 6",(D411!$A$1&amp;" "),"")&amp;IF(C111!$C$9="Aula 6",(C111!$A$1&amp;" "),"")&amp;IF(C121!$C$9="Aula 6",(C121!$A$1&amp;" "),"")&amp;IF(C122!$C$9="Aula 6",(C122!$A$1&amp;" "),"")&amp;IF(C211!$C$9="Aula 6",(C211!$A$1&amp;" "),"")&amp;IF(C212!$C$9="Aula 6",(C212!$A$1&amp;" "),"")&amp;IF(C311!$C$9="Aula 6",(C311!$A$1&amp;" "),"")&amp;IF(C312!$C$9="Aula 6",(C312!$A$1&amp;" "),"")&amp;IF(C411!$C$9="Aula 6",(C411!$A$1&amp;" "),"")&amp;IF(C412!$C$9="Aula 6",(C412!$A$1&amp;" "),"")&amp;IF(M111!$C$9="Aula 6",(M111!$A$1&amp;" "),"")&amp;IF(M211!$C$9="Aula 6",(M211!$A$1&amp;" "),"")&amp;IF(M311!$C$9="Aula 6",(M311!$A$1&amp;" "),"")&amp;IF(M411!$C$9="Aula 6",(M411!$A$1&amp;" "),""))," ",",")</f>
        <v/>
      </c>
      <c r="H14" s="2">
        <f>SUBSTITUTE(TRIM(IF(D111!$C$9="Aula 7",(D111!$A$1&amp;" "),"")&amp;IF(D211!$C$9="Aula 7",(D211!$A$1&amp;" "),"")&amp;IF(D311!$C$9="Aula 7",(D311!$A$1&amp;" "),"")&amp;IF(D411!$C$9="Aula 7",(D411!$A$1&amp;" "),"")&amp;IF(C111!$C$9="Aula 7",(C111!$A$1&amp;" "),"")&amp;IF(C121!$C$9="Aula 7",(C121!$A$1&amp;" "),"")&amp;IF(C122!$C$9="Aula 7",(C122!$A$1&amp;" "),"")&amp;IF(C211!$C$9="Aula 7",(C211!$A$1&amp;" "),"")&amp;IF(C212!$C$9="Aula 7",(C212!$A$1&amp;" "),"")&amp;IF(C311!$C$9="Aula 7",(C311!$A$1&amp;" "),"")&amp;IF(C312!$C$9="Aula 7",(C312!$A$1&amp;" "),"")&amp;IF(C411!$C$9="Aula 7",(C411!$A$1&amp;" "),"")&amp;IF(C412!$C$9="Aula 7",(C412!$A$1&amp;" "),"")&amp;IF(M111!$C$9="Aula 7",(M111!$A$1&amp;" "),"")&amp;IF(M211!$C$9="Aula 7",(M211!$A$1&amp;" "),"")&amp;IF(M311!$C$9="Aula 7",(M311!$A$1&amp;" "),"")&amp;IF(M411!$C$9="Aula 7",(M411!$A$1&amp;" "),""))," ",",")</f>
        <v/>
      </c>
      <c r="I14" s="2">
        <f>SUBSTITUTE(TRIM(IF(D111!$C$9="Aula 8",(D111!$A$1&amp;" "),"")&amp;IF(D211!$C$9="Aula 8",(D211!$A$1&amp;" "),"")&amp;IF(D311!$C$9="Aula 8",(D311!$A$1&amp;" "),"")&amp;IF(D411!$C$9="Aula 8",(D411!$A$1&amp;" "),"")&amp;IF(C111!$C$9="Aula 8",(C111!$A$1&amp;" "),"")&amp;IF(C121!$C$9="Aula 8",(C121!$A$1&amp;" "),"")&amp;IF(C122!$C$9="Aula 8",(C122!$A$1&amp;" "),"")&amp;IF(C211!$C$9="Aula 8",(C211!$A$1&amp;" "),"")&amp;IF(C212!$C$9="Aula 8",(C212!$A$1&amp;" "),"")&amp;IF(C311!$C$9="Aula 8",(C311!$A$1&amp;" "),"")&amp;IF(C312!$C$9="Aula 8",(C312!$A$1&amp;" "),"")&amp;IF(C411!$C$9="Aula 8",(C411!$A$1&amp;" "),"")&amp;IF(C412!$C$9="Aula 8",(C412!$A$1&amp;" "),"")&amp;IF(M111!$C$9="Aula 8",(M111!$A$1&amp;" "),"")&amp;IF(M211!$C$9="Aula 8",(M211!$A$1&amp;" "),"")&amp;IF(M311!$C$9="Aula 8",(M311!$A$1&amp;" "),"")&amp;IF(M411!$C$9="Aula 8",(M411!$A$1&amp;" "),""))," ",",")</f>
        <v/>
      </c>
      <c r="J14" s="2">
        <f>SUBSTITUTE(TRIM(IF(D111!$C$9="Aula 9",(D111!$A$1&amp;" "),"")&amp;IF(D211!$C$9="Aula 9",(D211!$A$1&amp;" "),"")&amp;IF(D311!$C$9="Aula 9",(D311!$A$1&amp;" "),"")&amp;IF(D411!$C$9="Aula 9",(D411!$A$1&amp;" "),"")&amp;IF(C111!$C$9="Aula 9",(C111!$A$1&amp;" "),"")&amp;IF(C121!$C$9="Aula 9",(C121!$A$1&amp;" "),"")&amp;IF(C122!$C$9="Aula 9",(C122!$A$1&amp;" "),"")&amp;IF(C211!$C$9="Aula 9",(C211!$A$1&amp;" "),"")&amp;IF(C212!$C$9="Aula 9",(C212!$A$1&amp;" "),"")&amp;IF(C311!$C$9="Aula 9",(C311!$A$1&amp;" "),"")&amp;IF(C312!$C$9="Aula 9",(C312!$A$1&amp;" "),"")&amp;IF(C411!$C$9="Aula 9",(C411!$A$1&amp;" "),"")&amp;IF(C412!$C$9="Aula 9",(C412!$A$1&amp;" "),"")&amp;IF(M111!$C$9="Aula 9",(M111!$A$1&amp;" "),"")&amp;IF(M211!$C$9="Aula 9",(M211!$A$1&amp;" "),"")&amp;IF(M311!$C$9="Aula 9",(M311!$A$1&amp;" "),"")&amp;IF(M411!$C$9="Aula 9",(M411!$A$1&amp;" "),""))," ",",")</f>
        <v/>
      </c>
      <c r="K14" s="2">
        <f>SUBSTITUTE(TRIM(IF(D111!$C$9="Lab",(D111!$A$1&amp;" "),"")&amp;IF(D211!$C$9="Lab",(D211!$A$1&amp;" "),"")&amp;IF(D311!$C$9="Lab",(D311!$A$1&amp;" "),"")&amp;IF(D411!$C$9="Lab",(D411!$A$1&amp;" "),"")&amp;IF(C111!$C$9="Lab",(C111!$A$1&amp;" "),"")&amp;IF(C121!$C$9="Lab",(C121!$A$1&amp;" "),"")&amp;IF(C122!$C$9="Lab",(C122!$A$1&amp;" "),"")&amp;IF(C211!$C$9="Lab",(C211!$A$1&amp;" "),"")&amp;IF(C212!$C$9="Lab",(C212!$A$1&amp;" "),"")&amp;IF(C311!$C$9="Lab",(C311!$A$1&amp;" "),"")&amp;IF(C312!$C$9="Lab",(C312!$A$1&amp;" "),"")&amp;IF(C411!$C$9="Lab",(C411!$A$1&amp;" "),"")&amp;IF(C412!$C$9="Lab",(C412!$A$1&amp;" "),"")&amp;IF(M111!$C$9="Lab",(M111!$A$1&amp;" "),"")&amp;IF(M211!$C$9="Lab",(M211!$A$1&amp;" "),"")&amp;IF(M311!$C$9="Lab",(M311!$A$1&amp;" "),"")&amp;IF(M411!$C$9="Lab",(M411!$A$1&amp;" "),""))," ",",")</f>
        <v/>
      </c>
      <c r="L14" t="inlineStr"/>
    </row>
    <row r="15">
      <c r="A15" s="2" t="inlineStr">
        <is>
          <t>6</t>
        </is>
      </c>
      <c r="B15" s="2">
        <f>SUBSTITUTE(TRIM(IF(D111!$C$11="Aula 1",(D111!$A$1&amp;" "),"")&amp;IF(D211!$C$11="Aula 1",(D211!$A$1&amp;" "),"")&amp;IF(D311!$C$11="Aula 1",(D311!$A$1&amp;" "),"")&amp;IF(D411!$C$11="Aula 1",(D411!$A$1&amp;" "),"")&amp;IF(C111!$C$11="Aula 1",(C111!$A$1&amp;" "),"")&amp;IF(C121!$C$11="Aula 1",(C121!$A$1&amp;" "),"")&amp;IF(C122!$C$11="Aula 1",(C122!$A$1&amp;" "),"")&amp;IF(C211!$C$11="Aula 1",(C211!$A$1&amp;" "),"")&amp;IF(C212!$C$11="Aula 1",(C212!$A$1&amp;" "),"")&amp;IF(C311!$C$11="Aula 1",(C311!$A$1&amp;" "),"")&amp;IF(C312!$C$11="Aula 1",(C312!$A$1&amp;" "),"")&amp;IF(C411!$C$11="Aula 1",(C411!$A$1&amp;" "),"")&amp;IF(C412!$C$11="Aula 1",(C412!$A$1&amp;" "),"")&amp;IF(M111!$C$11="Aula 1",(M111!$A$1&amp;" "),"")&amp;IF(M211!$C$11="Aula 1",(M211!$A$1&amp;" "),"")&amp;IF(M311!$C$11="Aula 1",(M311!$A$1&amp;" "),"")&amp;IF(M411!$C$11="Aula 1",(M411!$A$1&amp;" "),""))," ",",")</f>
        <v/>
      </c>
      <c r="C15" s="2">
        <f>SUBSTITUTE(TRIM(IF(D111!$C$11="Aula 2",(D111!$A$1&amp;" "),"")&amp;IF(D211!$C$11="Aula 2",(D211!$A$1&amp;" "),"")&amp;IF(D311!$C$11="Aula 2",(D311!$A$1&amp;" "),"")&amp;IF(D411!$C$11="Aula 2",(D411!$A$1&amp;" "),"")&amp;IF(C111!$C$11="Aula 2",(C111!$A$1&amp;" "),"")&amp;IF(C121!$C$11="Aula 2",(C121!$A$1&amp;" "),"")&amp;IF(C122!$C$11="Aula 2",(C122!$A$1&amp;" "),"")&amp;IF(C211!$C$11="Aula 2",(C211!$A$1&amp;" "),"")&amp;IF(C212!$C$11="Aula 2",(C212!$A$1&amp;" "),"")&amp;IF(C311!$C$11="Aula 2",(C311!$A$1&amp;" "),"")&amp;IF(C312!$C$11="Aula 2",(C312!$A$1&amp;" "),"")&amp;IF(C411!$C$11="Aula 2",(C411!$A$1&amp;" "),"")&amp;IF(C412!$C$11="Aula 2",(C412!$A$1&amp;" "),"")&amp;IF(M111!$C$11="Aula 2",(M111!$A$1&amp;" "),"")&amp;IF(M211!$C$11="Aula 2",(M211!$A$1&amp;" "),"")&amp;IF(M311!$C$11="Aula 2",(M311!$A$1&amp;" "),"")&amp;IF(M411!$C$11="Aula 2",(M411!$A$1&amp;" "),""))," ",",")</f>
        <v/>
      </c>
      <c r="D15" s="2">
        <f>SUBSTITUTE(TRIM(IF(D111!$C$11="Aula 3",(D111!$A$1&amp;" "),"")&amp;IF(D211!$C$11="Aula 3",(D211!$A$1&amp;" "),"")&amp;IF(D311!$C$11="Aula 3",(D311!$A$1&amp;" "),"")&amp;IF(D411!$C$11="Aula 3",(D411!$A$1&amp;" "),"")&amp;IF(C111!$C$11="Aula 3",(C111!$A$1&amp;" "),"")&amp;IF(C121!$C$11="Aula 3",(C121!$A$1&amp;" "),"")&amp;IF(C122!$C$11="Aula 3",(C122!$A$1&amp;" "),"")&amp;IF(C211!$C$11="Aula 3",(C211!$A$1&amp;" "),"")&amp;IF(C212!$C$11="Aula 3",(C212!$A$1&amp;" "),"")&amp;IF(C311!$C$11="Aula 3",(C311!$A$1&amp;" "),"")&amp;IF(C312!$C$11="Aula 3",(C312!$A$1&amp;" "),"")&amp;IF(C411!$C$11="Aula 3",(C411!$A$1&amp;" "),"")&amp;IF(C412!$C$11="Aula 3",(C412!$A$1&amp;" "),"")&amp;IF(M111!$C$11="Aula 3",(M111!$A$1&amp;" "),"")&amp;IF(M211!$C$11="Aula 3",(M211!$A$1&amp;" "),"")&amp;IF(M311!$C$11="Aula 3",(M311!$A$1&amp;" "),"")&amp;IF(M411!$C$11="Aula 3",(M411!$A$1&amp;" "),""))," ",",")</f>
        <v/>
      </c>
      <c r="E15" s="2">
        <f>SUBSTITUTE(TRIM(IF(D111!$C$11="Aula 4",(D111!$A$1&amp;" "),"")&amp;IF(D211!$C$11="Aula 4",(D211!$A$1&amp;" "),"")&amp;IF(D311!$C$11="Aula 4",(D311!$A$1&amp;" "),"")&amp;IF(D411!$C$11="Aula 4",(D411!$A$1&amp;" "),"")&amp;IF(C111!$C$11="Aula 4",(C111!$A$1&amp;" "),"")&amp;IF(C121!$C$11="Aula 4",(C121!$A$1&amp;" "),"")&amp;IF(C122!$C$11="Aula 4",(C122!$A$1&amp;" "),"")&amp;IF(C211!$C$11="Aula 4",(C211!$A$1&amp;" "),"")&amp;IF(C212!$C$11="Aula 4",(C212!$A$1&amp;" "),"")&amp;IF(C311!$C$11="Aula 4",(C311!$A$1&amp;" "),"")&amp;IF(C312!$C$11="Aula 4",(C312!$A$1&amp;" "),"")&amp;IF(C411!$C$11="Aula 4",(C411!$A$1&amp;" "),"")&amp;IF(C412!$C$11="Aula 4",(C412!$A$1&amp;" "),"")&amp;IF(M111!$C$11="Aula 4",(M111!$A$1&amp;" "),"")&amp;IF(M211!$C$11="Aula 4",(M211!$A$1&amp;" "),"")&amp;IF(M311!$C$11="Aula 4",(M311!$A$1&amp;" "),"")&amp;IF(M411!$C$11="Aula 4",(M411!$A$1&amp;" "),""))," ",",")</f>
        <v/>
      </c>
      <c r="F15" s="2">
        <f>SUBSTITUTE(TRIM(IF(D111!$C$11="Aula 5",(D111!$A$1&amp;" "),"")&amp;IF(D211!$C$11="Aula 5",(D211!$A$1&amp;" "),"")&amp;IF(D311!$C$11="Aula 5",(D311!$A$1&amp;" "),"")&amp;IF(D411!$C$11="Aula 5",(D411!$A$1&amp;" "),"")&amp;IF(C111!$C$11="Aula 5",(C111!$A$1&amp;" "),"")&amp;IF(C121!$C$11="Aula 5",(C121!$A$1&amp;" "),"")&amp;IF(C122!$C$11="Aula 5",(C122!$A$1&amp;" "),"")&amp;IF(C211!$C$11="Aula 5",(C211!$A$1&amp;" "),"")&amp;IF(C212!$C$11="Aula 5",(C212!$A$1&amp;" "),"")&amp;IF(C311!$C$11="Aula 5",(C311!$A$1&amp;" "),"")&amp;IF(C312!$C$11="Aula 5",(C312!$A$1&amp;" "),"")&amp;IF(C411!$C$11="Aula 5",(C411!$A$1&amp;" "),"")&amp;IF(C412!$C$11="Aula 5",(C412!$A$1&amp;" "),"")&amp;IF(M111!$C$11="Aula 5",(M111!$A$1&amp;" "),"")&amp;IF(M211!$C$11="Aula 5",(M211!$A$1&amp;" "),"")&amp;IF(M311!$C$11="Aula 5",(M311!$A$1&amp;" "),"")&amp;IF(M411!$C$11="Aula 5",(M411!$A$1&amp;" "),""))," ",",")</f>
        <v/>
      </c>
      <c r="G15" s="2">
        <f>SUBSTITUTE(TRIM(IF(D111!$C$11="Aula 6",(D111!$A$1&amp;" "),"")&amp;IF(D211!$C$11="Aula 6",(D211!$A$1&amp;" "),"")&amp;IF(D311!$C$11="Aula 6",(D311!$A$1&amp;" "),"")&amp;IF(D411!$C$11="Aula 6",(D411!$A$1&amp;" "),"")&amp;IF(C111!$C$11="Aula 6",(C111!$A$1&amp;" "),"")&amp;IF(C121!$C$11="Aula 6",(C121!$A$1&amp;" "),"")&amp;IF(C122!$C$11="Aula 6",(C122!$A$1&amp;" "),"")&amp;IF(C211!$C$11="Aula 6",(C211!$A$1&amp;" "),"")&amp;IF(C212!$C$11="Aula 6",(C212!$A$1&amp;" "),"")&amp;IF(C311!$C$11="Aula 6",(C311!$A$1&amp;" "),"")&amp;IF(C312!$C$11="Aula 6",(C312!$A$1&amp;" "),"")&amp;IF(C411!$C$11="Aula 6",(C411!$A$1&amp;" "),"")&amp;IF(C412!$C$11="Aula 6",(C412!$A$1&amp;" "),"")&amp;IF(M111!$C$11="Aula 6",(M111!$A$1&amp;" "),"")&amp;IF(M211!$C$11="Aula 6",(M211!$A$1&amp;" "),"")&amp;IF(M311!$C$11="Aula 6",(M311!$A$1&amp;" "),"")&amp;IF(M411!$C$11="Aula 6",(M411!$A$1&amp;" "),""))," ",",")</f>
        <v/>
      </c>
      <c r="H15" s="2">
        <f>SUBSTITUTE(TRIM(IF(D111!$C$11="Aula 7",(D111!$A$1&amp;" "),"")&amp;IF(D211!$C$11="Aula 7",(D211!$A$1&amp;" "),"")&amp;IF(D311!$C$11="Aula 7",(D311!$A$1&amp;" "),"")&amp;IF(D411!$C$11="Aula 7",(D411!$A$1&amp;" "),"")&amp;IF(C111!$C$11="Aula 7",(C111!$A$1&amp;" "),"")&amp;IF(C121!$C$11="Aula 7",(C121!$A$1&amp;" "),"")&amp;IF(C122!$C$11="Aula 7",(C122!$A$1&amp;" "),"")&amp;IF(C211!$C$11="Aula 7",(C211!$A$1&amp;" "),"")&amp;IF(C212!$C$11="Aula 7",(C212!$A$1&amp;" "),"")&amp;IF(C311!$C$11="Aula 7",(C311!$A$1&amp;" "),"")&amp;IF(C312!$C$11="Aula 7",(C312!$A$1&amp;" "),"")&amp;IF(C411!$C$11="Aula 7",(C411!$A$1&amp;" "),"")&amp;IF(C412!$C$11="Aula 7",(C412!$A$1&amp;" "),"")&amp;IF(M111!$C$11="Aula 7",(M111!$A$1&amp;" "),"")&amp;IF(M211!$C$11="Aula 7",(M211!$A$1&amp;" "),"")&amp;IF(M311!$C$11="Aula 7",(M311!$A$1&amp;" "),"")&amp;IF(M411!$C$11="Aula 7",(M411!$A$1&amp;" "),""))," ",",")</f>
        <v/>
      </c>
      <c r="I15" s="2">
        <f>SUBSTITUTE(TRIM(IF(D111!$C$11="Aula 8",(D111!$A$1&amp;" "),"")&amp;IF(D211!$C$11="Aula 8",(D211!$A$1&amp;" "),"")&amp;IF(D311!$C$11="Aula 8",(D311!$A$1&amp;" "),"")&amp;IF(D411!$C$11="Aula 8",(D411!$A$1&amp;" "),"")&amp;IF(C111!$C$11="Aula 8",(C111!$A$1&amp;" "),"")&amp;IF(C121!$C$11="Aula 8",(C121!$A$1&amp;" "),"")&amp;IF(C122!$C$11="Aula 8",(C122!$A$1&amp;" "),"")&amp;IF(C211!$C$11="Aula 8",(C211!$A$1&amp;" "),"")&amp;IF(C212!$C$11="Aula 8",(C212!$A$1&amp;" "),"")&amp;IF(C311!$C$11="Aula 8",(C311!$A$1&amp;" "),"")&amp;IF(C312!$C$11="Aula 8",(C312!$A$1&amp;" "),"")&amp;IF(C411!$C$11="Aula 8",(C411!$A$1&amp;" "),"")&amp;IF(C412!$C$11="Aula 8",(C412!$A$1&amp;" "),"")&amp;IF(M111!$C$11="Aula 8",(M111!$A$1&amp;" "),"")&amp;IF(M211!$C$11="Aula 8",(M211!$A$1&amp;" "),"")&amp;IF(M311!$C$11="Aula 8",(M311!$A$1&amp;" "),"")&amp;IF(M411!$C$11="Aula 8",(M411!$A$1&amp;" "),""))," ",",")</f>
        <v/>
      </c>
      <c r="J15" s="2">
        <f>SUBSTITUTE(TRIM(IF(D111!$C$11="Aula 9",(D111!$A$1&amp;" "),"")&amp;IF(D211!$C$11="Aula 9",(D211!$A$1&amp;" "),"")&amp;IF(D311!$C$11="Aula 9",(D311!$A$1&amp;" "),"")&amp;IF(D411!$C$11="Aula 9",(D411!$A$1&amp;" "),"")&amp;IF(C111!$C$11="Aula 9",(C111!$A$1&amp;" "),"")&amp;IF(C121!$C$11="Aula 9",(C121!$A$1&amp;" "),"")&amp;IF(C122!$C$11="Aula 9",(C122!$A$1&amp;" "),"")&amp;IF(C211!$C$11="Aula 9",(C211!$A$1&amp;" "),"")&amp;IF(C212!$C$11="Aula 9",(C212!$A$1&amp;" "),"")&amp;IF(C311!$C$11="Aula 9",(C311!$A$1&amp;" "),"")&amp;IF(C312!$C$11="Aula 9",(C312!$A$1&amp;" "),"")&amp;IF(C411!$C$11="Aula 9",(C411!$A$1&amp;" "),"")&amp;IF(C412!$C$11="Aula 9",(C412!$A$1&amp;" "),"")&amp;IF(M111!$C$11="Aula 9",(M111!$A$1&amp;" "),"")&amp;IF(M211!$C$11="Aula 9",(M211!$A$1&amp;" "),"")&amp;IF(M311!$C$11="Aula 9",(M311!$A$1&amp;" "),"")&amp;IF(M411!$C$11="Aula 9",(M411!$A$1&amp;" "),""))," ",",")</f>
        <v/>
      </c>
      <c r="K15" s="2">
        <f>SUBSTITUTE(TRIM(IF(D111!$C$11="Lab",(D111!$A$1&amp;" "),"")&amp;IF(D211!$C$11="Lab",(D211!$A$1&amp;" "),"")&amp;IF(D311!$C$11="Lab",(D311!$A$1&amp;" "),"")&amp;IF(D411!$C$11="Lab",(D411!$A$1&amp;" "),"")&amp;IF(C111!$C$11="Lab",(C111!$A$1&amp;" "),"")&amp;IF(C121!$C$11="Lab",(C121!$A$1&amp;" "),"")&amp;IF(C122!$C$11="Lab",(C122!$A$1&amp;" "),"")&amp;IF(C211!$C$11="Lab",(C211!$A$1&amp;" "),"")&amp;IF(C212!$C$11="Lab",(C212!$A$1&amp;" "),"")&amp;IF(C311!$C$11="Lab",(C311!$A$1&amp;" "),"")&amp;IF(C312!$C$11="Lab",(C312!$A$1&amp;" "),"")&amp;IF(C411!$C$11="Lab",(C411!$A$1&amp;" "),"")&amp;IF(C412!$C$11="Lab",(C412!$A$1&amp;" "),"")&amp;IF(M111!$C$11="Lab",(M111!$A$1&amp;" "),"")&amp;IF(M211!$C$11="Lab",(M211!$A$1&amp;" "),"")&amp;IF(M311!$C$11="Lab",(M311!$A$1&amp;" "),"")&amp;IF(M411!$C$11="Lab",(M411!$A$1&amp;" "),""))," ",",")</f>
        <v/>
      </c>
      <c r="L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Miercoles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Lab</t>
        </is>
      </c>
      <c r="L17" t="inlineStr"/>
    </row>
    <row r="18">
      <c r="A18" t="inlineStr">
        <is>
          <t>1</t>
        </is>
      </c>
      <c r="B18" t="inlineStr"/>
      <c r="C18" t="inlineStr"/>
      <c r="D18" t="inlineStr"/>
      <c r="E18" t="inlineStr"/>
      <c r="F18" t="inlineStr">
        <is>
          <t>C112</t>
        </is>
      </c>
      <c r="G18" t="inlineStr">
        <is>
          <t>C111</t>
        </is>
      </c>
      <c r="H18" t="inlineStr"/>
      <c r="I18" t="inlineStr">
        <is>
          <t>C113</t>
        </is>
      </c>
      <c r="J18" t="inlineStr"/>
      <c r="K18" t="inlineStr"/>
      <c r="L18" t="inlineStr"/>
    </row>
    <row r="19">
      <c r="A19" t="inlineStr">
        <is>
          <t>2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</row>
    <row r="20">
      <c r="A20" s="2" t="inlineStr">
        <is>
          <t>3</t>
        </is>
      </c>
      <c r="B20" s="2">
        <f>SUBSTITUTE(TRIM(IF(D111!$D$5="Aula 1",(D111!$A$1&amp;" "),"")&amp;IF(D211!$D$5="Aula 1",(D211!$A$1&amp;" "),"")&amp;IF(D311!$D$5="Aula 1",(D311!$A$1&amp;" "),"")&amp;IF(D411!$D$5="Aula 1",(D411!$A$1&amp;" "),"")&amp;IF(C111!$D$5="Aula 1",(C111!$A$1&amp;" "),"")&amp;IF(C121!$D$5="Aula 1",(C121!$A$1&amp;" "),"")&amp;IF(C122!$D$5="Aula 1",(C122!$A$1&amp;" "),"")&amp;IF(C211!$D$5="Aula 1",(C211!$A$1&amp;" "),"")&amp;IF(C212!$D$5="Aula 1",(C212!$A$1&amp;" "),"")&amp;IF(C311!$D$5="Aula 1",(C311!$A$1&amp;" "),"")&amp;IF(C312!$D$5="Aula 1",(C312!$A$1&amp;" "),"")&amp;IF(C411!$D$5="Aula 1",(C411!$A$1&amp;" "),"")&amp;IF(C412!$D$5="Aula 1",(C412!$A$1&amp;" "),"")&amp;IF(M111!$D$5="Aula 1",(M111!$A$1&amp;" "),"")&amp;IF(M211!$D$5="Aula 1",(M211!$A$1&amp;" "),"")&amp;IF(M311!$D$5="Aula 1",(M311!$A$1&amp;" "),"")&amp;IF(M411!$D$5="Aula 1",(M411!$A$1&amp;" "),""))," ",",")</f>
        <v/>
      </c>
      <c r="C20" s="2">
        <f>SUBSTITUTE(TRIM(IF(D111!$D$5="Aula 2",(D111!$A$1&amp;" "),"")&amp;IF(D211!$D$5="Aula 2",(D211!$A$1&amp;" "),"")&amp;IF(D311!$D$5="Aula 2",(D311!$A$1&amp;" "),"")&amp;IF(D411!$D$5="Aula 2",(D411!$A$1&amp;" "),"")&amp;IF(C111!$D$5="Aula 2",(C111!$A$1&amp;" "),"")&amp;IF(C121!$D$5="Aula 2",(C121!$A$1&amp;" "),"")&amp;IF(C122!$D$5="Aula 2",(C122!$A$1&amp;" "),"")&amp;IF(C211!$D$5="Aula 2",(C211!$A$1&amp;" "),"")&amp;IF(C212!$D$5="Aula 2",(C212!$A$1&amp;" "),"")&amp;IF(C311!$D$5="Aula 2",(C311!$A$1&amp;" "),"")&amp;IF(C312!$D$5="Aula 2",(C312!$A$1&amp;" "),"")&amp;IF(C411!$D$5="Aula 2",(C411!$A$1&amp;" "),"")&amp;IF(C412!$D$5="Aula 2",(C412!$A$1&amp;" "),"")&amp;IF(M111!$D$5="Aula 2",(M111!$A$1&amp;" "),"")&amp;IF(M211!$D$5="Aula 2",(M211!$A$1&amp;" "),"")&amp;IF(M311!$D$5="Aula 2",(M311!$A$1&amp;" "),"")&amp;IF(M411!$D$5="Aula 2",(M411!$A$1&amp;" "),""))," ",",")</f>
        <v/>
      </c>
      <c r="D20" s="2">
        <f>SUBSTITUTE(TRIM(IF(D111!$D$5="Aula 3",(D111!$A$1&amp;" "),"")&amp;IF(D211!$D$5="Aula 3",(D211!$A$1&amp;" "),"")&amp;IF(D311!$D$5="Aula 3",(D311!$A$1&amp;" "),"")&amp;IF(D411!$D$5="Aula 3",(D411!$A$1&amp;" "),"")&amp;IF(C111!$D$5="Aula 3",(C111!$A$1&amp;" "),"")&amp;IF(C121!$D$5="Aula 3",(C121!$A$1&amp;" "),"")&amp;IF(C122!$D$5="Aula 3",(C122!$A$1&amp;" "),"")&amp;IF(C211!$D$5="Aula 3",(C211!$A$1&amp;" "),"")&amp;IF(C212!$D$5="Aula 3",(C212!$A$1&amp;" "),"")&amp;IF(C311!$D$5="Aula 3",(C311!$A$1&amp;" "),"")&amp;IF(C312!$D$5="Aula 3",(C312!$A$1&amp;" "),"")&amp;IF(C411!$D$5="Aula 3",(C411!$A$1&amp;" "),"")&amp;IF(C412!$D$5="Aula 3",(C412!$A$1&amp;" "),"")&amp;IF(M111!$D$5="Aula 3",(M111!$A$1&amp;" "),"")&amp;IF(M211!$D$5="Aula 3",(M211!$A$1&amp;" "),"")&amp;IF(M311!$D$5="Aula 3",(M311!$A$1&amp;" "),"")&amp;IF(M411!$D$5="Aula 3",(M411!$A$1&amp;" "),""))," ",",")</f>
        <v/>
      </c>
      <c r="E20" s="2">
        <f>SUBSTITUTE(TRIM(IF(D111!$D$5="Aula 4",(D111!$A$1&amp;" "),"")&amp;IF(D211!$D$5="Aula 4",(D211!$A$1&amp;" "),"")&amp;IF(D311!$D$5="Aula 4",(D311!$A$1&amp;" "),"")&amp;IF(D411!$D$5="Aula 4",(D411!$A$1&amp;" "),"")&amp;IF(C111!$D$5="Aula 4",(C111!$A$1&amp;" "),"")&amp;IF(C121!$D$5="Aula 4",(C121!$A$1&amp;" "),"")&amp;IF(C122!$D$5="Aula 4",(C122!$A$1&amp;" "),"")&amp;IF(C211!$D$5="Aula 4",(C211!$A$1&amp;" "),"")&amp;IF(C212!$D$5="Aula 4",(C212!$A$1&amp;" "),"")&amp;IF(C311!$D$5="Aula 4",(C311!$A$1&amp;" "),"")&amp;IF(C312!$D$5="Aula 4",(C312!$A$1&amp;" "),"")&amp;IF(C411!$D$5="Aula 4",(C411!$A$1&amp;" "),"")&amp;IF(C412!$D$5="Aula 4",(C412!$A$1&amp;" "),"")&amp;IF(M111!$D$5="Aula 4",(M111!$A$1&amp;" "),"")&amp;IF(M211!$D$5="Aula 4",(M211!$A$1&amp;" "),"")&amp;IF(M311!$D$5="Aula 4",(M311!$A$1&amp;" "),"")&amp;IF(M411!$D$5="Aula 4",(M411!$A$1&amp;" "),""))," ",",")</f>
        <v/>
      </c>
      <c r="F20" s="2">
        <f>SUBSTITUTE(TRIM(IF(D111!$D$5="Aula 5",(D111!$A$1&amp;" "),"")&amp;IF(D211!$D$5="Aula 5",(D211!$A$1&amp;" "),"")&amp;IF(D311!$D$5="Aula 5",(D311!$A$1&amp;" "),"")&amp;IF(D411!$D$5="Aula 5",(D411!$A$1&amp;" "),"")&amp;IF(C111!$D$5="Aula 5",(C111!$A$1&amp;" "),"")&amp;IF(C121!$D$5="Aula 5",(C121!$A$1&amp;" "),"")&amp;IF(C122!$D$5="Aula 5",(C122!$A$1&amp;" "),"")&amp;IF(C211!$D$5="Aula 5",(C211!$A$1&amp;" "),"")&amp;IF(C212!$D$5="Aula 5",(C212!$A$1&amp;" "),"")&amp;IF(C311!$D$5="Aula 5",(C311!$A$1&amp;" "),"")&amp;IF(C312!$D$5="Aula 5",(C312!$A$1&amp;" "),"")&amp;IF(C411!$D$5="Aula 5",(C411!$A$1&amp;" "),"")&amp;IF(C412!$D$5="Aula 5",(C412!$A$1&amp;" "),"")&amp;IF(M111!$D$5="Aula 5",(M111!$A$1&amp;" "),"")&amp;IF(M211!$D$5="Aula 5",(M211!$A$1&amp;" "),"")&amp;IF(M311!$D$5="Aula 5",(M311!$A$1&amp;" "),"")&amp;IF(M411!$D$5="Aula 5",(M411!$A$1&amp;" "),""))," ",",")</f>
        <v/>
      </c>
      <c r="G20" s="2">
        <f>SUBSTITUTE(TRIM(IF(D111!$D$5="Aula 6",(D111!$A$1&amp;" "),"")&amp;IF(D211!$D$5="Aula 6",(D211!$A$1&amp;" "),"")&amp;IF(D311!$D$5="Aula 6",(D311!$A$1&amp;" "),"")&amp;IF(D411!$D$5="Aula 6",(D411!$A$1&amp;" "),"")&amp;IF(C111!$D$5="Aula 6",(C111!$A$1&amp;" "),"")&amp;IF(C121!$D$5="Aula 6",(C121!$A$1&amp;" "),"")&amp;IF(C122!$D$5="Aula 6",(C122!$A$1&amp;" "),"")&amp;IF(C211!$D$5="Aula 6",(C211!$A$1&amp;" "),"")&amp;IF(C212!$D$5="Aula 6",(C212!$A$1&amp;" "),"")&amp;IF(C311!$D$5="Aula 6",(C311!$A$1&amp;" "),"")&amp;IF(C312!$D$5="Aula 6",(C312!$A$1&amp;" "),"")&amp;IF(C411!$D$5="Aula 6",(C411!$A$1&amp;" "),"")&amp;IF(C412!$D$5="Aula 6",(C412!$A$1&amp;" "),"")&amp;IF(M111!$D$5="Aula 6",(M111!$A$1&amp;" "),"")&amp;IF(M211!$D$5="Aula 6",(M211!$A$1&amp;" "),"")&amp;IF(M311!$D$5="Aula 6",(M311!$A$1&amp;" "),"")&amp;IF(M411!$D$5="Aula 6",(M411!$A$1&amp;" "),""))," ",",")</f>
        <v/>
      </c>
      <c r="H20" s="2">
        <f>SUBSTITUTE(TRIM(IF(D111!$D$5="Aula 7",(D111!$A$1&amp;" "),"")&amp;IF(D211!$D$5="Aula 7",(D211!$A$1&amp;" "),"")&amp;IF(D311!$D$5="Aula 7",(D311!$A$1&amp;" "),"")&amp;IF(D411!$D$5="Aula 7",(D411!$A$1&amp;" "),"")&amp;IF(C111!$D$5="Aula 7",(C111!$A$1&amp;" "),"")&amp;IF(C121!$D$5="Aula 7",(C121!$A$1&amp;" "),"")&amp;IF(C122!$D$5="Aula 7",(C122!$A$1&amp;" "),"")&amp;IF(C211!$D$5="Aula 7",(C211!$A$1&amp;" "),"")&amp;IF(C212!$D$5="Aula 7",(C212!$A$1&amp;" "),"")&amp;IF(C311!$D$5="Aula 7",(C311!$A$1&amp;" "),"")&amp;IF(C312!$D$5="Aula 7",(C312!$A$1&amp;" "),"")&amp;IF(C411!$D$5="Aula 7",(C411!$A$1&amp;" "),"")&amp;IF(C412!$D$5="Aula 7",(C412!$A$1&amp;" "),"")&amp;IF(M111!$D$5="Aula 7",(M111!$A$1&amp;" "),"")&amp;IF(M211!$D$5="Aula 7",(M211!$A$1&amp;" "),"")&amp;IF(M311!$D$5="Aula 7",(M311!$A$1&amp;" "),"")&amp;IF(M411!$D$5="Aula 7",(M411!$A$1&amp;" "),""))," ",",")</f>
        <v/>
      </c>
      <c r="I20" s="2">
        <f>SUBSTITUTE(TRIM(IF(D111!$D$5="Aula 8",(D111!$A$1&amp;" "),"")&amp;IF(D211!$D$5="Aula 8",(D211!$A$1&amp;" "),"")&amp;IF(D311!$D$5="Aula 8",(D311!$A$1&amp;" "),"")&amp;IF(D411!$D$5="Aula 8",(D411!$A$1&amp;" "),"")&amp;IF(C111!$D$5="Aula 8",(C111!$A$1&amp;" "),"")&amp;IF(C121!$D$5="Aula 8",(C121!$A$1&amp;" "),"")&amp;IF(C122!$D$5="Aula 8",(C122!$A$1&amp;" "),"")&amp;IF(C211!$D$5="Aula 8",(C211!$A$1&amp;" "),"")&amp;IF(C212!$D$5="Aula 8",(C212!$A$1&amp;" "),"")&amp;IF(C311!$D$5="Aula 8",(C311!$A$1&amp;" "),"")&amp;IF(C312!$D$5="Aula 8",(C312!$A$1&amp;" "),"")&amp;IF(C411!$D$5="Aula 8",(C411!$A$1&amp;" "),"")&amp;IF(C412!$D$5="Aula 8",(C412!$A$1&amp;" "),"")&amp;IF(M111!$D$5="Aula 8",(M111!$A$1&amp;" "),"")&amp;IF(M211!$D$5="Aula 8",(M211!$A$1&amp;" "),"")&amp;IF(M311!$D$5="Aula 8",(M311!$A$1&amp;" "),"")&amp;IF(M411!$D$5="Aula 8",(M411!$A$1&amp;" "),""))," ",",")</f>
        <v/>
      </c>
      <c r="J20" s="2">
        <f>SUBSTITUTE(TRIM(IF(D111!$D$5="Aula 9",(D111!$A$1&amp;" "),"")&amp;IF(D211!$D$5="Aula 9",(D211!$A$1&amp;" "),"")&amp;IF(D311!$D$5="Aula 9",(D311!$A$1&amp;" "),"")&amp;IF(D411!$D$5="Aula 9",(D411!$A$1&amp;" "),"")&amp;IF(C111!$D$5="Aula 9",(C111!$A$1&amp;" "),"")&amp;IF(C121!$D$5="Aula 9",(C121!$A$1&amp;" "),"")&amp;IF(C122!$D$5="Aula 9",(C122!$A$1&amp;" "),"")&amp;IF(C211!$D$5="Aula 9",(C211!$A$1&amp;" "),"")&amp;IF(C212!$D$5="Aula 9",(C212!$A$1&amp;" "),"")&amp;IF(C311!$D$5="Aula 9",(C311!$A$1&amp;" "),"")&amp;IF(C312!$D$5="Aula 9",(C312!$A$1&amp;" "),"")&amp;IF(C411!$D$5="Aula 9",(C411!$A$1&amp;" "),"")&amp;IF(C412!$D$5="Aula 9",(C412!$A$1&amp;" "),"")&amp;IF(M111!$D$5="Aula 9",(M111!$A$1&amp;" "),"")&amp;IF(M211!$D$5="Aula 9",(M211!$A$1&amp;" "),"")&amp;IF(M311!$D$5="Aula 9",(M311!$A$1&amp;" "),"")&amp;IF(M411!$D$5="Aula 9",(M411!$A$1&amp;" "),""))," ",",")</f>
        <v/>
      </c>
      <c r="K20" s="2">
        <f>SUBSTITUTE(TRIM(IF(D111!$D$5="Lab",(D111!$A$1&amp;" "),"")&amp;IF(D211!$D$5="Lab",(D211!$A$1&amp;" "),"")&amp;IF(D311!$D$5="Lab",(D311!$A$1&amp;" "),"")&amp;IF(D411!$D$5="Lab",(D411!$A$1&amp;" "),"")&amp;IF(C111!$D$5="Lab",(C111!$A$1&amp;" "),"")&amp;IF(C121!$D$5="Lab",(C121!$A$1&amp;" "),"")&amp;IF(C122!$D$5="Lab",(C122!$A$1&amp;" "),"")&amp;IF(C211!$D$5="Lab",(C211!$A$1&amp;" "),"")&amp;IF(C212!$D$5="Lab",(C212!$A$1&amp;" "),"")&amp;IF(C311!$D$5="Lab",(C311!$A$1&amp;" "),"")&amp;IF(C312!$D$5="Lab",(C312!$A$1&amp;" "),"")&amp;IF(C411!$D$5="Lab",(C411!$A$1&amp;" "),"")&amp;IF(C412!$D$5="Lab",(C412!$A$1&amp;" "),"")&amp;IF(M111!$D$5="Lab",(M111!$A$1&amp;" "),"")&amp;IF(M211!$D$5="Lab",(M211!$A$1&amp;" "),"")&amp;IF(M311!$D$5="Lab",(M311!$A$1&amp;" "),"")&amp;IF(M411!$D$5="Lab",(M411!$A$1&amp;" "),""))," ",",")</f>
        <v/>
      </c>
      <c r="L20" t="inlineStr"/>
    </row>
    <row r="21">
      <c r="A21" s="2" t="inlineStr">
        <is>
          <t>4</t>
        </is>
      </c>
      <c r="B21" s="2">
        <f>SUBSTITUTE(TRIM(IF(D111!$D$7="Aula 1",(D111!$A$1&amp;" "),"")&amp;IF(D211!$D$7="Aula 1",(D211!$A$1&amp;" "),"")&amp;IF(D311!$D$7="Aula 1",(D311!$A$1&amp;" "),"")&amp;IF(D411!$D$7="Aula 1",(D411!$A$1&amp;" "),"")&amp;IF(C111!$D$7="Aula 1",(C111!$A$1&amp;" "),"")&amp;IF(C121!$D$7="Aula 1",(C121!$A$1&amp;" "),"")&amp;IF(C122!$D$7="Aula 1",(C122!$A$1&amp;" "),"")&amp;IF(C211!$D$7="Aula 1",(C211!$A$1&amp;" "),"")&amp;IF(C212!$D$7="Aula 1",(C212!$A$1&amp;" "),"")&amp;IF(C311!$D$7="Aula 1",(C311!$A$1&amp;" "),"")&amp;IF(C312!$D$7="Aula 1",(C312!$A$1&amp;" "),"")&amp;IF(C411!$D$7="Aula 1",(C411!$A$1&amp;" "),"")&amp;IF(C412!$D$7="Aula 1",(C412!$A$1&amp;" "),"")&amp;IF(M111!$D$7="Aula 1",(M111!$A$1&amp;" "),"")&amp;IF(M211!$D$7="Aula 1",(M211!$A$1&amp;" "),"")&amp;IF(M311!$D$7="Aula 1",(M311!$A$1&amp;" "),"")&amp;IF(M411!$D$7="Aula 1",(M411!$A$1&amp;" "),""))," ",",")</f>
        <v/>
      </c>
      <c r="C21" s="2">
        <f>SUBSTITUTE(TRIM(IF(D111!$D$7="Aula 2",(D111!$A$1&amp;" "),"")&amp;IF(D211!$D$7="Aula 2",(D211!$A$1&amp;" "),"")&amp;IF(D311!$D$7="Aula 2",(D311!$A$1&amp;" "),"")&amp;IF(D411!$D$7="Aula 2",(D411!$A$1&amp;" "),"")&amp;IF(C111!$D$7="Aula 2",(C111!$A$1&amp;" "),"")&amp;IF(C121!$D$7="Aula 2",(C121!$A$1&amp;" "),"")&amp;IF(C122!$D$7="Aula 2",(C122!$A$1&amp;" "),"")&amp;IF(C211!$D$7="Aula 2",(C211!$A$1&amp;" "),"")&amp;IF(C212!$D$7="Aula 2",(C212!$A$1&amp;" "),"")&amp;IF(C311!$D$7="Aula 2",(C311!$A$1&amp;" "),"")&amp;IF(C312!$D$7="Aula 2",(C312!$A$1&amp;" "),"")&amp;IF(C411!$D$7="Aula 2",(C411!$A$1&amp;" "),"")&amp;IF(C412!$D$7="Aula 2",(C412!$A$1&amp;" "),"")&amp;IF(M111!$D$7="Aula 2",(M111!$A$1&amp;" "),"")&amp;IF(M211!$D$7="Aula 2",(M211!$A$1&amp;" "),"")&amp;IF(M311!$D$7="Aula 2",(M311!$A$1&amp;" "),"")&amp;IF(M411!$D$7="Aula 2",(M411!$A$1&amp;" "),""))," ",",")</f>
        <v/>
      </c>
      <c r="D21" s="2">
        <f>SUBSTITUTE(TRIM(IF(D111!$D$7="Aula 3",(D111!$A$1&amp;" "),"")&amp;IF(D211!$D$7="Aula 3",(D211!$A$1&amp;" "),"")&amp;IF(D311!$D$7="Aula 3",(D311!$A$1&amp;" "),"")&amp;IF(D411!$D$7="Aula 3",(D411!$A$1&amp;" "),"")&amp;IF(C111!$D$7="Aula 3",(C111!$A$1&amp;" "),"")&amp;IF(C121!$D$7="Aula 3",(C121!$A$1&amp;" "),"")&amp;IF(C122!$D$7="Aula 3",(C122!$A$1&amp;" "),"")&amp;IF(C211!$D$7="Aula 3",(C211!$A$1&amp;" "),"")&amp;IF(C212!$D$7="Aula 3",(C212!$A$1&amp;" "),"")&amp;IF(C311!$D$7="Aula 3",(C311!$A$1&amp;" "),"")&amp;IF(C312!$D$7="Aula 3",(C312!$A$1&amp;" "),"")&amp;IF(C411!$D$7="Aula 3",(C411!$A$1&amp;" "),"")&amp;IF(C412!$D$7="Aula 3",(C412!$A$1&amp;" "),"")&amp;IF(M111!$D$7="Aula 3",(M111!$A$1&amp;" "),"")&amp;IF(M211!$D$7="Aula 3",(M211!$A$1&amp;" "),"")&amp;IF(M311!$D$7="Aula 3",(M311!$A$1&amp;" "),"")&amp;IF(M411!$D$7="Aula 3",(M411!$A$1&amp;" "),""))," ",",")</f>
        <v/>
      </c>
      <c r="E21" s="2">
        <f>SUBSTITUTE(TRIM(IF(D111!$D$7="Aula 4",(D111!$A$1&amp;" "),"")&amp;IF(D211!$D$7="Aula 4",(D211!$A$1&amp;" "),"")&amp;IF(D311!$D$7="Aula 4",(D311!$A$1&amp;" "),"")&amp;IF(D411!$D$7="Aula 4",(D411!$A$1&amp;" "),"")&amp;IF(C111!$D$7="Aula 4",(C111!$A$1&amp;" "),"")&amp;IF(C121!$D$7="Aula 4",(C121!$A$1&amp;" "),"")&amp;IF(C122!$D$7="Aula 4",(C122!$A$1&amp;" "),"")&amp;IF(C211!$D$7="Aula 4",(C211!$A$1&amp;" "),"")&amp;IF(C212!$D$7="Aula 4",(C212!$A$1&amp;" "),"")&amp;IF(C311!$D$7="Aula 4",(C311!$A$1&amp;" "),"")&amp;IF(C312!$D$7="Aula 4",(C312!$A$1&amp;" "),"")&amp;IF(C411!$D$7="Aula 4",(C411!$A$1&amp;" "),"")&amp;IF(C412!$D$7="Aula 4",(C412!$A$1&amp;" "),"")&amp;IF(M111!$D$7="Aula 4",(M111!$A$1&amp;" "),"")&amp;IF(M211!$D$7="Aula 4",(M211!$A$1&amp;" "),"")&amp;IF(M311!$D$7="Aula 4",(M311!$A$1&amp;" "),"")&amp;IF(M411!$D$7="Aula 4",(M411!$A$1&amp;" "),""))," ",",")</f>
        <v/>
      </c>
      <c r="F21" s="2">
        <f>SUBSTITUTE(TRIM(IF(D111!$D$7="Aula 5",(D111!$A$1&amp;" "),"")&amp;IF(D211!$D$7="Aula 5",(D211!$A$1&amp;" "),"")&amp;IF(D311!$D$7="Aula 5",(D311!$A$1&amp;" "),"")&amp;IF(D411!$D$7="Aula 5",(D411!$A$1&amp;" "),"")&amp;IF(C111!$D$7="Aula 5",(C111!$A$1&amp;" "),"")&amp;IF(C121!$D$7="Aula 5",(C121!$A$1&amp;" "),"")&amp;IF(C122!$D$7="Aula 5",(C122!$A$1&amp;" "),"")&amp;IF(C211!$D$7="Aula 5",(C211!$A$1&amp;" "),"")&amp;IF(C212!$D$7="Aula 5",(C212!$A$1&amp;" "),"")&amp;IF(C311!$D$7="Aula 5",(C311!$A$1&amp;" "),"")&amp;IF(C312!$D$7="Aula 5",(C312!$A$1&amp;" "),"")&amp;IF(C411!$D$7="Aula 5",(C411!$A$1&amp;" "),"")&amp;IF(C412!$D$7="Aula 5",(C412!$A$1&amp;" "),"")&amp;IF(M111!$D$7="Aula 5",(M111!$A$1&amp;" "),"")&amp;IF(M211!$D$7="Aula 5",(M211!$A$1&amp;" "),"")&amp;IF(M311!$D$7="Aula 5",(M311!$A$1&amp;" "),"")&amp;IF(M411!$D$7="Aula 5",(M411!$A$1&amp;" "),""))," ",",")</f>
        <v/>
      </c>
      <c r="G21" s="2">
        <f>SUBSTITUTE(TRIM(IF(D111!$D$7="Aula 6",(D111!$A$1&amp;" "),"")&amp;IF(D211!$D$7="Aula 6",(D211!$A$1&amp;" "),"")&amp;IF(D311!$D$7="Aula 6",(D311!$A$1&amp;" "),"")&amp;IF(D411!$D$7="Aula 6",(D411!$A$1&amp;" "),"")&amp;IF(C111!$D$7="Aula 6",(C111!$A$1&amp;" "),"")&amp;IF(C121!$D$7="Aula 6",(C121!$A$1&amp;" "),"")&amp;IF(C122!$D$7="Aula 6",(C122!$A$1&amp;" "),"")&amp;IF(C211!$D$7="Aula 6",(C211!$A$1&amp;" "),"")&amp;IF(C212!$D$7="Aula 6",(C212!$A$1&amp;" "),"")&amp;IF(C311!$D$7="Aula 6",(C311!$A$1&amp;" "),"")&amp;IF(C312!$D$7="Aula 6",(C312!$A$1&amp;" "),"")&amp;IF(C411!$D$7="Aula 6",(C411!$A$1&amp;" "),"")&amp;IF(C412!$D$7="Aula 6",(C412!$A$1&amp;" "),"")&amp;IF(M111!$D$7="Aula 6",(M111!$A$1&amp;" "),"")&amp;IF(M211!$D$7="Aula 6",(M211!$A$1&amp;" "),"")&amp;IF(M311!$D$7="Aula 6",(M311!$A$1&amp;" "),"")&amp;IF(M411!$D$7="Aula 6",(M411!$A$1&amp;" "),""))," ",",")</f>
        <v/>
      </c>
      <c r="H21" s="2">
        <f>SUBSTITUTE(TRIM(IF(D111!$D$7="Aula 7",(D111!$A$1&amp;" "),"")&amp;IF(D211!$D$7="Aula 7",(D211!$A$1&amp;" "),"")&amp;IF(D311!$D$7="Aula 7",(D311!$A$1&amp;" "),"")&amp;IF(D411!$D$7="Aula 7",(D411!$A$1&amp;" "),"")&amp;IF(C111!$D$7="Aula 7",(C111!$A$1&amp;" "),"")&amp;IF(C121!$D$7="Aula 7",(C121!$A$1&amp;" "),"")&amp;IF(C122!$D$7="Aula 7",(C122!$A$1&amp;" "),"")&amp;IF(C211!$D$7="Aula 7",(C211!$A$1&amp;" "),"")&amp;IF(C212!$D$7="Aula 7",(C212!$A$1&amp;" "),"")&amp;IF(C311!$D$7="Aula 7",(C311!$A$1&amp;" "),"")&amp;IF(C312!$D$7="Aula 7",(C312!$A$1&amp;" "),"")&amp;IF(C411!$D$7="Aula 7",(C411!$A$1&amp;" "),"")&amp;IF(C412!$D$7="Aula 7",(C412!$A$1&amp;" "),"")&amp;IF(M111!$D$7="Aula 7",(M111!$A$1&amp;" "),"")&amp;IF(M211!$D$7="Aula 7",(M211!$A$1&amp;" "),"")&amp;IF(M311!$D$7="Aula 7",(M311!$A$1&amp;" "),"")&amp;IF(M411!$D$7="Aula 7",(M411!$A$1&amp;" "),""))," ",",")</f>
        <v/>
      </c>
      <c r="I21" s="2">
        <f>SUBSTITUTE(TRIM(IF(D111!$D$7="Aula 8",(D111!$A$1&amp;" "),"")&amp;IF(D211!$D$7="Aula 8",(D211!$A$1&amp;" "),"")&amp;IF(D311!$D$7="Aula 8",(D311!$A$1&amp;" "),"")&amp;IF(D411!$D$7="Aula 8",(D411!$A$1&amp;" "),"")&amp;IF(C111!$D$7="Aula 8",(C111!$A$1&amp;" "),"")&amp;IF(C121!$D$7="Aula 8",(C121!$A$1&amp;" "),"")&amp;IF(C122!$D$7="Aula 8",(C122!$A$1&amp;" "),"")&amp;IF(C211!$D$7="Aula 8",(C211!$A$1&amp;" "),"")&amp;IF(C212!$D$7="Aula 8",(C212!$A$1&amp;" "),"")&amp;IF(C311!$D$7="Aula 8",(C311!$A$1&amp;" "),"")&amp;IF(C312!$D$7="Aula 8",(C312!$A$1&amp;" "),"")&amp;IF(C411!$D$7="Aula 8",(C411!$A$1&amp;" "),"")&amp;IF(C412!$D$7="Aula 8",(C412!$A$1&amp;" "),"")&amp;IF(M111!$D$7="Aula 8",(M111!$A$1&amp;" "),"")&amp;IF(M211!$D$7="Aula 8",(M211!$A$1&amp;" "),"")&amp;IF(M311!$D$7="Aula 8",(M311!$A$1&amp;" "),"")&amp;IF(M411!$D$7="Aula 8",(M411!$A$1&amp;" "),""))," ",",")</f>
        <v/>
      </c>
      <c r="J21" s="2">
        <f>SUBSTITUTE(TRIM(IF(D111!$D$7="Aula 9",(D111!$A$1&amp;" "),"")&amp;IF(D211!$D$7="Aula 9",(D211!$A$1&amp;" "),"")&amp;IF(D311!$D$7="Aula 9",(D311!$A$1&amp;" "),"")&amp;IF(D411!$D$7="Aula 9",(D411!$A$1&amp;" "),"")&amp;IF(C111!$D$7="Aula 9",(C111!$A$1&amp;" "),"")&amp;IF(C121!$D$7="Aula 9",(C121!$A$1&amp;" "),"")&amp;IF(C122!$D$7="Aula 9",(C122!$A$1&amp;" "),"")&amp;IF(C211!$D$7="Aula 9",(C211!$A$1&amp;" "),"")&amp;IF(C212!$D$7="Aula 9",(C212!$A$1&amp;" "),"")&amp;IF(C311!$D$7="Aula 9",(C311!$A$1&amp;" "),"")&amp;IF(C312!$D$7="Aula 9",(C312!$A$1&amp;" "),"")&amp;IF(C411!$D$7="Aula 9",(C411!$A$1&amp;" "),"")&amp;IF(C412!$D$7="Aula 9",(C412!$A$1&amp;" "),"")&amp;IF(M111!$D$7="Aula 9",(M111!$A$1&amp;" "),"")&amp;IF(M211!$D$7="Aula 9",(M211!$A$1&amp;" "),"")&amp;IF(M311!$D$7="Aula 9",(M311!$A$1&amp;" "),"")&amp;IF(M411!$D$7="Aula 9",(M411!$A$1&amp;" "),""))," ",",")</f>
        <v/>
      </c>
      <c r="K21" s="2">
        <f>SUBSTITUTE(TRIM(IF(D111!$D$7="Lab",(D111!$A$1&amp;" "),"")&amp;IF(D211!$D$7="Lab",(D211!$A$1&amp;" "),"")&amp;IF(D311!$D$7="Lab",(D311!$A$1&amp;" "),"")&amp;IF(D411!$D$7="Lab",(D411!$A$1&amp;" "),"")&amp;IF(C111!$D$7="Lab",(C111!$A$1&amp;" "),"")&amp;IF(C121!$D$7="Lab",(C121!$A$1&amp;" "),"")&amp;IF(C122!$D$7="Lab",(C122!$A$1&amp;" "),"")&amp;IF(C211!$D$7="Lab",(C211!$A$1&amp;" "),"")&amp;IF(C212!$D$7="Lab",(C212!$A$1&amp;" "),"")&amp;IF(C311!$D$7="Lab",(C311!$A$1&amp;" "),"")&amp;IF(C312!$D$7="Lab",(C312!$A$1&amp;" "),"")&amp;IF(C411!$D$7="Lab",(C411!$A$1&amp;" "),"")&amp;IF(C412!$D$7="Lab",(C412!$A$1&amp;" "),"")&amp;IF(M111!$D$7="Lab",(M111!$A$1&amp;" "),"")&amp;IF(M211!$D$7="Lab",(M211!$A$1&amp;" "),"")&amp;IF(M311!$D$7="Lab",(M311!$A$1&amp;" "),"")&amp;IF(M411!$D$7="Lab",(M411!$A$1&amp;" "),""))," ",",")</f>
        <v/>
      </c>
      <c r="L21" t="inlineStr"/>
    </row>
    <row r="22">
      <c r="A22" s="2" t="inlineStr">
        <is>
          <t>5</t>
        </is>
      </c>
      <c r="B22" s="2">
        <f>SUBSTITUTE(TRIM(IF(D111!$D$9="Aula 1",(D111!$A$1&amp;" "),"")&amp;IF(D211!$D$9="Aula 1",(D211!$A$1&amp;" "),"")&amp;IF(D311!$D$9="Aula 1",(D311!$A$1&amp;" "),"")&amp;IF(D411!$D$9="Aula 1",(D411!$A$1&amp;" "),"")&amp;IF(C111!$D$9="Aula 1",(C111!$A$1&amp;" "),"")&amp;IF(C121!$D$9="Aula 1",(C121!$A$1&amp;" "),"")&amp;IF(C122!$D$9="Aula 1",(C122!$A$1&amp;" "),"")&amp;IF(C211!$D$9="Aula 1",(C211!$A$1&amp;" "),"")&amp;IF(C212!$D$9="Aula 1",(C212!$A$1&amp;" "),"")&amp;IF(C311!$D$9="Aula 1",(C311!$A$1&amp;" "),"")&amp;IF(C312!$D$9="Aula 1",(C312!$A$1&amp;" "),"")&amp;IF(C411!$D$9="Aula 1",(C411!$A$1&amp;" "),"")&amp;IF(C412!$D$9="Aula 1",(C412!$A$1&amp;" "),"")&amp;IF(M111!$D$9="Aula 1",(M111!$A$1&amp;" "),"")&amp;IF(M211!$D$9="Aula 1",(M211!$A$1&amp;" "),"")&amp;IF(M311!$D$9="Aula 1",(M311!$A$1&amp;" "),"")&amp;IF(M411!$D$9="Aula 1",(M411!$A$1&amp;" "),""))," ",",")</f>
        <v/>
      </c>
      <c r="C22" s="2">
        <f>SUBSTITUTE(TRIM(IF(D111!$D$9="Aula 2",(D111!$A$1&amp;" "),"")&amp;IF(D211!$D$9="Aula 2",(D211!$A$1&amp;" "),"")&amp;IF(D311!$D$9="Aula 2",(D311!$A$1&amp;" "),"")&amp;IF(D411!$D$9="Aula 2",(D411!$A$1&amp;" "),"")&amp;IF(C111!$D$9="Aula 2",(C111!$A$1&amp;" "),"")&amp;IF(C121!$D$9="Aula 2",(C121!$A$1&amp;" "),"")&amp;IF(C122!$D$9="Aula 2",(C122!$A$1&amp;" "),"")&amp;IF(C211!$D$9="Aula 2",(C211!$A$1&amp;" "),"")&amp;IF(C212!$D$9="Aula 2",(C212!$A$1&amp;" "),"")&amp;IF(C311!$D$9="Aula 2",(C311!$A$1&amp;" "),"")&amp;IF(C312!$D$9="Aula 2",(C312!$A$1&amp;" "),"")&amp;IF(C411!$D$9="Aula 2",(C411!$A$1&amp;" "),"")&amp;IF(C412!$D$9="Aula 2",(C412!$A$1&amp;" "),"")&amp;IF(M111!$D$9="Aula 2",(M111!$A$1&amp;" "),"")&amp;IF(M211!$D$9="Aula 2",(M211!$A$1&amp;" "),"")&amp;IF(M311!$D$9="Aula 2",(M311!$A$1&amp;" "),"")&amp;IF(M411!$D$9="Aula 2",(M411!$A$1&amp;" "),""))," ",",")</f>
        <v/>
      </c>
      <c r="D22" s="2">
        <f>SUBSTITUTE(TRIM(IF(D111!$D$9="Aula 3",(D111!$A$1&amp;" "),"")&amp;IF(D211!$D$9="Aula 3",(D211!$A$1&amp;" "),"")&amp;IF(D311!$D$9="Aula 3",(D311!$A$1&amp;" "),"")&amp;IF(D411!$D$9="Aula 3",(D411!$A$1&amp;" "),"")&amp;IF(C111!$D$9="Aula 3",(C111!$A$1&amp;" "),"")&amp;IF(C121!$D$9="Aula 3",(C121!$A$1&amp;" "),"")&amp;IF(C122!$D$9="Aula 3",(C122!$A$1&amp;" "),"")&amp;IF(C211!$D$9="Aula 3",(C211!$A$1&amp;" "),"")&amp;IF(C212!$D$9="Aula 3",(C212!$A$1&amp;" "),"")&amp;IF(C311!$D$9="Aula 3",(C311!$A$1&amp;" "),"")&amp;IF(C312!$D$9="Aula 3",(C312!$A$1&amp;" "),"")&amp;IF(C411!$D$9="Aula 3",(C411!$A$1&amp;" "),"")&amp;IF(C412!$D$9="Aula 3",(C412!$A$1&amp;" "),"")&amp;IF(M111!$D$9="Aula 3",(M111!$A$1&amp;" "),"")&amp;IF(M211!$D$9="Aula 3",(M211!$A$1&amp;" "),"")&amp;IF(M311!$D$9="Aula 3",(M311!$A$1&amp;" "),"")&amp;IF(M411!$D$9="Aula 3",(M411!$A$1&amp;" "),""))," ",",")</f>
        <v/>
      </c>
      <c r="E22" s="2">
        <f>SUBSTITUTE(TRIM(IF(D111!$D$9="Aula 4",(D111!$A$1&amp;" "),"")&amp;IF(D211!$D$9="Aula 4",(D211!$A$1&amp;" "),"")&amp;IF(D311!$D$9="Aula 4",(D311!$A$1&amp;" "),"")&amp;IF(D411!$D$9="Aula 4",(D411!$A$1&amp;" "),"")&amp;IF(C111!$D$9="Aula 4",(C111!$A$1&amp;" "),"")&amp;IF(C121!$D$9="Aula 4",(C121!$A$1&amp;" "),"")&amp;IF(C122!$D$9="Aula 4",(C122!$A$1&amp;" "),"")&amp;IF(C211!$D$9="Aula 4",(C211!$A$1&amp;" "),"")&amp;IF(C212!$D$9="Aula 4",(C212!$A$1&amp;" "),"")&amp;IF(C311!$D$9="Aula 4",(C311!$A$1&amp;" "),"")&amp;IF(C312!$D$9="Aula 4",(C312!$A$1&amp;" "),"")&amp;IF(C411!$D$9="Aula 4",(C411!$A$1&amp;" "),"")&amp;IF(C412!$D$9="Aula 4",(C412!$A$1&amp;" "),"")&amp;IF(M111!$D$9="Aula 4",(M111!$A$1&amp;" "),"")&amp;IF(M211!$D$9="Aula 4",(M211!$A$1&amp;" "),"")&amp;IF(M311!$D$9="Aula 4",(M311!$A$1&amp;" "),"")&amp;IF(M411!$D$9="Aula 4",(M411!$A$1&amp;" "),""))," ",",")</f>
        <v/>
      </c>
      <c r="F22" s="2">
        <f>SUBSTITUTE(TRIM(IF(D111!$D$9="Aula 5",(D111!$A$1&amp;" "),"")&amp;IF(D211!$D$9="Aula 5",(D211!$A$1&amp;" "),"")&amp;IF(D311!$D$9="Aula 5",(D311!$A$1&amp;" "),"")&amp;IF(D411!$D$9="Aula 5",(D411!$A$1&amp;" "),"")&amp;IF(C111!$D$9="Aula 5",(C111!$A$1&amp;" "),"")&amp;IF(C121!$D$9="Aula 5",(C121!$A$1&amp;" "),"")&amp;IF(C122!$D$9="Aula 5",(C122!$A$1&amp;" "),"")&amp;IF(C211!$D$9="Aula 5",(C211!$A$1&amp;" "),"")&amp;IF(C212!$D$9="Aula 5",(C212!$A$1&amp;" "),"")&amp;IF(C311!$D$9="Aula 5",(C311!$A$1&amp;" "),"")&amp;IF(C312!$D$9="Aula 5",(C312!$A$1&amp;" "),"")&amp;IF(C411!$D$9="Aula 5",(C411!$A$1&amp;" "),"")&amp;IF(C412!$D$9="Aula 5",(C412!$A$1&amp;" "),"")&amp;IF(M111!$D$9="Aula 5",(M111!$A$1&amp;" "),"")&amp;IF(M211!$D$9="Aula 5",(M211!$A$1&amp;" "),"")&amp;IF(M311!$D$9="Aula 5",(M311!$A$1&amp;" "),"")&amp;IF(M411!$D$9="Aula 5",(M411!$A$1&amp;" "),""))," ",",")</f>
        <v/>
      </c>
      <c r="G22" s="2">
        <f>SUBSTITUTE(TRIM(IF(D111!$D$9="Aula 6",(D111!$A$1&amp;" "),"")&amp;IF(D211!$D$9="Aula 6",(D211!$A$1&amp;" "),"")&amp;IF(D311!$D$9="Aula 6",(D311!$A$1&amp;" "),"")&amp;IF(D411!$D$9="Aula 6",(D411!$A$1&amp;" "),"")&amp;IF(C111!$D$9="Aula 6",(C111!$A$1&amp;" "),"")&amp;IF(C121!$D$9="Aula 6",(C121!$A$1&amp;" "),"")&amp;IF(C122!$D$9="Aula 6",(C122!$A$1&amp;" "),"")&amp;IF(C211!$D$9="Aula 6",(C211!$A$1&amp;" "),"")&amp;IF(C212!$D$9="Aula 6",(C212!$A$1&amp;" "),"")&amp;IF(C311!$D$9="Aula 6",(C311!$A$1&amp;" "),"")&amp;IF(C312!$D$9="Aula 6",(C312!$A$1&amp;" "),"")&amp;IF(C411!$D$9="Aula 6",(C411!$A$1&amp;" "),"")&amp;IF(C412!$D$9="Aula 6",(C412!$A$1&amp;" "),"")&amp;IF(M111!$D$9="Aula 6",(M111!$A$1&amp;" "),"")&amp;IF(M211!$D$9="Aula 6",(M211!$A$1&amp;" "),"")&amp;IF(M311!$D$9="Aula 6",(M311!$A$1&amp;" "),"")&amp;IF(M411!$D$9="Aula 6",(M411!$A$1&amp;" "),""))," ",",")</f>
        <v/>
      </c>
      <c r="H22" s="2">
        <f>SUBSTITUTE(TRIM(IF(D111!$D$9="Aula 7",(D111!$A$1&amp;" "),"")&amp;IF(D211!$D$9="Aula 7",(D211!$A$1&amp;" "),"")&amp;IF(D311!$D$9="Aula 7",(D311!$A$1&amp;" "),"")&amp;IF(D411!$D$9="Aula 7",(D411!$A$1&amp;" "),"")&amp;IF(C111!$D$9="Aula 7",(C111!$A$1&amp;" "),"")&amp;IF(C121!$D$9="Aula 7",(C121!$A$1&amp;" "),"")&amp;IF(C122!$D$9="Aula 7",(C122!$A$1&amp;" "),"")&amp;IF(C211!$D$9="Aula 7",(C211!$A$1&amp;" "),"")&amp;IF(C212!$D$9="Aula 7",(C212!$A$1&amp;" "),"")&amp;IF(C311!$D$9="Aula 7",(C311!$A$1&amp;" "),"")&amp;IF(C312!$D$9="Aula 7",(C312!$A$1&amp;" "),"")&amp;IF(C411!$D$9="Aula 7",(C411!$A$1&amp;" "),"")&amp;IF(C412!$D$9="Aula 7",(C412!$A$1&amp;" "),"")&amp;IF(M111!$D$9="Aula 7",(M111!$A$1&amp;" "),"")&amp;IF(M211!$D$9="Aula 7",(M211!$A$1&amp;" "),"")&amp;IF(M311!$D$9="Aula 7",(M311!$A$1&amp;" "),"")&amp;IF(M411!$D$9="Aula 7",(M411!$A$1&amp;" "),""))," ",",")</f>
        <v/>
      </c>
      <c r="I22" s="2">
        <f>SUBSTITUTE(TRIM(IF(D111!$D$9="Aula 8",(D111!$A$1&amp;" "),"")&amp;IF(D211!$D$9="Aula 8",(D211!$A$1&amp;" "),"")&amp;IF(D311!$D$9="Aula 8",(D311!$A$1&amp;" "),"")&amp;IF(D411!$D$9="Aula 8",(D411!$A$1&amp;" "),"")&amp;IF(C111!$D$9="Aula 8",(C111!$A$1&amp;" "),"")&amp;IF(C121!$D$9="Aula 8",(C121!$A$1&amp;" "),"")&amp;IF(C122!$D$9="Aula 8",(C122!$A$1&amp;" "),"")&amp;IF(C211!$D$9="Aula 8",(C211!$A$1&amp;" "),"")&amp;IF(C212!$D$9="Aula 8",(C212!$A$1&amp;" "),"")&amp;IF(C311!$D$9="Aula 8",(C311!$A$1&amp;" "),"")&amp;IF(C312!$D$9="Aula 8",(C312!$A$1&amp;" "),"")&amp;IF(C411!$D$9="Aula 8",(C411!$A$1&amp;" "),"")&amp;IF(C412!$D$9="Aula 8",(C412!$A$1&amp;" "),"")&amp;IF(M111!$D$9="Aula 8",(M111!$A$1&amp;" "),"")&amp;IF(M211!$D$9="Aula 8",(M211!$A$1&amp;" "),"")&amp;IF(M311!$D$9="Aula 8",(M311!$A$1&amp;" "),"")&amp;IF(M411!$D$9="Aula 8",(M411!$A$1&amp;" "),""))," ",",")</f>
        <v/>
      </c>
      <c r="J22" s="2">
        <f>SUBSTITUTE(TRIM(IF(D111!$D$9="Aula 9",(D111!$A$1&amp;" "),"")&amp;IF(D211!$D$9="Aula 9",(D211!$A$1&amp;" "),"")&amp;IF(D311!$D$9="Aula 9",(D311!$A$1&amp;" "),"")&amp;IF(D411!$D$9="Aula 9",(D411!$A$1&amp;" "),"")&amp;IF(C111!$D$9="Aula 9",(C111!$A$1&amp;" "),"")&amp;IF(C121!$D$9="Aula 9",(C121!$A$1&amp;" "),"")&amp;IF(C122!$D$9="Aula 9",(C122!$A$1&amp;" "),"")&amp;IF(C211!$D$9="Aula 9",(C211!$A$1&amp;" "),"")&amp;IF(C212!$D$9="Aula 9",(C212!$A$1&amp;" "),"")&amp;IF(C311!$D$9="Aula 9",(C311!$A$1&amp;" "),"")&amp;IF(C312!$D$9="Aula 9",(C312!$A$1&amp;" "),"")&amp;IF(C411!$D$9="Aula 9",(C411!$A$1&amp;" "),"")&amp;IF(C412!$D$9="Aula 9",(C412!$A$1&amp;" "),"")&amp;IF(M111!$D$9="Aula 9",(M111!$A$1&amp;" "),"")&amp;IF(M211!$D$9="Aula 9",(M211!$A$1&amp;" "),"")&amp;IF(M311!$D$9="Aula 9",(M311!$A$1&amp;" "),"")&amp;IF(M411!$D$9="Aula 9",(M411!$A$1&amp;" "),""))," ",",")</f>
        <v/>
      </c>
      <c r="K22" s="2">
        <f>SUBSTITUTE(TRIM(IF(D111!$D$9="Lab",(D111!$A$1&amp;" "),"")&amp;IF(D211!$D$9="Lab",(D211!$A$1&amp;" "),"")&amp;IF(D311!$D$9="Lab",(D311!$A$1&amp;" "),"")&amp;IF(D411!$D$9="Lab",(D411!$A$1&amp;" "),"")&amp;IF(C111!$D$9="Lab",(C111!$A$1&amp;" "),"")&amp;IF(C121!$D$9="Lab",(C121!$A$1&amp;" "),"")&amp;IF(C122!$D$9="Lab",(C122!$A$1&amp;" "),"")&amp;IF(C211!$D$9="Lab",(C211!$A$1&amp;" "),"")&amp;IF(C212!$D$9="Lab",(C212!$A$1&amp;" "),"")&amp;IF(C311!$D$9="Lab",(C311!$A$1&amp;" "),"")&amp;IF(C312!$D$9="Lab",(C312!$A$1&amp;" "),"")&amp;IF(C411!$D$9="Lab",(C411!$A$1&amp;" "),"")&amp;IF(C412!$D$9="Lab",(C412!$A$1&amp;" "),"")&amp;IF(M111!$D$9="Lab",(M111!$A$1&amp;" "),"")&amp;IF(M211!$D$9="Lab",(M211!$A$1&amp;" "),"")&amp;IF(M311!$D$9="Lab",(M311!$A$1&amp;" "),"")&amp;IF(M411!$D$9="Lab",(M411!$A$1&amp;" "),""))," ",",")</f>
        <v/>
      </c>
      <c r="L22" t="inlineStr"/>
    </row>
    <row r="23">
      <c r="A23" s="2" t="inlineStr">
        <is>
          <t>6</t>
        </is>
      </c>
      <c r="B23" s="2">
        <f>SUBSTITUTE(TRIM(IF(D111!$D$11="Aula 1",(D111!$A$1&amp;" "),"")&amp;IF(D211!$D$11="Aula 1",(D211!$A$1&amp;" "),"")&amp;IF(D311!$D$11="Aula 1",(D311!$A$1&amp;" "),"")&amp;IF(D411!$D$11="Aula 1",(D411!$A$1&amp;" "),"")&amp;IF(C111!$D$11="Aula 1",(C111!$A$1&amp;" "),"")&amp;IF(C121!$D$11="Aula 1",(C121!$A$1&amp;" "),"")&amp;IF(C122!$D$11="Aula 1",(C122!$A$1&amp;" "),"")&amp;IF(C211!$D$11="Aula 1",(C211!$A$1&amp;" "),"")&amp;IF(C212!$D$11="Aula 1",(C212!$A$1&amp;" "),"")&amp;IF(C311!$D$11="Aula 1",(C311!$A$1&amp;" "),"")&amp;IF(C312!$D$11="Aula 1",(C312!$A$1&amp;" "),"")&amp;IF(C411!$D$11="Aula 1",(C411!$A$1&amp;" "),"")&amp;IF(C412!$D$11="Aula 1",(C412!$A$1&amp;" "),"")&amp;IF(M111!$D$11="Aula 1",(M111!$A$1&amp;" "),"")&amp;IF(M211!$D$11="Aula 1",(M211!$A$1&amp;" "),"")&amp;IF(M311!$D$11="Aula 1",(M311!$A$1&amp;" "),"")&amp;IF(M411!$D$11="Aula 1",(M411!$A$1&amp;" "),""))," ",",")</f>
        <v/>
      </c>
      <c r="C23" s="2">
        <f>SUBSTITUTE(TRIM(IF(D111!$D$11="Aula 2",(D111!$A$1&amp;" "),"")&amp;IF(D211!$D$11="Aula 2",(D211!$A$1&amp;" "),"")&amp;IF(D311!$D$11="Aula 2",(D311!$A$1&amp;" "),"")&amp;IF(D411!$D$11="Aula 2",(D411!$A$1&amp;" "),"")&amp;IF(C111!$D$11="Aula 2",(C111!$A$1&amp;" "),"")&amp;IF(C121!$D$11="Aula 2",(C121!$A$1&amp;" "),"")&amp;IF(C122!$D$11="Aula 2",(C122!$A$1&amp;" "),"")&amp;IF(C211!$D$11="Aula 2",(C211!$A$1&amp;" "),"")&amp;IF(C212!$D$11="Aula 2",(C212!$A$1&amp;" "),"")&amp;IF(C311!$D$11="Aula 2",(C311!$A$1&amp;" "),"")&amp;IF(C312!$D$11="Aula 2",(C312!$A$1&amp;" "),"")&amp;IF(C411!$D$11="Aula 2",(C411!$A$1&amp;" "),"")&amp;IF(C412!$D$11="Aula 2",(C412!$A$1&amp;" "),"")&amp;IF(M111!$D$11="Aula 2",(M111!$A$1&amp;" "),"")&amp;IF(M211!$D$11="Aula 2",(M211!$A$1&amp;" "),"")&amp;IF(M311!$D$11="Aula 2",(M311!$A$1&amp;" "),"")&amp;IF(M411!$D$11="Aula 2",(M411!$A$1&amp;" "),""))," ",",")</f>
        <v/>
      </c>
      <c r="D23" s="2">
        <f>SUBSTITUTE(TRIM(IF(D111!$D$11="Aula 3",(D111!$A$1&amp;" "),"")&amp;IF(D211!$D$11="Aula 3",(D211!$A$1&amp;" "),"")&amp;IF(D311!$D$11="Aula 3",(D311!$A$1&amp;" "),"")&amp;IF(D411!$D$11="Aula 3",(D411!$A$1&amp;" "),"")&amp;IF(C111!$D$11="Aula 3",(C111!$A$1&amp;" "),"")&amp;IF(C121!$D$11="Aula 3",(C121!$A$1&amp;" "),"")&amp;IF(C122!$D$11="Aula 3",(C122!$A$1&amp;" "),"")&amp;IF(C211!$D$11="Aula 3",(C211!$A$1&amp;" "),"")&amp;IF(C212!$D$11="Aula 3",(C212!$A$1&amp;" "),"")&amp;IF(C311!$D$11="Aula 3",(C311!$A$1&amp;" "),"")&amp;IF(C312!$D$11="Aula 3",(C312!$A$1&amp;" "),"")&amp;IF(C411!$D$11="Aula 3",(C411!$A$1&amp;" "),"")&amp;IF(C412!$D$11="Aula 3",(C412!$A$1&amp;" "),"")&amp;IF(M111!$D$11="Aula 3",(M111!$A$1&amp;" "),"")&amp;IF(M211!$D$11="Aula 3",(M211!$A$1&amp;" "),"")&amp;IF(M311!$D$11="Aula 3",(M311!$A$1&amp;" "),"")&amp;IF(M411!$D$11="Aula 3",(M411!$A$1&amp;" "),""))," ",",")</f>
        <v/>
      </c>
      <c r="E23" s="2">
        <f>SUBSTITUTE(TRIM(IF(D111!$D$11="Aula 4",(D111!$A$1&amp;" "),"")&amp;IF(D211!$D$11="Aula 4",(D211!$A$1&amp;" "),"")&amp;IF(D311!$D$11="Aula 4",(D311!$A$1&amp;" "),"")&amp;IF(D411!$D$11="Aula 4",(D411!$A$1&amp;" "),"")&amp;IF(C111!$D$11="Aula 4",(C111!$A$1&amp;" "),"")&amp;IF(C121!$D$11="Aula 4",(C121!$A$1&amp;" "),"")&amp;IF(C122!$D$11="Aula 4",(C122!$A$1&amp;" "),"")&amp;IF(C211!$D$11="Aula 4",(C211!$A$1&amp;" "),"")&amp;IF(C212!$D$11="Aula 4",(C212!$A$1&amp;" "),"")&amp;IF(C311!$D$11="Aula 4",(C311!$A$1&amp;" "),"")&amp;IF(C312!$D$11="Aula 4",(C312!$A$1&amp;" "),"")&amp;IF(C411!$D$11="Aula 4",(C411!$A$1&amp;" "),"")&amp;IF(C412!$D$11="Aula 4",(C412!$A$1&amp;" "),"")&amp;IF(M111!$D$11="Aula 4",(M111!$A$1&amp;" "),"")&amp;IF(M211!$D$11="Aula 4",(M211!$A$1&amp;" "),"")&amp;IF(M311!$D$11="Aula 4",(M311!$A$1&amp;" "),"")&amp;IF(M411!$D$11="Aula 4",(M411!$A$1&amp;" "),""))," ",",")</f>
        <v/>
      </c>
      <c r="F23" s="2">
        <f>SUBSTITUTE(TRIM(IF(D111!$D$11="Aula 5",(D111!$A$1&amp;" "),"")&amp;IF(D211!$D$11="Aula 5",(D211!$A$1&amp;" "),"")&amp;IF(D311!$D$11="Aula 5",(D311!$A$1&amp;" "),"")&amp;IF(D411!$D$11="Aula 5",(D411!$A$1&amp;" "),"")&amp;IF(C111!$D$11="Aula 5",(C111!$A$1&amp;" "),"")&amp;IF(C121!$D$11="Aula 5",(C121!$A$1&amp;" "),"")&amp;IF(C122!$D$11="Aula 5",(C122!$A$1&amp;" "),"")&amp;IF(C211!$D$11="Aula 5",(C211!$A$1&amp;" "),"")&amp;IF(C212!$D$11="Aula 5",(C212!$A$1&amp;" "),"")&amp;IF(C311!$D$11="Aula 5",(C311!$A$1&amp;" "),"")&amp;IF(C312!$D$11="Aula 5",(C312!$A$1&amp;" "),"")&amp;IF(C411!$D$11="Aula 5",(C411!$A$1&amp;" "),"")&amp;IF(C412!$D$11="Aula 5",(C412!$A$1&amp;" "),"")&amp;IF(M111!$D$11="Aula 5",(M111!$A$1&amp;" "),"")&amp;IF(M211!$D$11="Aula 5",(M211!$A$1&amp;" "),"")&amp;IF(M311!$D$11="Aula 5",(M311!$A$1&amp;" "),"")&amp;IF(M411!$D$11="Aula 5",(M411!$A$1&amp;" "),""))," ",",")</f>
        <v/>
      </c>
      <c r="G23" s="2">
        <f>SUBSTITUTE(TRIM(IF(D111!$D$11="Aula 6",(D111!$A$1&amp;" "),"")&amp;IF(D211!$D$11="Aula 6",(D211!$A$1&amp;" "),"")&amp;IF(D311!$D$11="Aula 6",(D311!$A$1&amp;" "),"")&amp;IF(D411!$D$11="Aula 6",(D411!$A$1&amp;" "),"")&amp;IF(C111!$D$11="Aula 6",(C111!$A$1&amp;" "),"")&amp;IF(C121!$D$11="Aula 6",(C121!$A$1&amp;" "),"")&amp;IF(C122!$D$11="Aula 6",(C122!$A$1&amp;" "),"")&amp;IF(C211!$D$11="Aula 6",(C211!$A$1&amp;" "),"")&amp;IF(C212!$D$11="Aula 6",(C212!$A$1&amp;" "),"")&amp;IF(C311!$D$11="Aula 6",(C311!$A$1&amp;" "),"")&amp;IF(C312!$D$11="Aula 6",(C312!$A$1&amp;" "),"")&amp;IF(C411!$D$11="Aula 6",(C411!$A$1&amp;" "),"")&amp;IF(C412!$D$11="Aula 6",(C412!$A$1&amp;" "),"")&amp;IF(M111!$D$11="Aula 6",(M111!$A$1&amp;" "),"")&amp;IF(M211!$D$11="Aula 6",(M211!$A$1&amp;" "),"")&amp;IF(M311!$D$11="Aula 6",(M311!$A$1&amp;" "),"")&amp;IF(M411!$D$11="Aula 6",(M411!$A$1&amp;" "),""))," ",",")</f>
        <v/>
      </c>
      <c r="H23" s="2">
        <f>SUBSTITUTE(TRIM(IF(D111!$D$11="Aula 7",(D111!$A$1&amp;" "),"")&amp;IF(D211!$D$11="Aula 7",(D211!$A$1&amp;" "),"")&amp;IF(D311!$D$11="Aula 7",(D311!$A$1&amp;" "),"")&amp;IF(D411!$D$11="Aula 7",(D411!$A$1&amp;" "),"")&amp;IF(C111!$D$11="Aula 7",(C111!$A$1&amp;" "),"")&amp;IF(C121!$D$11="Aula 7",(C121!$A$1&amp;" "),"")&amp;IF(C122!$D$11="Aula 7",(C122!$A$1&amp;" "),"")&amp;IF(C211!$D$11="Aula 7",(C211!$A$1&amp;" "),"")&amp;IF(C212!$D$11="Aula 7",(C212!$A$1&amp;" "),"")&amp;IF(C311!$D$11="Aula 7",(C311!$A$1&amp;" "),"")&amp;IF(C312!$D$11="Aula 7",(C312!$A$1&amp;" "),"")&amp;IF(C411!$D$11="Aula 7",(C411!$A$1&amp;" "),"")&amp;IF(C412!$D$11="Aula 7",(C412!$A$1&amp;" "),"")&amp;IF(M111!$D$11="Aula 7",(M111!$A$1&amp;" "),"")&amp;IF(M211!$D$11="Aula 7",(M211!$A$1&amp;" "),"")&amp;IF(M311!$D$11="Aula 7",(M311!$A$1&amp;" "),"")&amp;IF(M411!$D$11="Aula 7",(M411!$A$1&amp;" "),""))," ",",")</f>
        <v/>
      </c>
      <c r="I23" s="2">
        <f>SUBSTITUTE(TRIM(IF(D111!$D$11="Aula 8",(D111!$A$1&amp;" "),"")&amp;IF(D211!$D$11="Aula 8",(D211!$A$1&amp;" "),"")&amp;IF(D311!$D$11="Aula 8",(D311!$A$1&amp;" "),"")&amp;IF(D411!$D$11="Aula 8",(D411!$A$1&amp;" "),"")&amp;IF(C111!$D$11="Aula 8",(C111!$A$1&amp;" "),"")&amp;IF(C121!$D$11="Aula 8",(C121!$A$1&amp;" "),"")&amp;IF(C122!$D$11="Aula 8",(C122!$A$1&amp;" "),"")&amp;IF(C211!$D$11="Aula 8",(C211!$A$1&amp;" "),"")&amp;IF(C212!$D$11="Aula 8",(C212!$A$1&amp;" "),"")&amp;IF(C311!$D$11="Aula 8",(C311!$A$1&amp;" "),"")&amp;IF(C312!$D$11="Aula 8",(C312!$A$1&amp;" "),"")&amp;IF(C411!$D$11="Aula 8",(C411!$A$1&amp;" "),"")&amp;IF(C412!$D$11="Aula 8",(C412!$A$1&amp;" "),"")&amp;IF(M111!$D$11="Aula 8",(M111!$A$1&amp;" "),"")&amp;IF(M211!$D$11="Aula 8",(M211!$A$1&amp;" "),"")&amp;IF(M311!$D$11="Aula 8",(M311!$A$1&amp;" "),"")&amp;IF(M411!$D$11="Aula 8",(M411!$A$1&amp;" "),""))," ",",")</f>
        <v/>
      </c>
      <c r="J23" s="2">
        <f>SUBSTITUTE(TRIM(IF(D111!$D$11="Aula 9",(D111!$A$1&amp;" "),"")&amp;IF(D211!$D$11="Aula 9",(D211!$A$1&amp;" "),"")&amp;IF(D311!$D$11="Aula 9",(D311!$A$1&amp;" "),"")&amp;IF(D411!$D$11="Aula 9",(D411!$A$1&amp;" "),"")&amp;IF(C111!$D$11="Aula 9",(C111!$A$1&amp;" "),"")&amp;IF(C121!$D$11="Aula 9",(C121!$A$1&amp;" "),"")&amp;IF(C122!$D$11="Aula 9",(C122!$A$1&amp;" "),"")&amp;IF(C211!$D$11="Aula 9",(C211!$A$1&amp;" "),"")&amp;IF(C212!$D$11="Aula 9",(C212!$A$1&amp;" "),"")&amp;IF(C311!$D$11="Aula 9",(C311!$A$1&amp;" "),"")&amp;IF(C312!$D$11="Aula 9",(C312!$A$1&amp;" "),"")&amp;IF(C411!$D$11="Aula 9",(C411!$A$1&amp;" "),"")&amp;IF(C412!$D$11="Aula 9",(C412!$A$1&amp;" "),"")&amp;IF(M111!$D$11="Aula 9",(M111!$A$1&amp;" "),"")&amp;IF(M211!$D$11="Aula 9",(M211!$A$1&amp;" "),"")&amp;IF(M311!$D$11="Aula 9",(M311!$A$1&amp;" "),"")&amp;IF(M411!$D$11="Aula 9",(M411!$A$1&amp;" "),""))," ",",")</f>
        <v/>
      </c>
      <c r="K23" s="2">
        <f>SUBSTITUTE(TRIM(IF(D111!$D$11="Lab",(D111!$A$1&amp;" "),"")&amp;IF(D211!$D$11="Lab",(D211!$A$1&amp;" "),"")&amp;IF(D311!$D$11="Lab",(D311!$A$1&amp;" "),"")&amp;IF(D411!$D$11="Lab",(D411!$A$1&amp;" "),"")&amp;IF(C111!$D$11="Lab",(C111!$A$1&amp;" "),"")&amp;IF(C121!$D$11="Lab",(C121!$A$1&amp;" "),"")&amp;IF(C122!$D$11="Lab",(C122!$A$1&amp;" "),"")&amp;IF(C211!$D$11="Lab",(C211!$A$1&amp;" "),"")&amp;IF(C212!$D$11="Lab",(C212!$A$1&amp;" "),"")&amp;IF(C311!$D$11="Lab",(C311!$A$1&amp;" "),"")&amp;IF(C312!$D$11="Lab",(C312!$A$1&amp;" "),"")&amp;IF(C411!$D$11="Lab",(C411!$A$1&amp;" "),"")&amp;IF(C412!$D$11="Lab",(C412!$A$1&amp;" "),"")&amp;IF(M111!$D$11="Lab",(M111!$A$1&amp;" "),"")&amp;IF(M211!$D$11="Lab",(M211!$A$1&amp;" "),"")&amp;IF(M311!$D$11="Lab",(M311!$A$1&amp;" "),"")&amp;IF(M411!$D$11="Lab",(M411!$A$1&amp;" "),""))," ",",")</f>
        <v/>
      </c>
      <c r="L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Lab</t>
        </is>
      </c>
      <c r="L25" t="inlineStr"/>
    </row>
    <row r="26">
      <c r="A26" t="inlineStr">
        <is>
          <t>1</t>
        </is>
      </c>
      <c r="B26" t="inlineStr">
        <is>
          <t>C113</t>
        </is>
      </c>
      <c r="C26" t="inlineStr"/>
      <c r="D26" t="inlineStr"/>
      <c r="E26" t="inlineStr"/>
      <c r="F26" t="inlineStr">
        <is>
          <t>C112</t>
        </is>
      </c>
      <c r="G26" t="inlineStr">
        <is>
          <t>C111</t>
        </is>
      </c>
      <c r="H26" t="inlineStr"/>
      <c r="I26" t="inlineStr"/>
      <c r="J26" t="inlineStr"/>
      <c r="K26" t="inlineStr"/>
      <c r="L26" t="inlineStr"/>
    </row>
    <row r="27">
      <c r="A27" t="inlineStr">
        <is>
          <t>2</t>
        </is>
      </c>
      <c r="B27" t="inlineStr">
        <is>
          <t>C113</t>
        </is>
      </c>
      <c r="C27" t="inlineStr"/>
      <c r="D27" t="inlineStr"/>
      <c r="E27" t="inlineStr"/>
      <c r="F27" t="inlineStr">
        <is>
          <t>C112</t>
        </is>
      </c>
      <c r="G27" t="inlineStr">
        <is>
          <t>C111</t>
        </is>
      </c>
      <c r="H27" t="inlineStr"/>
      <c r="I27" t="inlineStr"/>
      <c r="J27" t="inlineStr"/>
      <c r="K27" t="inlineStr"/>
      <c r="L27" t="inlineStr"/>
    </row>
    <row r="28">
      <c r="A28" s="2" t="inlineStr">
        <is>
          <t>3</t>
        </is>
      </c>
      <c r="B28" s="2">
        <f>SUBSTITUTE(TRIM(IF(D111!$E$5="Aula 1",(D111!$A$1&amp;" "),"")&amp;IF(D211!$E$5="Aula 1",(D211!$A$1&amp;" "),"")&amp;IF(D311!$E$5="Aula 1",(D311!$A$1&amp;" "),"")&amp;IF(D411!$E$5="Aula 1",(D411!$A$1&amp;" "),"")&amp;IF(C111!$E$5="Aula 1",(C111!$A$1&amp;" "),"")&amp;IF(C121!$E$5="Aula 1",(C121!$A$1&amp;" "),"")&amp;IF(C122!$E$5="Aula 1",(C122!$A$1&amp;" "),"")&amp;IF(C211!$E$5="Aula 1",(C211!$A$1&amp;" "),"")&amp;IF(C212!$E$5="Aula 1",(C212!$A$1&amp;" "),"")&amp;IF(C311!$E$5="Aula 1",(C311!$A$1&amp;" "),"")&amp;IF(C312!$E$5="Aula 1",(C312!$A$1&amp;" "),"")&amp;IF(C411!$E$5="Aula 1",(C411!$A$1&amp;" "),"")&amp;IF(C412!$E$5="Aula 1",(C412!$A$1&amp;" "),"")&amp;IF(M111!$E$5="Aula 1",(M111!$A$1&amp;" "),"")&amp;IF(M211!$E$5="Aula 1",(M211!$A$1&amp;" "),"")&amp;IF(M311!$E$5="Aula 1",(M311!$A$1&amp;" "),"")&amp;IF(M411!$E$5="Aula 1",(M411!$A$1&amp;" "),""))," ",",")</f>
        <v/>
      </c>
      <c r="C28" s="2">
        <f>SUBSTITUTE(TRIM(IF(D111!$E$5="Aula 2",(D111!$A$1&amp;" "),"")&amp;IF(D211!$E$5="Aula 2",(D211!$A$1&amp;" "),"")&amp;IF(D311!$E$5="Aula 2",(D311!$A$1&amp;" "),"")&amp;IF(D411!$E$5="Aula 2",(D411!$A$1&amp;" "),"")&amp;IF(C111!$E$5="Aula 2",(C111!$A$1&amp;" "),"")&amp;IF(C121!$E$5="Aula 2",(C121!$A$1&amp;" "),"")&amp;IF(C122!$E$5="Aula 2",(C122!$A$1&amp;" "),"")&amp;IF(C211!$E$5="Aula 2",(C211!$A$1&amp;" "),"")&amp;IF(C212!$E$5="Aula 2",(C212!$A$1&amp;" "),"")&amp;IF(C311!$E$5="Aula 2",(C311!$A$1&amp;" "),"")&amp;IF(C312!$E$5="Aula 2",(C312!$A$1&amp;" "),"")&amp;IF(C411!$E$5="Aula 2",(C411!$A$1&amp;" "),"")&amp;IF(C412!$E$5="Aula 2",(C412!$A$1&amp;" "),"")&amp;IF(M111!$E$5="Aula 2",(M111!$A$1&amp;" "),"")&amp;IF(M211!$E$5="Aula 2",(M211!$A$1&amp;" "),"")&amp;IF(M311!$E$5="Aula 2",(M311!$A$1&amp;" "),"")&amp;IF(M411!$E$5="Aula 2",(M411!$A$1&amp;" "),""))," ",",")</f>
        <v/>
      </c>
      <c r="D28" s="2">
        <f>SUBSTITUTE(TRIM(IF(D111!$E$5="Aula 3",(D111!$A$1&amp;" "),"")&amp;IF(D211!$E$5="Aula 3",(D211!$A$1&amp;" "),"")&amp;IF(D311!$E$5="Aula 3",(D311!$A$1&amp;" "),"")&amp;IF(D411!$E$5="Aula 3",(D411!$A$1&amp;" "),"")&amp;IF(C111!$E$5="Aula 3",(C111!$A$1&amp;" "),"")&amp;IF(C121!$E$5="Aula 3",(C121!$A$1&amp;" "),"")&amp;IF(C122!$E$5="Aula 3",(C122!$A$1&amp;" "),"")&amp;IF(C211!$E$5="Aula 3",(C211!$A$1&amp;" "),"")&amp;IF(C212!$E$5="Aula 3",(C212!$A$1&amp;" "),"")&amp;IF(C311!$E$5="Aula 3",(C311!$A$1&amp;" "),"")&amp;IF(C312!$E$5="Aula 3",(C312!$A$1&amp;" "),"")&amp;IF(C411!$E$5="Aula 3",(C411!$A$1&amp;" "),"")&amp;IF(C412!$E$5="Aula 3",(C412!$A$1&amp;" "),"")&amp;IF(M111!$E$5="Aula 3",(M111!$A$1&amp;" "),"")&amp;IF(M211!$E$5="Aula 3",(M211!$A$1&amp;" "),"")&amp;IF(M311!$E$5="Aula 3",(M311!$A$1&amp;" "),"")&amp;IF(M411!$E$5="Aula 3",(M411!$A$1&amp;" "),""))," ",",")</f>
        <v/>
      </c>
      <c r="E28" s="2">
        <f>SUBSTITUTE(TRIM(IF(D111!$E$5="Aula 4",(D111!$A$1&amp;" "),"")&amp;IF(D211!$E$5="Aula 4",(D211!$A$1&amp;" "),"")&amp;IF(D311!$E$5="Aula 4",(D311!$A$1&amp;" "),"")&amp;IF(D411!$E$5="Aula 4",(D411!$A$1&amp;" "),"")&amp;IF(C111!$E$5="Aula 4",(C111!$A$1&amp;" "),"")&amp;IF(C121!$E$5="Aula 4",(C121!$A$1&amp;" "),"")&amp;IF(C122!$E$5="Aula 4",(C122!$A$1&amp;" "),"")&amp;IF(C211!$E$5="Aula 4",(C211!$A$1&amp;" "),"")&amp;IF(C212!$E$5="Aula 4",(C212!$A$1&amp;" "),"")&amp;IF(C311!$E$5="Aula 4",(C311!$A$1&amp;" "),"")&amp;IF(C312!$E$5="Aula 4",(C312!$A$1&amp;" "),"")&amp;IF(C411!$E$5="Aula 4",(C411!$A$1&amp;" "),"")&amp;IF(C412!$E$5="Aula 4",(C412!$A$1&amp;" "),"")&amp;IF(M111!$E$5="Aula 4",(M111!$A$1&amp;" "),"")&amp;IF(M211!$E$5="Aula 4",(M211!$A$1&amp;" "),"")&amp;IF(M311!$E$5="Aula 4",(M311!$A$1&amp;" "),"")&amp;IF(M411!$E$5="Aula 4",(M411!$A$1&amp;" "),""))," ",",")</f>
        <v/>
      </c>
      <c r="F28" s="2">
        <f>SUBSTITUTE(TRIM(IF(D111!$E$5="Aula 5",(D111!$A$1&amp;" "),"")&amp;IF(D211!$E$5="Aula 5",(D211!$A$1&amp;" "),"")&amp;IF(D311!$E$5="Aula 5",(D311!$A$1&amp;" "),"")&amp;IF(D411!$E$5="Aula 5",(D411!$A$1&amp;" "),"")&amp;IF(C111!$E$5="Aula 5",(C111!$A$1&amp;" "),"")&amp;IF(C121!$E$5="Aula 5",(C121!$A$1&amp;" "),"")&amp;IF(C122!$E$5="Aula 5",(C122!$A$1&amp;" "),"")&amp;IF(C211!$E$5="Aula 5",(C211!$A$1&amp;" "),"")&amp;IF(C212!$E$5="Aula 5",(C212!$A$1&amp;" "),"")&amp;IF(C311!$E$5="Aula 5",(C311!$A$1&amp;" "),"")&amp;IF(C312!$E$5="Aula 5",(C312!$A$1&amp;" "),"")&amp;IF(C411!$E$5="Aula 5",(C411!$A$1&amp;" "),"")&amp;IF(C412!$E$5="Aula 5",(C412!$A$1&amp;" "),"")&amp;IF(M111!$E$5="Aula 5",(M111!$A$1&amp;" "),"")&amp;IF(M211!$E$5="Aula 5",(M211!$A$1&amp;" "),"")&amp;IF(M311!$E$5="Aula 5",(M311!$A$1&amp;" "),"")&amp;IF(M411!$E$5="Aula 5",(M411!$A$1&amp;" "),""))," ",",")</f>
        <v/>
      </c>
      <c r="G28" s="2">
        <f>SUBSTITUTE(TRIM(IF(D111!$E$5="Aula 6",(D111!$A$1&amp;" "),"")&amp;IF(D211!$E$5="Aula 6",(D211!$A$1&amp;" "),"")&amp;IF(D311!$E$5="Aula 6",(D311!$A$1&amp;" "),"")&amp;IF(D411!$E$5="Aula 6",(D411!$A$1&amp;" "),"")&amp;IF(C111!$E$5="Aula 6",(C111!$A$1&amp;" "),"")&amp;IF(C121!$E$5="Aula 6",(C121!$A$1&amp;" "),"")&amp;IF(C122!$E$5="Aula 6",(C122!$A$1&amp;" "),"")&amp;IF(C211!$E$5="Aula 6",(C211!$A$1&amp;" "),"")&amp;IF(C212!$E$5="Aula 6",(C212!$A$1&amp;" "),"")&amp;IF(C311!$E$5="Aula 6",(C311!$A$1&amp;" "),"")&amp;IF(C312!$E$5="Aula 6",(C312!$A$1&amp;" "),"")&amp;IF(C411!$E$5="Aula 6",(C411!$A$1&amp;" "),"")&amp;IF(C412!$E$5="Aula 6",(C412!$A$1&amp;" "),"")&amp;IF(M111!$E$5="Aula 6",(M111!$A$1&amp;" "),"")&amp;IF(M211!$E$5="Aula 6",(M211!$A$1&amp;" "),"")&amp;IF(M311!$E$5="Aula 6",(M311!$A$1&amp;" "),"")&amp;IF(M411!$E$5="Aula 6",(M411!$A$1&amp;" "),""))," ",",")</f>
        <v/>
      </c>
      <c r="H28" s="2">
        <f>SUBSTITUTE(TRIM(IF(D111!$E$5="Aula 7",(D111!$A$1&amp;" "),"")&amp;IF(D211!$E$5="Aula 7",(D211!$A$1&amp;" "),"")&amp;IF(D311!$E$5="Aula 7",(D311!$A$1&amp;" "),"")&amp;IF(D411!$E$5="Aula 7",(D411!$A$1&amp;" "),"")&amp;IF(C111!$E$5="Aula 7",(C111!$A$1&amp;" "),"")&amp;IF(C121!$E$5="Aula 7",(C121!$A$1&amp;" "),"")&amp;IF(C122!$E$5="Aula 7",(C122!$A$1&amp;" "),"")&amp;IF(C211!$E$5="Aula 7",(C211!$A$1&amp;" "),"")&amp;IF(C212!$E$5="Aula 7",(C212!$A$1&amp;" "),"")&amp;IF(C311!$E$5="Aula 7",(C311!$A$1&amp;" "),"")&amp;IF(C312!$E$5="Aula 7",(C312!$A$1&amp;" "),"")&amp;IF(C411!$E$5="Aula 7",(C411!$A$1&amp;" "),"")&amp;IF(C412!$E$5="Aula 7",(C412!$A$1&amp;" "),"")&amp;IF(M111!$E$5="Aula 7",(M111!$A$1&amp;" "),"")&amp;IF(M211!$E$5="Aula 7",(M211!$A$1&amp;" "),"")&amp;IF(M311!$E$5="Aula 7",(M311!$A$1&amp;" "),"")&amp;IF(M411!$E$5="Aula 7",(M411!$A$1&amp;" "),""))," ",",")</f>
        <v/>
      </c>
      <c r="I28" s="2">
        <f>SUBSTITUTE(TRIM(IF(D111!$E$5="Aula 8",(D111!$A$1&amp;" "),"")&amp;IF(D211!$E$5="Aula 8",(D211!$A$1&amp;" "),"")&amp;IF(D311!$E$5="Aula 8",(D311!$A$1&amp;" "),"")&amp;IF(D411!$E$5="Aula 8",(D411!$A$1&amp;" "),"")&amp;IF(C111!$E$5="Aula 8",(C111!$A$1&amp;" "),"")&amp;IF(C121!$E$5="Aula 8",(C121!$A$1&amp;" "),"")&amp;IF(C122!$E$5="Aula 8",(C122!$A$1&amp;" "),"")&amp;IF(C211!$E$5="Aula 8",(C211!$A$1&amp;" "),"")&amp;IF(C212!$E$5="Aula 8",(C212!$A$1&amp;" "),"")&amp;IF(C311!$E$5="Aula 8",(C311!$A$1&amp;" "),"")&amp;IF(C312!$E$5="Aula 8",(C312!$A$1&amp;" "),"")&amp;IF(C411!$E$5="Aula 8",(C411!$A$1&amp;" "),"")&amp;IF(C412!$E$5="Aula 8",(C412!$A$1&amp;" "),"")&amp;IF(M111!$E$5="Aula 8",(M111!$A$1&amp;" "),"")&amp;IF(M211!$E$5="Aula 8",(M211!$A$1&amp;" "),"")&amp;IF(M311!$E$5="Aula 8",(M311!$A$1&amp;" "),"")&amp;IF(M411!$E$5="Aula 8",(M411!$A$1&amp;" "),""))," ",",")</f>
        <v/>
      </c>
      <c r="J28" s="2">
        <f>SUBSTITUTE(TRIM(IF(D111!$E$5="Aula 9",(D111!$A$1&amp;" "),"")&amp;IF(D211!$E$5="Aula 9",(D211!$A$1&amp;" "),"")&amp;IF(D311!$E$5="Aula 9",(D311!$A$1&amp;" "),"")&amp;IF(D411!$E$5="Aula 9",(D411!$A$1&amp;" "),"")&amp;IF(C111!$E$5="Aula 9",(C111!$A$1&amp;" "),"")&amp;IF(C121!$E$5="Aula 9",(C121!$A$1&amp;" "),"")&amp;IF(C122!$E$5="Aula 9",(C122!$A$1&amp;" "),"")&amp;IF(C211!$E$5="Aula 9",(C211!$A$1&amp;" "),"")&amp;IF(C212!$E$5="Aula 9",(C212!$A$1&amp;" "),"")&amp;IF(C311!$E$5="Aula 9",(C311!$A$1&amp;" "),"")&amp;IF(C312!$E$5="Aula 9",(C312!$A$1&amp;" "),"")&amp;IF(C411!$E$5="Aula 9",(C411!$A$1&amp;" "),"")&amp;IF(C412!$E$5="Aula 9",(C412!$A$1&amp;" "),"")&amp;IF(M111!$E$5="Aula 9",(M111!$A$1&amp;" "),"")&amp;IF(M211!$E$5="Aula 9",(M211!$A$1&amp;" "),"")&amp;IF(M311!$E$5="Aula 9",(M311!$A$1&amp;" "),"")&amp;IF(M411!$E$5="Aula 9",(M411!$A$1&amp;" "),""))," ",",")</f>
        <v/>
      </c>
      <c r="K28" s="2">
        <f>SUBSTITUTE(TRIM(IF(D111!$E$5="Lab",(D111!$A$1&amp;" "),"")&amp;IF(D211!$E$5="Lab",(D211!$A$1&amp;" "),"")&amp;IF(D311!$E$5="Lab",(D311!$A$1&amp;" "),"")&amp;IF(D411!$E$5="Lab",(D411!$A$1&amp;" "),"")&amp;IF(C111!$E$5="Lab",(C111!$A$1&amp;" "),"")&amp;IF(C121!$E$5="Lab",(C121!$A$1&amp;" "),"")&amp;IF(C122!$E$5="Lab",(C122!$A$1&amp;" "),"")&amp;IF(C211!$E$5="Lab",(C211!$A$1&amp;" "),"")&amp;IF(C212!$E$5="Lab",(C212!$A$1&amp;" "),"")&amp;IF(C311!$E$5="Lab",(C311!$A$1&amp;" "),"")&amp;IF(C312!$E$5="Lab",(C312!$A$1&amp;" "),"")&amp;IF(C411!$E$5="Lab",(C411!$A$1&amp;" "),"")&amp;IF(C412!$E$5="Lab",(C412!$A$1&amp;" "),"")&amp;IF(M111!$E$5="Lab",(M111!$A$1&amp;" "),"")&amp;IF(M211!$E$5="Lab",(M211!$A$1&amp;" "),"")&amp;IF(M311!$E$5="Lab",(M311!$A$1&amp;" "),"")&amp;IF(M411!$E$5="Lab",(M411!$A$1&amp;" "),""))," ",",")</f>
        <v/>
      </c>
      <c r="L28" t="inlineStr"/>
    </row>
    <row r="29">
      <c r="A29" s="2" t="inlineStr">
        <is>
          <t>4</t>
        </is>
      </c>
      <c r="B29" s="2">
        <f>SUBSTITUTE(TRIM(IF(D111!$E$7="Aula 1",(D111!$A$1&amp;" "),"")&amp;IF(D211!$E$7="Aula 1",(D211!$A$1&amp;" "),"")&amp;IF(D311!$E$7="Aula 1",(D311!$A$1&amp;" "),"")&amp;IF(D411!$E$7="Aula 1",(D411!$A$1&amp;" "),"")&amp;IF(C111!$E$7="Aula 1",(C111!$A$1&amp;" "),"")&amp;IF(C121!$E$7="Aula 1",(C121!$A$1&amp;" "),"")&amp;IF(C122!$E$7="Aula 1",(C122!$A$1&amp;" "),"")&amp;IF(C211!$E$7="Aula 1",(C211!$A$1&amp;" "),"")&amp;IF(C212!$E$7="Aula 1",(C212!$A$1&amp;" "),"")&amp;IF(C311!$E$7="Aula 1",(C311!$A$1&amp;" "),"")&amp;IF(C312!$E$7="Aula 1",(C312!$A$1&amp;" "),"")&amp;IF(C411!$E$7="Aula 1",(C411!$A$1&amp;" "),"")&amp;IF(C412!$E$7="Aula 1",(C412!$A$1&amp;" "),"")&amp;IF(M111!$E$7="Aula 1",(M111!$A$1&amp;" "),"")&amp;IF(M211!$E$7="Aula 1",(M211!$A$1&amp;" "),"")&amp;IF(M311!$E$7="Aula 1",(M311!$A$1&amp;" "),"")&amp;IF(M411!$E$7="Aula 1",(M411!$A$1&amp;" "),""))," ",",")</f>
        <v/>
      </c>
      <c r="C29" s="2">
        <f>SUBSTITUTE(TRIM(IF(D111!$E$7="Aula 2",(D111!$A$1&amp;" "),"")&amp;IF(D211!$E$7="Aula 2",(D211!$A$1&amp;" "),"")&amp;IF(D311!$E$7="Aula 2",(D311!$A$1&amp;" "),"")&amp;IF(D411!$E$7="Aula 2",(D411!$A$1&amp;" "),"")&amp;IF(C111!$E$7="Aula 2",(C111!$A$1&amp;" "),"")&amp;IF(C121!$E$7="Aula 2",(C121!$A$1&amp;" "),"")&amp;IF(C122!$E$7="Aula 2",(C122!$A$1&amp;" "),"")&amp;IF(C211!$E$7="Aula 2",(C211!$A$1&amp;" "),"")&amp;IF(C212!$E$7="Aula 2",(C212!$A$1&amp;" "),"")&amp;IF(C311!$E$7="Aula 2",(C311!$A$1&amp;" "),"")&amp;IF(C312!$E$7="Aula 2",(C312!$A$1&amp;" "),"")&amp;IF(C411!$E$7="Aula 2",(C411!$A$1&amp;" "),"")&amp;IF(C412!$E$7="Aula 2",(C412!$A$1&amp;" "),"")&amp;IF(M111!$E$7="Aula 2",(M111!$A$1&amp;" "),"")&amp;IF(M211!$E$7="Aula 2",(M211!$A$1&amp;" "),"")&amp;IF(M311!$E$7="Aula 2",(M311!$A$1&amp;" "),"")&amp;IF(M411!$E$7="Aula 2",(M411!$A$1&amp;" "),""))," ",",")</f>
        <v/>
      </c>
      <c r="D29" s="2">
        <f>SUBSTITUTE(TRIM(IF(D111!$E$7="Aula 3",(D111!$A$1&amp;" "),"")&amp;IF(D211!$E$7="Aula 3",(D211!$A$1&amp;" "),"")&amp;IF(D311!$E$7="Aula 3",(D311!$A$1&amp;" "),"")&amp;IF(D411!$E$7="Aula 3",(D411!$A$1&amp;" "),"")&amp;IF(C111!$E$7="Aula 3",(C111!$A$1&amp;" "),"")&amp;IF(C121!$E$7="Aula 3",(C121!$A$1&amp;" "),"")&amp;IF(C122!$E$7="Aula 3",(C122!$A$1&amp;" "),"")&amp;IF(C211!$E$7="Aula 3",(C211!$A$1&amp;" "),"")&amp;IF(C212!$E$7="Aula 3",(C212!$A$1&amp;" "),"")&amp;IF(C311!$E$7="Aula 3",(C311!$A$1&amp;" "),"")&amp;IF(C312!$E$7="Aula 3",(C312!$A$1&amp;" "),"")&amp;IF(C411!$E$7="Aula 3",(C411!$A$1&amp;" "),"")&amp;IF(C412!$E$7="Aula 3",(C412!$A$1&amp;" "),"")&amp;IF(M111!$E$7="Aula 3",(M111!$A$1&amp;" "),"")&amp;IF(M211!$E$7="Aula 3",(M211!$A$1&amp;" "),"")&amp;IF(M311!$E$7="Aula 3",(M311!$A$1&amp;" "),"")&amp;IF(M411!$E$7="Aula 3",(M411!$A$1&amp;" "),""))," ",",")</f>
        <v/>
      </c>
      <c r="E29" s="2">
        <f>SUBSTITUTE(TRIM(IF(D111!$E$7="Aula 4",(D111!$A$1&amp;" "),"")&amp;IF(D211!$E$7="Aula 4",(D211!$A$1&amp;" "),"")&amp;IF(D311!$E$7="Aula 4",(D311!$A$1&amp;" "),"")&amp;IF(D411!$E$7="Aula 4",(D411!$A$1&amp;" "),"")&amp;IF(C111!$E$7="Aula 4",(C111!$A$1&amp;" "),"")&amp;IF(C121!$E$7="Aula 4",(C121!$A$1&amp;" "),"")&amp;IF(C122!$E$7="Aula 4",(C122!$A$1&amp;" "),"")&amp;IF(C211!$E$7="Aula 4",(C211!$A$1&amp;" "),"")&amp;IF(C212!$E$7="Aula 4",(C212!$A$1&amp;" "),"")&amp;IF(C311!$E$7="Aula 4",(C311!$A$1&amp;" "),"")&amp;IF(C312!$E$7="Aula 4",(C312!$A$1&amp;" "),"")&amp;IF(C411!$E$7="Aula 4",(C411!$A$1&amp;" "),"")&amp;IF(C412!$E$7="Aula 4",(C412!$A$1&amp;" "),"")&amp;IF(M111!$E$7="Aula 4",(M111!$A$1&amp;" "),"")&amp;IF(M211!$E$7="Aula 4",(M211!$A$1&amp;" "),"")&amp;IF(M311!$E$7="Aula 4",(M311!$A$1&amp;" "),"")&amp;IF(M411!$E$7="Aula 4",(M411!$A$1&amp;" "),""))," ",",")</f>
        <v/>
      </c>
      <c r="F29" s="2">
        <f>SUBSTITUTE(TRIM(IF(D111!$E$7="Aula 5",(D111!$A$1&amp;" "),"")&amp;IF(D211!$E$7="Aula 5",(D211!$A$1&amp;" "),"")&amp;IF(D311!$E$7="Aula 5",(D311!$A$1&amp;" "),"")&amp;IF(D411!$E$7="Aula 5",(D411!$A$1&amp;" "),"")&amp;IF(C111!$E$7="Aula 5",(C111!$A$1&amp;" "),"")&amp;IF(C121!$E$7="Aula 5",(C121!$A$1&amp;" "),"")&amp;IF(C122!$E$7="Aula 5",(C122!$A$1&amp;" "),"")&amp;IF(C211!$E$7="Aula 5",(C211!$A$1&amp;" "),"")&amp;IF(C212!$E$7="Aula 5",(C212!$A$1&amp;" "),"")&amp;IF(C311!$E$7="Aula 5",(C311!$A$1&amp;" "),"")&amp;IF(C312!$E$7="Aula 5",(C312!$A$1&amp;" "),"")&amp;IF(C411!$E$7="Aula 5",(C411!$A$1&amp;" "),"")&amp;IF(C412!$E$7="Aula 5",(C412!$A$1&amp;" "),"")&amp;IF(M111!$E$7="Aula 5",(M111!$A$1&amp;" "),"")&amp;IF(M211!$E$7="Aula 5",(M211!$A$1&amp;" "),"")&amp;IF(M311!$E$7="Aula 5",(M311!$A$1&amp;" "),"")&amp;IF(M411!$E$7="Aula 5",(M411!$A$1&amp;" "),""))," ",",")</f>
        <v/>
      </c>
      <c r="G29" s="2">
        <f>SUBSTITUTE(TRIM(IF(D111!$E$7="Aula 6",(D111!$A$1&amp;" "),"")&amp;IF(D211!$E$7="Aula 6",(D211!$A$1&amp;" "),"")&amp;IF(D311!$E$7="Aula 6",(D311!$A$1&amp;" "),"")&amp;IF(D411!$E$7="Aula 6",(D411!$A$1&amp;" "),"")&amp;IF(C111!$E$7="Aula 6",(C111!$A$1&amp;" "),"")&amp;IF(C121!$E$7="Aula 6",(C121!$A$1&amp;" "),"")&amp;IF(C122!$E$7="Aula 6",(C122!$A$1&amp;" "),"")&amp;IF(C211!$E$7="Aula 6",(C211!$A$1&amp;" "),"")&amp;IF(C212!$E$7="Aula 6",(C212!$A$1&amp;" "),"")&amp;IF(C311!$E$7="Aula 6",(C311!$A$1&amp;" "),"")&amp;IF(C312!$E$7="Aula 6",(C312!$A$1&amp;" "),"")&amp;IF(C411!$E$7="Aula 6",(C411!$A$1&amp;" "),"")&amp;IF(C412!$E$7="Aula 6",(C412!$A$1&amp;" "),"")&amp;IF(M111!$E$7="Aula 6",(M111!$A$1&amp;" "),"")&amp;IF(M211!$E$7="Aula 6",(M211!$A$1&amp;" "),"")&amp;IF(M311!$E$7="Aula 6",(M311!$A$1&amp;" "),"")&amp;IF(M411!$E$7="Aula 6",(M411!$A$1&amp;" "),""))," ",",")</f>
        <v/>
      </c>
      <c r="H29" s="2">
        <f>SUBSTITUTE(TRIM(IF(D111!$E$7="Aula 7",(D111!$A$1&amp;" "),"")&amp;IF(D211!$E$7="Aula 7",(D211!$A$1&amp;" "),"")&amp;IF(D311!$E$7="Aula 7",(D311!$A$1&amp;" "),"")&amp;IF(D411!$E$7="Aula 7",(D411!$A$1&amp;" "),"")&amp;IF(C111!$E$7="Aula 7",(C111!$A$1&amp;" "),"")&amp;IF(C121!$E$7="Aula 7",(C121!$A$1&amp;" "),"")&amp;IF(C122!$E$7="Aula 7",(C122!$A$1&amp;" "),"")&amp;IF(C211!$E$7="Aula 7",(C211!$A$1&amp;" "),"")&amp;IF(C212!$E$7="Aula 7",(C212!$A$1&amp;" "),"")&amp;IF(C311!$E$7="Aula 7",(C311!$A$1&amp;" "),"")&amp;IF(C312!$E$7="Aula 7",(C312!$A$1&amp;" "),"")&amp;IF(C411!$E$7="Aula 7",(C411!$A$1&amp;" "),"")&amp;IF(C412!$E$7="Aula 7",(C412!$A$1&amp;" "),"")&amp;IF(M111!$E$7="Aula 7",(M111!$A$1&amp;" "),"")&amp;IF(M211!$E$7="Aula 7",(M211!$A$1&amp;" "),"")&amp;IF(M311!$E$7="Aula 7",(M311!$A$1&amp;" "),"")&amp;IF(M411!$E$7="Aula 7",(M411!$A$1&amp;" "),""))," ",",")</f>
        <v/>
      </c>
      <c r="I29" s="2">
        <f>SUBSTITUTE(TRIM(IF(D111!$E$7="Aula 8",(D111!$A$1&amp;" "),"")&amp;IF(D211!$E$7="Aula 8",(D211!$A$1&amp;" "),"")&amp;IF(D311!$E$7="Aula 8",(D311!$A$1&amp;" "),"")&amp;IF(D411!$E$7="Aula 8",(D411!$A$1&amp;" "),"")&amp;IF(C111!$E$7="Aula 8",(C111!$A$1&amp;" "),"")&amp;IF(C121!$E$7="Aula 8",(C121!$A$1&amp;" "),"")&amp;IF(C122!$E$7="Aula 8",(C122!$A$1&amp;" "),"")&amp;IF(C211!$E$7="Aula 8",(C211!$A$1&amp;" "),"")&amp;IF(C212!$E$7="Aula 8",(C212!$A$1&amp;" "),"")&amp;IF(C311!$E$7="Aula 8",(C311!$A$1&amp;" "),"")&amp;IF(C312!$E$7="Aula 8",(C312!$A$1&amp;" "),"")&amp;IF(C411!$E$7="Aula 8",(C411!$A$1&amp;" "),"")&amp;IF(C412!$E$7="Aula 8",(C412!$A$1&amp;" "),"")&amp;IF(M111!$E$7="Aula 8",(M111!$A$1&amp;" "),"")&amp;IF(M211!$E$7="Aula 8",(M211!$A$1&amp;" "),"")&amp;IF(M311!$E$7="Aula 8",(M311!$A$1&amp;" "),"")&amp;IF(M411!$E$7="Aula 8",(M411!$A$1&amp;" "),""))," ",",")</f>
        <v/>
      </c>
      <c r="J29" s="2">
        <f>SUBSTITUTE(TRIM(IF(D111!$E$7="Aula 9",(D111!$A$1&amp;" "),"")&amp;IF(D211!$E$7="Aula 9",(D211!$A$1&amp;" "),"")&amp;IF(D311!$E$7="Aula 9",(D311!$A$1&amp;" "),"")&amp;IF(D411!$E$7="Aula 9",(D411!$A$1&amp;" "),"")&amp;IF(C111!$E$7="Aula 9",(C111!$A$1&amp;" "),"")&amp;IF(C121!$E$7="Aula 9",(C121!$A$1&amp;" "),"")&amp;IF(C122!$E$7="Aula 9",(C122!$A$1&amp;" "),"")&amp;IF(C211!$E$7="Aula 9",(C211!$A$1&amp;" "),"")&amp;IF(C212!$E$7="Aula 9",(C212!$A$1&amp;" "),"")&amp;IF(C311!$E$7="Aula 9",(C311!$A$1&amp;" "),"")&amp;IF(C312!$E$7="Aula 9",(C312!$A$1&amp;" "),"")&amp;IF(C411!$E$7="Aula 9",(C411!$A$1&amp;" "),"")&amp;IF(C412!$E$7="Aula 9",(C412!$A$1&amp;" "),"")&amp;IF(M111!$E$7="Aula 9",(M111!$A$1&amp;" "),"")&amp;IF(M211!$E$7="Aula 9",(M211!$A$1&amp;" "),"")&amp;IF(M311!$E$7="Aula 9",(M311!$A$1&amp;" "),"")&amp;IF(M411!$E$7="Aula 9",(M411!$A$1&amp;" "),""))," ",",")</f>
        <v/>
      </c>
      <c r="K29" s="2">
        <f>SUBSTITUTE(TRIM(IF(D111!$E$7="Lab",(D111!$A$1&amp;" "),"")&amp;IF(D211!$E$7="Lab",(D211!$A$1&amp;" "),"")&amp;IF(D311!$E$7="Lab",(D311!$A$1&amp;" "),"")&amp;IF(D411!$E$7="Lab",(D411!$A$1&amp;" "),"")&amp;IF(C111!$E$7="Lab",(C111!$A$1&amp;" "),"")&amp;IF(C121!$E$7="Lab",(C121!$A$1&amp;" "),"")&amp;IF(C122!$E$7="Lab",(C122!$A$1&amp;" "),"")&amp;IF(C211!$E$7="Lab",(C211!$A$1&amp;" "),"")&amp;IF(C212!$E$7="Lab",(C212!$A$1&amp;" "),"")&amp;IF(C311!$E$7="Lab",(C311!$A$1&amp;" "),"")&amp;IF(C312!$E$7="Lab",(C312!$A$1&amp;" "),"")&amp;IF(C411!$E$7="Lab",(C411!$A$1&amp;" "),"")&amp;IF(C412!$E$7="Lab",(C412!$A$1&amp;" "),"")&amp;IF(M111!$E$7="Lab",(M111!$A$1&amp;" "),"")&amp;IF(M211!$E$7="Lab",(M211!$A$1&amp;" "),"")&amp;IF(M311!$E$7="Lab",(M311!$A$1&amp;" "),"")&amp;IF(M411!$E$7="Lab",(M411!$A$1&amp;" "),""))," ",",")</f>
        <v/>
      </c>
      <c r="L29" t="inlineStr"/>
    </row>
    <row r="30">
      <c r="A30" s="2" t="inlineStr">
        <is>
          <t>5</t>
        </is>
      </c>
      <c r="B30" s="2">
        <f>SUBSTITUTE(TRIM(IF(D111!$E$9="Aula 1",(D111!$A$1&amp;" "),"")&amp;IF(D211!$E$9="Aula 1",(D211!$A$1&amp;" "),"")&amp;IF(D311!$E$9="Aula 1",(D311!$A$1&amp;" "),"")&amp;IF(D411!$E$9="Aula 1",(D411!$A$1&amp;" "),"")&amp;IF(C111!$E$9="Aula 1",(C111!$A$1&amp;" "),"")&amp;IF(C121!$E$9="Aula 1",(C121!$A$1&amp;" "),"")&amp;IF(C122!$E$9="Aula 1",(C122!$A$1&amp;" "),"")&amp;IF(C211!$E$9="Aula 1",(C211!$A$1&amp;" "),"")&amp;IF(C212!$E$9="Aula 1",(C212!$A$1&amp;" "),"")&amp;IF(C311!$E$9="Aula 1",(C311!$A$1&amp;" "),"")&amp;IF(C312!$E$9="Aula 1",(C312!$A$1&amp;" "),"")&amp;IF(C411!$E$9="Aula 1",(C411!$A$1&amp;" "),"")&amp;IF(C412!$E$9="Aula 1",(C412!$A$1&amp;" "),"")&amp;IF(M111!$E$9="Aula 1",(M111!$A$1&amp;" "),"")&amp;IF(M211!$E$9="Aula 1",(M211!$A$1&amp;" "),"")&amp;IF(M311!$E$9="Aula 1",(M311!$A$1&amp;" "),"")&amp;IF(M411!$E$9="Aula 1",(M411!$A$1&amp;" "),""))," ",",")</f>
        <v/>
      </c>
      <c r="C30" s="2">
        <f>SUBSTITUTE(TRIM(IF(D111!$E$9="Aula 2",(D111!$A$1&amp;" "),"")&amp;IF(D211!$E$9="Aula 2",(D211!$A$1&amp;" "),"")&amp;IF(D311!$E$9="Aula 2",(D311!$A$1&amp;" "),"")&amp;IF(D411!$E$9="Aula 2",(D411!$A$1&amp;" "),"")&amp;IF(C111!$E$9="Aula 2",(C111!$A$1&amp;" "),"")&amp;IF(C121!$E$9="Aula 2",(C121!$A$1&amp;" "),"")&amp;IF(C122!$E$9="Aula 2",(C122!$A$1&amp;" "),"")&amp;IF(C211!$E$9="Aula 2",(C211!$A$1&amp;" "),"")&amp;IF(C212!$E$9="Aula 2",(C212!$A$1&amp;" "),"")&amp;IF(C311!$E$9="Aula 2",(C311!$A$1&amp;" "),"")&amp;IF(C312!$E$9="Aula 2",(C312!$A$1&amp;" "),"")&amp;IF(C411!$E$9="Aula 2",(C411!$A$1&amp;" "),"")&amp;IF(C412!$E$9="Aula 2",(C412!$A$1&amp;" "),"")&amp;IF(M111!$E$9="Aula 2",(M111!$A$1&amp;" "),"")&amp;IF(M211!$E$9="Aula 2",(M211!$A$1&amp;" "),"")&amp;IF(M311!$E$9="Aula 2",(M311!$A$1&amp;" "),"")&amp;IF(M411!$E$9="Aula 2",(M411!$A$1&amp;" "),""))," ",",")</f>
        <v/>
      </c>
      <c r="D30" s="2">
        <f>SUBSTITUTE(TRIM(IF(D111!$E$9="Aula 3",(D111!$A$1&amp;" "),"")&amp;IF(D211!$E$9="Aula 3",(D211!$A$1&amp;" "),"")&amp;IF(D311!$E$9="Aula 3",(D311!$A$1&amp;" "),"")&amp;IF(D411!$E$9="Aula 3",(D411!$A$1&amp;" "),"")&amp;IF(C111!$E$9="Aula 3",(C111!$A$1&amp;" "),"")&amp;IF(C121!$E$9="Aula 3",(C121!$A$1&amp;" "),"")&amp;IF(C122!$E$9="Aula 3",(C122!$A$1&amp;" "),"")&amp;IF(C211!$E$9="Aula 3",(C211!$A$1&amp;" "),"")&amp;IF(C212!$E$9="Aula 3",(C212!$A$1&amp;" "),"")&amp;IF(C311!$E$9="Aula 3",(C311!$A$1&amp;" "),"")&amp;IF(C312!$E$9="Aula 3",(C312!$A$1&amp;" "),"")&amp;IF(C411!$E$9="Aula 3",(C411!$A$1&amp;" "),"")&amp;IF(C412!$E$9="Aula 3",(C412!$A$1&amp;" "),"")&amp;IF(M111!$E$9="Aula 3",(M111!$A$1&amp;" "),"")&amp;IF(M211!$E$9="Aula 3",(M211!$A$1&amp;" "),"")&amp;IF(M311!$E$9="Aula 3",(M311!$A$1&amp;" "),"")&amp;IF(M411!$E$9="Aula 3",(M411!$A$1&amp;" "),""))," ",",")</f>
        <v/>
      </c>
      <c r="E30" s="2">
        <f>SUBSTITUTE(TRIM(IF(D111!$E$9="Aula 4",(D111!$A$1&amp;" "),"")&amp;IF(D211!$E$9="Aula 4",(D211!$A$1&amp;" "),"")&amp;IF(D311!$E$9="Aula 4",(D311!$A$1&amp;" "),"")&amp;IF(D411!$E$9="Aula 4",(D411!$A$1&amp;" "),"")&amp;IF(C111!$E$9="Aula 4",(C111!$A$1&amp;" "),"")&amp;IF(C121!$E$9="Aula 4",(C121!$A$1&amp;" "),"")&amp;IF(C122!$E$9="Aula 4",(C122!$A$1&amp;" "),"")&amp;IF(C211!$E$9="Aula 4",(C211!$A$1&amp;" "),"")&amp;IF(C212!$E$9="Aula 4",(C212!$A$1&amp;" "),"")&amp;IF(C311!$E$9="Aula 4",(C311!$A$1&amp;" "),"")&amp;IF(C312!$E$9="Aula 4",(C312!$A$1&amp;" "),"")&amp;IF(C411!$E$9="Aula 4",(C411!$A$1&amp;" "),"")&amp;IF(C412!$E$9="Aula 4",(C412!$A$1&amp;" "),"")&amp;IF(M111!$E$9="Aula 4",(M111!$A$1&amp;" "),"")&amp;IF(M211!$E$9="Aula 4",(M211!$A$1&amp;" "),"")&amp;IF(M311!$E$9="Aula 4",(M311!$A$1&amp;" "),"")&amp;IF(M411!$E$9="Aula 4",(M411!$A$1&amp;" "),""))," ",",")</f>
        <v/>
      </c>
      <c r="F30" s="2">
        <f>SUBSTITUTE(TRIM(IF(D111!$E$9="Aula 5",(D111!$A$1&amp;" "),"")&amp;IF(D211!$E$9="Aula 5",(D211!$A$1&amp;" "),"")&amp;IF(D311!$E$9="Aula 5",(D311!$A$1&amp;" "),"")&amp;IF(D411!$E$9="Aula 5",(D411!$A$1&amp;" "),"")&amp;IF(C111!$E$9="Aula 5",(C111!$A$1&amp;" "),"")&amp;IF(C121!$E$9="Aula 5",(C121!$A$1&amp;" "),"")&amp;IF(C122!$E$9="Aula 5",(C122!$A$1&amp;" "),"")&amp;IF(C211!$E$9="Aula 5",(C211!$A$1&amp;" "),"")&amp;IF(C212!$E$9="Aula 5",(C212!$A$1&amp;" "),"")&amp;IF(C311!$E$9="Aula 5",(C311!$A$1&amp;" "),"")&amp;IF(C312!$E$9="Aula 5",(C312!$A$1&amp;" "),"")&amp;IF(C411!$E$9="Aula 5",(C411!$A$1&amp;" "),"")&amp;IF(C412!$E$9="Aula 5",(C412!$A$1&amp;" "),"")&amp;IF(M111!$E$9="Aula 5",(M111!$A$1&amp;" "),"")&amp;IF(M211!$E$9="Aula 5",(M211!$A$1&amp;" "),"")&amp;IF(M311!$E$9="Aula 5",(M311!$A$1&amp;" "),"")&amp;IF(M411!$E$9="Aula 5",(M411!$A$1&amp;" "),""))," ",",")</f>
        <v/>
      </c>
      <c r="G30" s="2">
        <f>SUBSTITUTE(TRIM(IF(D111!$E$9="Aula 6",(D111!$A$1&amp;" "),"")&amp;IF(D211!$E$9="Aula 6",(D211!$A$1&amp;" "),"")&amp;IF(D311!$E$9="Aula 6",(D311!$A$1&amp;" "),"")&amp;IF(D411!$E$9="Aula 6",(D411!$A$1&amp;" "),"")&amp;IF(C111!$E$9="Aula 6",(C111!$A$1&amp;" "),"")&amp;IF(C121!$E$9="Aula 6",(C121!$A$1&amp;" "),"")&amp;IF(C122!$E$9="Aula 6",(C122!$A$1&amp;" "),"")&amp;IF(C211!$E$9="Aula 6",(C211!$A$1&amp;" "),"")&amp;IF(C212!$E$9="Aula 6",(C212!$A$1&amp;" "),"")&amp;IF(C311!$E$9="Aula 6",(C311!$A$1&amp;" "),"")&amp;IF(C312!$E$9="Aula 6",(C312!$A$1&amp;" "),"")&amp;IF(C411!$E$9="Aula 6",(C411!$A$1&amp;" "),"")&amp;IF(C412!$E$9="Aula 6",(C412!$A$1&amp;" "),"")&amp;IF(M111!$E$9="Aula 6",(M111!$A$1&amp;" "),"")&amp;IF(M211!$E$9="Aula 6",(M211!$A$1&amp;" "),"")&amp;IF(M311!$E$9="Aula 6",(M311!$A$1&amp;" "),"")&amp;IF(M411!$E$9="Aula 6",(M411!$A$1&amp;" "),""))," ",",")</f>
        <v/>
      </c>
      <c r="H30" s="2">
        <f>SUBSTITUTE(TRIM(IF(D111!$E$9="Aula 7",(D111!$A$1&amp;" "),"")&amp;IF(D211!$E$9="Aula 7",(D211!$A$1&amp;" "),"")&amp;IF(D311!$E$9="Aula 7",(D311!$A$1&amp;" "),"")&amp;IF(D411!$E$9="Aula 7",(D411!$A$1&amp;" "),"")&amp;IF(C111!$E$9="Aula 7",(C111!$A$1&amp;" "),"")&amp;IF(C121!$E$9="Aula 7",(C121!$A$1&amp;" "),"")&amp;IF(C122!$E$9="Aula 7",(C122!$A$1&amp;" "),"")&amp;IF(C211!$E$9="Aula 7",(C211!$A$1&amp;" "),"")&amp;IF(C212!$E$9="Aula 7",(C212!$A$1&amp;" "),"")&amp;IF(C311!$E$9="Aula 7",(C311!$A$1&amp;" "),"")&amp;IF(C312!$E$9="Aula 7",(C312!$A$1&amp;" "),"")&amp;IF(C411!$E$9="Aula 7",(C411!$A$1&amp;" "),"")&amp;IF(C412!$E$9="Aula 7",(C412!$A$1&amp;" "),"")&amp;IF(M111!$E$9="Aula 7",(M111!$A$1&amp;" "),"")&amp;IF(M211!$E$9="Aula 7",(M211!$A$1&amp;" "),"")&amp;IF(M311!$E$9="Aula 7",(M311!$A$1&amp;" "),"")&amp;IF(M411!$E$9="Aula 7",(M411!$A$1&amp;" "),""))," ",",")</f>
        <v/>
      </c>
      <c r="I30" s="2">
        <f>SUBSTITUTE(TRIM(IF(D111!$E$9="Aula 8",(D111!$A$1&amp;" "),"")&amp;IF(D211!$E$9="Aula 8",(D211!$A$1&amp;" "),"")&amp;IF(D311!$E$9="Aula 8",(D311!$A$1&amp;" "),"")&amp;IF(D411!$E$9="Aula 8",(D411!$A$1&amp;" "),"")&amp;IF(C111!$E$9="Aula 8",(C111!$A$1&amp;" "),"")&amp;IF(C121!$E$9="Aula 8",(C121!$A$1&amp;" "),"")&amp;IF(C122!$E$9="Aula 8",(C122!$A$1&amp;" "),"")&amp;IF(C211!$E$9="Aula 8",(C211!$A$1&amp;" "),"")&amp;IF(C212!$E$9="Aula 8",(C212!$A$1&amp;" "),"")&amp;IF(C311!$E$9="Aula 8",(C311!$A$1&amp;" "),"")&amp;IF(C312!$E$9="Aula 8",(C312!$A$1&amp;" "),"")&amp;IF(C411!$E$9="Aula 8",(C411!$A$1&amp;" "),"")&amp;IF(C412!$E$9="Aula 8",(C412!$A$1&amp;" "),"")&amp;IF(M111!$E$9="Aula 8",(M111!$A$1&amp;" "),"")&amp;IF(M211!$E$9="Aula 8",(M211!$A$1&amp;" "),"")&amp;IF(M311!$E$9="Aula 8",(M311!$A$1&amp;" "),"")&amp;IF(M411!$E$9="Aula 8",(M411!$A$1&amp;" "),""))," ",",")</f>
        <v/>
      </c>
      <c r="J30" s="2">
        <f>SUBSTITUTE(TRIM(IF(D111!$E$9="Aula 9",(D111!$A$1&amp;" "),"")&amp;IF(D211!$E$9="Aula 9",(D211!$A$1&amp;" "),"")&amp;IF(D311!$E$9="Aula 9",(D311!$A$1&amp;" "),"")&amp;IF(D411!$E$9="Aula 9",(D411!$A$1&amp;" "),"")&amp;IF(C111!$E$9="Aula 9",(C111!$A$1&amp;" "),"")&amp;IF(C121!$E$9="Aula 9",(C121!$A$1&amp;" "),"")&amp;IF(C122!$E$9="Aula 9",(C122!$A$1&amp;" "),"")&amp;IF(C211!$E$9="Aula 9",(C211!$A$1&amp;" "),"")&amp;IF(C212!$E$9="Aula 9",(C212!$A$1&amp;" "),"")&amp;IF(C311!$E$9="Aula 9",(C311!$A$1&amp;" "),"")&amp;IF(C312!$E$9="Aula 9",(C312!$A$1&amp;" "),"")&amp;IF(C411!$E$9="Aula 9",(C411!$A$1&amp;" "),"")&amp;IF(C412!$E$9="Aula 9",(C412!$A$1&amp;" "),"")&amp;IF(M111!$E$9="Aula 9",(M111!$A$1&amp;" "),"")&amp;IF(M211!$E$9="Aula 9",(M211!$A$1&amp;" "),"")&amp;IF(M311!$E$9="Aula 9",(M311!$A$1&amp;" "),"")&amp;IF(M411!$E$9="Aula 9",(M411!$A$1&amp;" "),""))," ",",")</f>
        <v/>
      </c>
      <c r="K30" s="2">
        <f>SUBSTITUTE(TRIM(IF(D111!$E$9="Lab",(D111!$A$1&amp;" "),"")&amp;IF(D211!$E$9="Lab",(D211!$A$1&amp;" "),"")&amp;IF(D311!$E$9="Lab",(D311!$A$1&amp;" "),"")&amp;IF(D411!$E$9="Lab",(D411!$A$1&amp;" "),"")&amp;IF(C111!$E$9="Lab",(C111!$A$1&amp;" "),"")&amp;IF(C121!$E$9="Lab",(C121!$A$1&amp;" "),"")&amp;IF(C122!$E$9="Lab",(C122!$A$1&amp;" "),"")&amp;IF(C211!$E$9="Lab",(C211!$A$1&amp;" "),"")&amp;IF(C212!$E$9="Lab",(C212!$A$1&amp;" "),"")&amp;IF(C311!$E$9="Lab",(C311!$A$1&amp;" "),"")&amp;IF(C312!$E$9="Lab",(C312!$A$1&amp;" "),"")&amp;IF(C411!$E$9="Lab",(C411!$A$1&amp;" "),"")&amp;IF(C412!$E$9="Lab",(C412!$A$1&amp;" "),"")&amp;IF(M111!$E$9="Lab",(M111!$A$1&amp;" "),"")&amp;IF(M211!$E$9="Lab",(M211!$A$1&amp;" "),"")&amp;IF(M311!$E$9="Lab",(M311!$A$1&amp;" "),"")&amp;IF(M411!$E$9="Lab",(M411!$A$1&amp;" "),""))," ",",")</f>
        <v/>
      </c>
      <c r="L30" t="inlineStr"/>
    </row>
    <row r="31">
      <c r="A31" s="2" t="inlineStr">
        <is>
          <t>6</t>
        </is>
      </c>
      <c r="B31" s="2">
        <f>SUBSTITUTE(TRIM(IF(D111!$E$11="Aula 1",(D111!$A$1&amp;" "),"")&amp;IF(D211!$E$11="Aula 1",(D211!$A$1&amp;" "),"")&amp;IF(D311!$E$11="Aula 1",(D311!$A$1&amp;" "),"")&amp;IF(D411!$E$11="Aula 1",(D411!$A$1&amp;" "),"")&amp;IF(C111!$E$11="Aula 1",(C111!$A$1&amp;" "),"")&amp;IF(C121!$E$11="Aula 1",(C121!$A$1&amp;" "),"")&amp;IF(C122!$E$11="Aula 1",(C122!$A$1&amp;" "),"")&amp;IF(C211!$E$11="Aula 1",(C211!$A$1&amp;" "),"")&amp;IF(C212!$E$11="Aula 1",(C212!$A$1&amp;" "),"")&amp;IF(C311!$E$11="Aula 1",(C311!$A$1&amp;" "),"")&amp;IF(C312!$E$11="Aula 1",(C312!$A$1&amp;" "),"")&amp;IF(C411!$E$11="Aula 1",(C411!$A$1&amp;" "),"")&amp;IF(C412!$E$11="Aula 1",(C412!$A$1&amp;" "),"")&amp;IF(M111!$E$11="Aula 1",(M111!$A$1&amp;" "),"")&amp;IF(M211!$E$11="Aula 1",(M211!$A$1&amp;" "),"")&amp;IF(M311!$E$11="Aula 1",(M311!$A$1&amp;" "),"")&amp;IF(M411!$E$11="Aula 1",(M411!$A$1&amp;" "),""))," ",",")</f>
        <v/>
      </c>
      <c r="C31" s="2">
        <f>SUBSTITUTE(TRIM(IF(D111!$E$11="Aula 2",(D111!$A$1&amp;" "),"")&amp;IF(D211!$E$11="Aula 2",(D211!$A$1&amp;" "),"")&amp;IF(D311!$E$11="Aula 2",(D311!$A$1&amp;" "),"")&amp;IF(D411!$E$11="Aula 2",(D411!$A$1&amp;" "),"")&amp;IF(C111!$E$11="Aula 2",(C111!$A$1&amp;" "),"")&amp;IF(C121!$E$11="Aula 2",(C121!$A$1&amp;" "),"")&amp;IF(C122!$E$11="Aula 2",(C122!$A$1&amp;" "),"")&amp;IF(C211!$E$11="Aula 2",(C211!$A$1&amp;" "),"")&amp;IF(C212!$E$11="Aula 2",(C212!$A$1&amp;" "),"")&amp;IF(C311!$E$11="Aula 2",(C311!$A$1&amp;" "),"")&amp;IF(C312!$E$11="Aula 2",(C312!$A$1&amp;" "),"")&amp;IF(C411!$E$11="Aula 2",(C411!$A$1&amp;" "),"")&amp;IF(C412!$E$11="Aula 2",(C412!$A$1&amp;" "),"")&amp;IF(M111!$E$11="Aula 2",(M111!$A$1&amp;" "),"")&amp;IF(M211!$E$11="Aula 2",(M211!$A$1&amp;" "),"")&amp;IF(M311!$E$11="Aula 2",(M311!$A$1&amp;" "),"")&amp;IF(M411!$E$11="Aula 2",(M411!$A$1&amp;" "),""))," ",",")</f>
        <v/>
      </c>
      <c r="D31" s="2">
        <f>SUBSTITUTE(TRIM(IF(D111!$E$11="Aula 3",(D111!$A$1&amp;" "),"")&amp;IF(D211!$E$11="Aula 3",(D211!$A$1&amp;" "),"")&amp;IF(D311!$E$11="Aula 3",(D311!$A$1&amp;" "),"")&amp;IF(D411!$E$11="Aula 3",(D411!$A$1&amp;" "),"")&amp;IF(C111!$E$11="Aula 3",(C111!$A$1&amp;" "),"")&amp;IF(C121!$E$11="Aula 3",(C121!$A$1&amp;" "),"")&amp;IF(C122!$E$11="Aula 3",(C122!$A$1&amp;" "),"")&amp;IF(C211!$E$11="Aula 3",(C211!$A$1&amp;" "),"")&amp;IF(C212!$E$11="Aula 3",(C212!$A$1&amp;" "),"")&amp;IF(C311!$E$11="Aula 3",(C311!$A$1&amp;" "),"")&amp;IF(C312!$E$11="Aula 3",(C312!$A$1&amp;" "),"")&amp;IF(C411!$E$11="Aula 3",(C411!$A$1&amp;" "),"")&amp;IF(C412!$E$11="Aula 3",(C412!$A$1&amp;" "),"")&amp;IF(M111!$E$11="Aula 3",(M111!$A$1&amp;" "),"")&amp;IF(M211!$E$11="Aula 3",(M211!$A$1&amp;" "),"")&amp;IF(M311!$E$11="Aula 3",(M311!$A$1&amp;" "),"")&amp;IF(M411!$E$11="Aula 3",(M411!$A$1&amp;" "),""))," ",",")</f>
        <v/>
      </c>
      <c r="E31" s="2">
        <f>SUBSTITUTE(TRIM(IF(D111!$E$11="Aula 4",(D111!$A$1&amp;" "),"")&amp;IF(D211!$E$11="Aula 4",(D211!$A$1&amp;" "),"")&amp;IF(D311!$E$11="Aula 4",(D311!$A$1&amp;" "),"")&amp;IF(D411!$E$11="Aula 4",(D411!$A$1&amp;" "),"")&amp;IF(C111!$E$11="Aula 4",(C111!$A$1&amp;" "),"")&amp;IF(C121!$E$11="Aula 4",(C121!$A$1&amp;" "),"")&amp;IF(C122!$E$11="Aula 4",(C122!$A$1&amp;" "),"")&amp;IF(C211!$E$11="Aula 4",(C211!$A$1&amp;" "),"")&amp;IF(C212!$E$11="Aula 4",(C212!$A$1&amp;" "),"")&amp;IF(C311!$E$11="Aula 4",(C311!$A$1&amp;" "),"")&amp;IF(C312!$E$11="Aula 4",(C312!$A$1&amp;" "),"")&amp;IF(C411!$E$11="Aula 4",(C411!$A$1&amp;" "),"")&amp;IF(C412!$E$11="Aula 4",(C412!$A$1&amp;" "),"")&amp;IF(M111!$E$11="Aula 4",(M111!$A$1&amp;" "),"")&amp;IF(M211!$E$11="Aula 4",(M211!$A$1&amp;" "),"")&amp;IF(M311!$E$11="Aula 4",(M311!$A$1&amp;" "),"")&amp;IF(M411!$E$11="Aula 4",(M411!$A$1&amp;" "),""))," ",",")</f>
        <v/>
      </c>
      <c r="F31" s="2">
        <f>SUBSTITUTE(TRIM(IF(D111!$E$11="Aula 5",(D111!$A$1&amp;" "),"")&amp;IF(D211!$E$11="Aula 5",(D211!$A$1&amp;" "),"")&amp;IF(D311!$E$11="Aula 5",(D311!$A$1&amp;" "),"")&amp;IF(D411!$E$11="Aula 5",(D411!$A$1&amp;" "),"")&amp;IF(C111!$E$11="Aula 5",(C111!$A$1&amp;" "),"")&amp;IF(C121!$E$11="Aula 5",(C121!$A$1&amp;" "),"")&amp;IF(C122!$E$11="Aula 5",(C122!$A$1&amp;" "),"")&amp;IF(C211!$E$11="Aula 5",(C211!$A$1&amp;" "),"")&amp;IF(C212!$E$11="Aula 5",(C212!$A$1&amp;" "),"")&amp;IF(C311!$E$11="Aula 5",(C311!$A$1&amp;" "),"")&amp;IF(C312!$E$11="Aula 5",(C312!$A$1&amp;" "),"")&amp;IF(C411!$E$11="Aula 5",(C411!$A$1&amp;" "),"")&amp;IF(C412!$E$11="Aula 5",(C412!$A$1&amp;" "),"")&amp;IF(M111!$E$11="Aula 5",(M111!$A$1&amp;" "),"")&amp;IF(M211!$E$11="Aula 5",(M211!$A$1&amp;" "),"")&amp;IF(M311!$E$11="Aula 5",(M311!$A$1&amp;" "),"")&amp;IF(M411!$E$11="Aula 5",(M411!$A$1&amp;" "),""))," ",",")</f>
        <v/>
      </c>
      <c r="G31" s="2">
        <f>SUBSTITUTE(TRIM(IF(D111!$E$11="Aula 6",(D111!$A$1&amp;" "),"")&amp;IF(D211!$E$11="Aula 6",(D211!$A$1&amp;" "),"")&amp;IF(D311!$E$11="Aula 6",(D311!$A$1&amp;" "),"")&amp;IF(D411!$E$11="Aula 6",(D411!$A$1&amp;" "),"")&amp;IF(C111!$E$11="Aula 6",(C111!$A$1&amp;" "),"")&amp;IF(C121!$E$11="Aula 6",(C121!$A$1&amp;" "),"")&amp;IF(C122!$E$11="Aula 6",(C122!$A$1&amp;" "),"")&amp;IF(C211!$E$11="Aula 6",(C211!$A$1&amp;" "),"")&amp;IF(C212!$E$11="Aula 6",(C212!$A$1&amp;" "),"")&amp;IF(C311!$E$11="Aula 6",(C311!$A$1&amp;" "),"")&amp;IF(C312!$E$11="Aula 6",(C312!$A$1&amp;" "),"")&amp;IF(C411!$E$11="Aula 6",(C411!$A$1&amp;" "),"")&amp;IF(C412!$E$11="Aula 6",(C412!$A$1&amp;" "),"")&amp;IF(M111!$E$11="Aula 6",(M111!$A$1&amp;" "),"")&amp;IF(M211!$E$11="Aula 6",(M211!$A$1&amp;" "),"")&amp;IF(M311!$E$11="Aula 6",(M311!$A$1&amp;" "),"")&amp;IF(M411!$E$11="Aula 6",(M411!$A$1&amp;" "),""))," ",",")</f>
        <v/>
      </c>
      <c r="H31" s="2">
        <f>SUBSTITUTE(TRIM(IF(D111!$E$11="Aula 7",(D111!$A$1&amp;" "),"")&amp;IF(D211!$E$11="Aula 7",(D211!$A$1&amp;" "),"")&amp;IF(D311!$E$11="Aula 7",(D311!$A$1&amp;" "),"")&amp;IF(D411!$E$11="Aula 7",(D411!$A$1&amp;" "),"")&amp;IF(C111!$E$11="Aula 7",(C111!$A$1&amp;" "),"")&amp;IF(C121!$E$11="Aula 7",(C121!$A$1&amp;" "),"")&amp;IF(C122!$E$11="Aula 7",(C122!$A$1&amp;" "),"")&amp;IF(C211!$E$11="Aula 7",(C211!$A$1&amp;" "),"")&amp;IF(C212!$E$11="Aula 7",(C212!$A$1&amp;" "),"")&amp;IF(C311!$E$11="Aula 7",(C311!$A$1&amp;" "),"")&amp;IF(C312!$E$11="Aula 7",(C312!$A$1&amp;" "),"")&amp;IF(C411!$E$11="Aula 7",(C411!$A$1&amp;" "),"")&amp;IF(C412!$E$11="Aula 7",(C412!$A$1&amp;" "),"")&amp;IF(M111!$E$11="Aula 7",(M111!$A$1&amp;" "),"")&amp;IF(M211!$E$11="Aula 7",(M211!$A$1&amp;" "),"")&amp;IF(M311!$E$11="Aula 7",(M311!$A$1&amp;" "),"")&amp;IF(M411!$E$11="Aula 7",(M411!$A$1&amp;" "),""))," ",",")</f>
        <v/>
      </c>
      <c r="I31" s="2">
        <f>SUBSTITUTE(TRIM(IF(D111!$E$11="Aula 8",(D111!$A$1&amp;" "),"")&amp;IF(D211!$E$11="Aula 8",(D211!$A$1&amp;" "),"")&amp;IF(D311!$E$11="Aula 8",(D311!$A$1&amp;" "),"")&amp;IF(D411!$E$11="Aula 8",(D411!$A$1&amp;" "),"")&amp;IF(C111!$E$11="Aula 8",(C111!$A$1&amp;" "),"")&amp;IF(C121!$E$11="Aula 8",(C121!$A$1&amp;" "),"")&amp;IF(C122!$E$11="Aula 8",(C122!$A$1&amp;" "),"")&amp;IF(C211!$E$11="Aula 8",(C211!$A$1&amp;" "),"")&amp;IF(C212!$E$11="Aula 8",(C212!$A$1&amp;" "),"")&amp;IF(C311!$E$11="Aula 8",(C311!$A$1&amp;" "),"")&amp;IF(C312!$E$11="Aula 8",(C312!$A$1&amp;" "),"")&amp;IF(C411!$E$11="Aula 8",(C411!$A$1&amp;" "),"")&amp;IF(C412!$E$11="Aula 8",(C412!$A$1&amp;" "),"")&amp;IF(M111!$E$11="Aula 8",(M111!$A$1&amp;" "),"")&amp;IF(M211!$E$11="Aula 8",(M211!$A$1&amp;" "),"")&amp;IF(M311!$E$11="Aula 8",(M311!$A$1&amp;" "),"")&amp;IF(M411!$E$11="Aula 8",(M411!$A$1&amp;" "),""))," ",",")</f>
        <v/>
      </c>
      <c r="J31" s="2">
        <f>SUBSTITUTE(TRIM(IF(D111!$E$11="Aula 9",(D111!$A$1&amp;" "),"")&amp;IF(D211!$E$11="Aula 9",(D211!$A$1&amp;" "),"")&amp;IF(D311!$E$11="Aula 9",(D311!$A$1&amp;" "),"")&amp;IF(D411!$E$11="Aula 9",(D411!$A$1&amp;" "),"")&amp;IF(C111!$E$11="Aula 9",(C111!$A$1&amp;" "),"")&amp;IF(C121!$E$11="Aula 9",(C121!$A$1&amp;" "),"")&amp;IF(C122!$E$11="Aula 9",(C122!$A$1&amp;" "),"")&amp;IF(C211!$E$11="Aula 9",(C211!$A$1&amp;" "),"")&amp;IF(C212!$E$11="Aula 9",(C212!$A$1&amp;" "),"")&amp;IF(C311!$E$11="Aula 9",(C311!$A$1&amp;" "),"")&amp;IF(C312!$E$11="Aula 9",(C312!$A$1&amp;" "),"")&amp;IF(C411!$E$11="Aula 9",(C411!$A$1&amp;" "),"")&amp;IF(C412!$E$11="Aula 9",(C412!$A$1&amp;" "),"")&amp;IF(M111!$E$11="Aula 9",(M111!$A$1&amp;" "),"")&amp;IF(M211!$E$11="Aula 9",(M211!$A$1&amp;" "),"")&amp;IF(M311!$E$11="Aula 9",(M311!$A$1&amp;" "),"")&amp;IF(M411!$E$11="Aula 9",(M411!$A$1&amp;" "),""))," ",",")</f>
        <v/>
      </c>
      <c r="K31" s="2">
        <f>SUBSTITUTE(TRIM(IF(D111!$E$11="Lab",(D111!$A$1&amp;" "),"")&amp;IF(D211!$E$11="Lab",(D211!$A$1&amp;" "),"")&amp;IF(D311!$E$11="Lab",(D311!$A$1&amp;" "),"")&amp;IF(D411!$E$11="Lab",(D411!$A$1&amp;" "),"")&amp;IF(C111!$E$11="Lab",(C111!$A$1&amp;" "),"")&amp;IF(C121!$E$11="Lab",(C121!$A$1&amp;" "),"")&amp;IF(C122!$E$11="Lab",(C122!$A$1&amp;" "),"")&amp;IF(C211!$E$11="Lab",(C211!$A$1&amp;" "),"")&amp;IF(C212!$E$11="Lab",(C212!$A$1&amp;" "),"")&amp;IF(C311!$E$11="Lab",(C311!$A$1&amp;" "),"")&amp;IF(C312!$E$11="Lab",(C312!$A$1&amp;" "),"")&amp;IF(C411!$E$11="Lab",(C411!$A$1&amp;" "),"")&amp;IF(C412!$E$11="Lab",(C412!$A$1&amp;" "),"")&amp;IF(M111!$E$11="Lab",(M111!$A$1&amp;" "),"")&amp;IF(M211!$E$11="Lab",(M211!$A$1&amp;" "),"")&amp;IF(M311!$E$11="Lab",(M311!$A$1&amp;" "),"")&amp;IF(M411!$E$11="Lab",(M411!$A$1&amp;" "),""))," ",",")</f>
        <v/>
      </c>
      <c r="L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Lab</t>
        </is>
      </c>
      <c r="L33" t="inlineStr"/>
    </row>
    <row r="34">
      <c r="A34" t="inlineStr">
        <is>
          <t>1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2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>
        <is>
          <t>C112</t>
        </is>
      </c>
      <c r="L35" t="inlineStr"/>
    </row>
    <row r="36">
      <c r="A36" s="2" t="inlineStr">
        <is>
          <t>3</t>
        </is>
      </c>
      <c r="B36" s="2">
        <f>SUBSTITUTE(TRIM(IF(D111!$F$5="Aula 1",(D111!$A$1&amp;" "),"")&amp;IF(D211!$F$5="Aula 1",(D211!$A$1&amp;" "),"")&amp;IF(D311!$F$5="Aula 1",(D311!$A$1&amp;" "),"")&amp;IF(D411!$F$5="Aula 1",(D411!$A$1&amp;" "),"")&amp;IF(C111!$F$5="Aula 1",(C111!$A$1&amp;" "),"")&amp;IF(C121!$F$5="Aula 1",(C121!$A$1&amp;" "),"")&amp;IF(C122!$F$5="Aula 1",(C122!$A$1&amp;" "),"")&amp;IF(C211!$F$5="Aula 1",(C211!$A$1&amp;" "),"")&amp;IF(C212!$F$5="Aula 1",(C212!$A$1&amp;" "),"")&amp;IF(C311!$F$5="Aula 1",(C311!$A$1&amp;" "),"")&amp;IF(C312!$F$5="Aula 1",(C312!$A$1&amp;" "),"")&amp;IF(C411!$F$5="Aula 1",(C411!$A$1&amp;" "),"")&amp;IF(C412!$F$5="Aula 1",(C412!$A$1&amp;" "),"")&amp;IF(M111!$F$5="Aula 1",(M111!$A$1&amp;" "),"")&amp;IF(M211!$F$5="Aula 1",(M211!$A$1&amp;" "),"")&amp;IF(M311!$F$5="Aula 1",(M311!$A$1&amp;" "),"")&amp;IF(M411!$F$5="Aula 1",(M411!$A$1&amp;" "),""))," ",",")</f>
        <v/>
      </c>
      <c r="C36" s="2">
        <f>SUBSTITUTE(TRIM(IF(D111!$F$5="Aula 2",(D111!$A$1&amp;" "),"")&amp;IF(D211!$F$5="Aula 2",(D211!$A$1&amp;" "),"")&amp;IF(D311!$F$5="Aula 2",(D311!$A$1&amp;" "),"")&amp;IF(D411!$F$5="Aula 2",(D411!$A$1&amp;" "),"")&amp;IF(C111!$F$5="Aula 2",(C111!$A$1&amp;" "),"")&amp;IF(C121!$F$5="Aula 2",(C121!$A$1&amp;" "),"")&amp;IF(C122!$F$5="Aula 2",(C122!$A$1&amp;" "),"")&amp;IF(C211!$F$5="Aula 2",(C211!$A$1&amp;" "),"")&amp;IF(C212!$F$5="Aula 2",(C212!$A$1&amp;" "),"")&amp;IF(C311!$F$5="Aula 2",(C311!$A$1&amp;" "),"")&amp;IF(C312!$F$5="Aula 2",(C312!$A$1&amp;" "),"")&amp;IF(C411!$F$5="Aula 2",(C411!$A$1&amp;" "),"")&amp;IF(C412!$F$5="Aula 2",(C412!$A$1&amp;" "),"")&amp;IF(M111!$F$5="Aula 2",(M111!$A$1&amp;" "),"")&amp;IF(M211!$F$5="Aula 2",(M211!$A$1&amp;" "),"")&amp;IF(M311!$F$5="Aula 2",(M311!$A$1&amp;" "),"")&amp;IF(M411!$F$5="Aula 2",(M411!$A$1&amp;" "),""))," ",",")</f>
        <v/>
      </c>
      <c r="D36" s="2">
        <f>SUBSTITUTE(TRIM(IF(D111!$F$5="Aula 3",(D111!$A$1&amp;" "),"")&amp;IF(D211!$F$5="Aula 3",(D211!$A$1&amp;" "),"")&amp;IF(D311!$F$5="Aula 3",(D311!$A$1&amp;" "),"")&amp;IF(D411!$F$5="Aula 3",(D411!$A$1&amp;" "),"")&amp;IF(C111!$F$5="Aula 3",(C111!$A$1&amp;" "),"")&amp;IF(C121!$F$5="Aula 3",(C121!$A$1&amp;" "),"")&amp;IF(C122!$F$5="Aula 3",(C122!$A$1&amp;" "),"")&amp;IF(C211!$F$5="Aula 3",(C211!$A$1&amp;" "),"")&amp;IF(C212!$F$5="Aula 3",(C212!$A$1&amp;" "),"")&amp;IF(C311!$F$5="Aula 3",(C311!$A$1&amp;" "),"")&amp;IF(C312!$F$5="Aula 3",(C312!$A$1&amp;" "),"")&amp;IF(C411!$F$5="Aula 3",(C411!$A$1&amp;" "),"")&amp;IF(C412!$F$5="Aula 3",(C412!$A$1&amp;" "),"")&amp;IF(M111!$F$5="Aula 3",(M111!$A$1&amp;" "),"")&amp;IF(M211!$F$5="Aula 3",(M211!$A$1&amp;" "),"")&amp;IF(M311!$F$5="Aula 3",(M311!$A$1&amp;" "),"")&amp;IF(M411!$F$5="Aula 3",(M411!$A$1&amp;" "),""))," ",",")</f>
        <v/>
      </c>
      <c r="E36" s="2">
        <f>SUBSTITUTE(TRIM(IF(D111!$F$5="Aula 4",(D111!$A$1&amp;" "),"")&amp;IF(D211!$F$5="Aula 4",(D211!$A$1&amp;" "),"")&amp;IF(D311!$F$5="Aula 4",(D311!$A$1&amp;" "),"")&amp;IF(D411!$F$5="Aula 4",(D411!$A$1&amp;" "),"")&amp;IF(C111!$F$5="Aula 4",(C111!$A$1&amp;" "),"")&amp;IF(C121!$F$5="Aula 4",(C121!$A$1&amp;" "),"")&amp;IF(C122!$F$5="Aula 4",(C122!$A$1&amp;" "),"")&amp;IF(C211!$F$5="Aula 4",(C211!$A$1&amp;" "),"")&amp;IF(C212!$F$5="Aula 4",(C212!$A$1&amp;" "),"")&amp;IF(C311!$F$5="Aula 4",(C311!$A$1&amp;" "),"")&amp;IF(C312!$F$5="Aula 4",(C312!$A$1&amp;" "),"")&amp;IF(C411!$F$5="Aula 4",(C411!$A$1&amp;" "),"")&amp;IF(C412!$F$5="Aula 4",(C412!$A$1&amp;" "),"")&amp;IF(M111!$F$5="Aula 4",(M111!$A$1&amp;" "),"")&amp;IF(M211!$F$5="Aula 4",(M211!$A$1&amp;" "),"")&amp;IF(M311!$F$5="Aula 4",(M311!$A$1&amp;" "),"")&amp;IF(M411!$F$5="Aula 4",(M411!$A$1&amp;" "),""))," ",",")</f>
        <v/>
      </c>
      <c r="F36" s="2">
        <f>SUBSTITUTE(TRIM(IF(D111!$F$5="Aula 5",(D111!$A$1&amp;" "),"")&amp;IF(D211!$F$5="Aula 5",(D211!$A$1&amp;" "),"")&amp;IF(D311!$F$5="Aula 5",(D311!$A$1&amp;" "),"")&amp;IF(D411!$F$5="Aula 5",(D411!$A$1&amp;" "),"")&amp;IF(C111!$F$5="Aula 5",(C111!$A$1&amp;" "),"")&amp;IF(C121!$F$5="Aula 5",(C121!$A$1&amp;" "),"")&amp;IF(C122!$F$5="Aula 5",(C122!$A$1&amp;" "),"")&amp;IF(C211!$F$5="Aula 5",(C211!$A$1&amp;" "),"")&amp;IF(C212!$F$5="Aula 5",(C212!$A$1&amp;" "),"")&amp;IF(C311!$F$5="Aula 5",(C311!$A$1&amp;" "),"")&amp;IF(C312!$F$5="Aula 5",(C312!$A$1&amp;" "),"")&amp;IF(C411!$F$5="Aula 5",(C411!$A$1&amp;" "),"")&amp;IF(C412!$F$5="Aula 5",(C412!$A$1&amp;" "),"")&amp;IF(M111!$F$5="Aula 5",(M111!$A$1&amp;" "),"")&amp;IF(M211!$F$5="Aula 5",(M211!$A$1&amp;" "),"")&amp;IF(M311!$F$5="Aula 5",(M311!$A$1&amp;" "),"")&amp;IF(M411!$F$5="Aula 5",(M411!$A$1&amp;" "),""))," ",",")</f>
        <v/>
      </c>
      <c r="G36" s="2">
        <f>SUBSTITUTE(TRIM(IF(D111!$F$5="Aula 6",(D111!$A$1&amp;" "),"")&amp;IF(D211!$F$5="Aula 6",(D211!$A$1&amp;" "),"")&amp;IF(D311!$F$5="Aula 6",(D311!$A$1&amp;" "),"")&amp;IF(D411!$F$5="Aula 6",(D411!$A$1&amp;" "),"")&amp;IF(C111!$F$5="Aula 6",(C111!$A$1&amp;" "),"")&amp;IF(C121!$F$5="Aula 6",(C121!$A$1&amp;" "),"")&amp;IF(C122!$F$5="Aula 6",(C122!$A$1&amp;" "),"")&amp;IF(C211!$F$5="Aula 6",(C211!$A$1&amp;" "),"")&amp;IF(C212!$F$5="Aula 6",(C212!$A$1&amp;" "),"")&amp;IF(C311!$F$5="Aula 6",(C311!$A$1&amp;" "),"")&amp;IF(C312!$F$5="Aula 6",(C312!$A$1&amp;" "),"")&amp;IF(C411!$F$5="Aula 6",(C411!$A$1&amp;" "),"")&amp;IF(C412!$F$5="Aula 6",(C412!$A$1&amp;" "),"")&amp;IF(M111!$F$5="Aula 6",(M111!$A$1&amp;" "),"")&amp;IF(M211!$F$5="Aula 6",(M211!$A$1&amp;" "),"")&amp;IF(M311!$F$5="Aula 6",(M311!$A$1&amp;" "),"")&amp;IF(M411!$F$5="Aula 6",(M411!$A$1&amp;" "),""))," ",",")</f>
        <v/>
      </c>
      <c r="H36" s="2">
        <f>SUBSTITUTE(TRIM(IF(D111!$F$5="Aula 7",(D111!$A$1&amp;" "),"")&amp;IF(D211!$F$5="Aula 7",(D211!$A$1&amp;" "),"")&amp;IF(D311!$F$5="Aula 7",(D311!$A$1&amp;" "),"")&amp;IF(D411!$F$5="Aula 7",(D411!$A$1&amp;" "),"")&amp;IF(C111!$F$5="Aula 7",(C111!$A$1&amp;" "),"")&amp;IF(C121!$F$5="Aula 7",(C121!$A$1&amp;" "),"")&amp;IF(C122!$F$5="Aula 7",(C122!$A$1&amp;" "),"")&amp;IF(C211!$F$5="Aula 7",(C211!$A$1&amp;" "),"")&amp;IF(C212!$F$5="Aula 7",(C212!$A$1&amp;" "),"")&amp;IF(C311!$F$5="Aula 7",(C311!$A$1&amp;" "),"")&amp;IF(C312!$F$5="Aula 7",(C312!$A$1&amp;" "),"")&amp;IF(C411!$F$5="Aula 7",(C411!$A$1&amp;" "),"")&amp;IF(C412!$F$5="Aula 7",(C412!$A$1&amp;" "),"")&amp;IF(M111!$F$5="Aula 7",(M111!$A$1&amp;" "),"")&amp;IF(M211!$F$5="Aula 7",(M211!$A$1&amp;" "),"")&amp;IF(M311!$F$5="Aula 7",(M311!$A$1&amp;" "),"")&amp;IF(M411!$F$5="Aula 7",(M411!$A$1&amp;" "),""))," ",",")</f>
        <v/>
      </c>
      <c r="I36" s="2">
        <f>SUBSTITUTE(TRIM(IF(D111!$F$5="Aula 8",(D111!$A$1&amp;" "),"")&amp;IF(D211!$F$5="Aula 8",(D211!$A$1&amp;" "),"")&amp;IF(D311!$F$5="Aula 8",(D311!$A$1&amp;" "),"")&amp;IF(D411!$F$5="Aula 8",(D411!$A$1&amp;" "),"")&amp;IF(C111!$F$5="Aula 8",(C111!$A$1&amp;" "),"")&amp;IF(C121!$F$5="Aula 8",(C121!$A$1&amp;" "),"")&amp;IF(C122!$F$5="Aula 8",(C122!$A$1&amp;" "),"")&amp;IF(C211!$F$5="Aula 8",(C211!$A$1&amp;" "),"")&amp;IF(C212!$F$5="Aula 8",(C212!$A$1&amp;" "),"")&amp;IF(C311!$F$5="Aula 8",(C311!$A$1&amp;" "),"")&amp;IF(C312!$F$5="Aula 8",(C312!$A$1&amp;" "),"")&amp;IF(C411!$F$5="Aula 8",(C411!$A$1&amp;" "),"")&amp;IF(C412!$F$5="Aula 8",(C412!$A$1&amp;" "),"")&amp;IF(M111!$F$5="Aula 8",(M111!$A$1&amp;" "),"")&amp;IF(M211!$F$5="Aula 8",(M211!$A$1&amp;" "),"")&amp;IF(M311!$F$5="Aula 8",(M311!$A$1&amp;" "),"")&amp;IF(M411!$F$5="Aula 8",(M411!$A$1&amp;" "),""))," ",",")</f>
        <v/>
      </c>
      <c r="J36" s="2">
        <f>SUBSTITUTE(TRIM(IF(D111!$F$5="Aula 9",(D111!$A$1&amp;" "),"")&amp;IF(D211!$F$5="Aula 9",(D211!$A$1&amp;" "),"")&amp;IF(D311!$F$5="Aula 9",(D311!$A$1&amp;" "),"")&amp;IF(D411!$F$5="Aula 9",(D411!$A$1&amp;" "),"")&amp;IF(C111!$F$5="Aula 9",(C111!$A$1&amp;" "),"")&amp;IF(C121!$F$5="Aula 9",(C121!$A$1&amp;" "),"")&amp;IF(C122!$F$5="Aula 9",(C122!$A$1&amp;" "),"")&amp;IF(C211!$F$5="Aula 9",(C211!$A$1&amp;" "),"")&amp;IF(C212!$F$5="Aula 9",(C212!$A$1&amp;" "),"")&amp;IF(C311!$F$5="Aula 9",(C311!$A$1&amp;" "),"")&amp;IF(C312!$F$5="Aula 9",(C312!$A$1&amp;" "),"")&amp;IF(C411!$F$5="Aula 9",(C411!$A$1&amp;" "),"")&amp;IF(C412!$F$5="Aula 9",(C412!$A$1&amp;" "),"")&amp;IF(M111!$F$5="Aula 9",(M111!$A$1&amp;" "),"")&amp;IF(M211!$F$5="Aula 9",(M211!$A$1&amp;" "),"")&amp;IF(M311!$F$5="Aula 9",(M311!$A$1&amp;" "),"")&amp;IF(M411!$F$5="Aula 9",(M411!$A$1&amp;" "),""))," ",",")</f>
        <v/>
      </c>
      <c r="K36" s="2">
        <f>SUBSTITUTE(TRIM(IF(D111!$F$5="Lab",(D111!$A$1&amp;" "),"")&amp;IF(D211!$F$5="Lab",(D211!$A$1&amp;" "),"")&amp;IF(D311!$F$5="Lab",(D311!$A$1&amp;" "),"")&amp;IF(D411!$F$5="Lab",(D411!$A$1&amp;" "),"")&amp;IF(C111!$F$5="Lab",(C111!$A$1&amp;" "),"")&amp;IF(C121!$F$5="Lab",(C121!$A$1&amp;" "),"")&amp;IF(C122!$F$5="Lab",(C122!$A$1&amp;" "),"")&amp;IF(C211!$F$5="Lab",(C211!$A$1&amp;" "),"")&amp;IF(C212!$F$5="Lab",(C212!$A$1&amp;" "),"")&amp;IF(C311!$F$5="Lab",(C311!$A$1&amp;" "),"")&amp;IF(C312!$F$5="Lab",(C312!$A$1&amp;" "),"")&amp;IF(C411!$F$5="Lab",(C411!$A$1&amp;" "),"")&amp;IF(C412!$F$5="Lab",(C412!$A$1&amp;" "),"")&amp;IF(M111!$F$5="Lab",(M111!$A$1&amp;" "),"")&amp;IF(M211!$F$5="Lab",(M211!$A$1&amp;" "),"")&amp;IF(M311!$F$5="Lab",(M311!$A$1&amp;" "),"")&amp;IF(M411!$F$5="Lab",(M411!$A$1&amp;" "),""))," ",",")</f>
        <v/>
      </c>
      <c r="L36" t="inlineStr"/>
    </row>
    <row r="37">
      <c r="A37" s="2" t="inlineStr">
        <is>
          <t>4</t>
        </is>
      </c>
      <c r="B37" s="2">
        <f>SUBSTITUTE(TRIM(IF(D111!$F$7="Aula 1",(D111!$A$1&amp;" "),"")&amp;IF(D211!$F$7="Aula 1",(D211!$A$1&amp;" "),"")&amp;IF(D311!$F$7="Aula 1",(D311!$A$1&amp;" "),"")&amp;IF(D411!$F$7="Aula 1",(D411!$A$1&amp;" "),"")&amp;IF(C111!$F$7="Aula 1",(C111!$A$1&amp;" "),"")&amp;IF(C121!$F$7="Aula 1",(C121!$A$1&amp;" "),"")&amp;IF(C122!$F$7="Aula 1",(C122!$A$1&amp;" "),"")&amp;IF(C211!$F$7="Aula 1",(C211!$A$1&amp;" "),"")&amp;IF(C212!$F$7="Aula 1",(C212!$A$1&amp;" "),"")&amp;IF(C311!$F$7="Aula 1",(C311!$A$1&amp;" "),"")&amp;IF(C312!$F$7="Aula 1",(C312!$A$1&amp;" "),"")&amp;IF(C411!$F$7="Aula 1",(C411!$A$1&amp;" "),"")&amp;IF(C412!$F$7="Aula 1",(C412!$A$1&amp;" "),"")&amp;IF(M111!$F$7="Aula 1",(M111!$A$1&amp;" "),"")&amp;IF(M211!$F$7="Aula 1",(M211!$A$1&amp;" "),"")&amp;IF(M311!$F$7="Aula 1",(M311!$A$1&amp;" "),"")&amp;IF(M411!$F$7="Aula 1",(M411!$A$1&amp;" "),""))," ",",")</f>
        <v/>
      </c>
      <c r="C37" s="2">
        <f>SUBSTITUTE(TRIM(IF(D111!$F$7="Aula 2",(D111!$A$1&amp;" "),"")&amp;IF(D211!$F$7="Aula 2",(D211!$A$1&amp;" "),"")&amp;IF(D311!$F$7="Aula 2",(D311!$A$1&amp;" "),"")&amp;IF(D411!$F$7="Aula 2",(D411!$A$1&amp;" "),"")&amp;IF(C111!$F$7="Aula 2",(C111!$A$1&amp;" "),"")&amp;IF(C121!$F$7="Aula 2",(C121!$A$1&amp;" "),"")&amp;IF(C122!$F$7="Aula 2",(C122!$A$1&amp;" "),"")&amp;IF(C211!$F$7="Aula 2",(C211!$A$1&amp;" "),"")&amp;IF(C212!$F$7="Aula 2",(C212!$A$1&amp;" "),"")&amp;IF(C311!$F$7="Aula 2",(C311!$A$1&amp;" "),"")&amp;IF(C312!$F$7="Aula 2",(C312!$A$1&amp;" "),"")&amp;IF(C411!$F$7="Aula 2",(C411!$A$1&amp;" "),"")&amp;IF(C412!$F$7="Aula 2",(C412!$A$1&amp;" "),"")&amp;IF(M111!$F$7="Aula 2",(M111!$A$1&amp;" "),"")&amp;IF(M211!$F$7="Aula 2",(M211!$A$1&amp;" "),"")&amp;IF(M311!$F$7="Aula 2",(M311!$A$1&amp;" "),"")&amp;IF(M411!$F$7="Aula 2",(M411!$A$1&amp;" "),""))," ",",")</f>
        <v/>
      </c>
      <c r="D37" s="2">
        <f>SUBSTITUTE(TRIM(IF(D111!$F$7="Aula 3",(D111!$A$1&amp;" "),"")&amp;IF(D211!$F$7="Aula 3",(D211!$A$1&amp;" "),"")&amp;IF(D311!$F$7="Aula 3",(D311!$A$1&amp;" "),"")&amp;IF(D411!$F$7="Aula 3",(D411!$A$1&amp;" "),"")&amp;IF(C111!$F$7="Aula 3",(C111!$A$1&amp;" "),"")&amp;IF(C121!$F$7="Aula 3",(C121!$A$1&amp;" "),"")&amp;IF(C122!$F$7="Aula 3",(C122!$A$1&amp;" "),"")&amp;IF(C211!$F$7="Aula 3",(C211!$A$1&amp;" "),"")&amp;IF(C212!$F$7="Aula 3",(C212!$A$1&amp;" "),"")&amp;IF(C311!$F$7="Aula 3",(C311!$A$1&amp;" "),"")&amp;IF(C312!$F$7="Aula 3",(C312!$A$1&amp;" "),"")&amp;IF(C411!$F$7="Aula 3",(C411!$A$1&amp;" "),"")&amp;IF(C412!$F$7="Aula 3",(C412!$A$1&amp;" "),"")&amp;IF(M111!$F$7="Aula 3",(M111!$A$1&amp;" "),"")&amp;IF(M211!$F$7="Aula 3",(M211!$A$1&amp;" "),"")&amp;IF(M311!$F$7="Aula 3",(M311!$A$1&amp;" "),"")&amp;IF(M411!$F$7="Aula 3",(M411!$A$1&amp;" "),""))," ",",")</f>
        <v/>
      </c>
      <c r="E37" s="2">
        <f>SUBSTITUTE(TRIM(IF(D111!$F$7="Aula 4",(D111!$A$1&amp;" "),"")&amp;IF(D211!$F$7="Aula 4",(D211!$A$1&amp;" "),"")&amp;IF(D311!$F$7="Aula 4",(D311!$A$1&amp;" "),"")&amp;IF(D411!$F$7="Aula 4",(D411!$A$1&amp;" "),"")&amp;IF(C111!$F$7="Aula 4",(C111!$A$1&amp;" "),"")&amp;IF(C121!$F$7="Aula 4",(C121!$A$1&amp;" "),"")&amp;IF(C122!$F$7="Aula 4",(C122!$A$1&amp;" "),"")&amp;IF(C211!$F$7="Aula 4",(C211!$A$1&amp;" "),"")&amp;IF(C212!$F$7="Aula 4",(C212!$A$1&amp;" "),"")&amp;IF(C311!$F$7="Aula 4",(C311!$A$1&amp;" "),"")&amp;IF(C312!$F$7="Aula 4",(C312!$A$1&amp;" "),"")&amp;IF(C411!$F$7="Aula 4",(C411!$A$1&amp;" "),"")&amp;IF(C412!$F$7="Aula 4",(C412!$A$1&amp;" "),"")&amp;IF(M111!$F$7="Aula 4",(M111!$A$1&amp;" "),"")&amp;IF(M211!$F$7="Aula 4",(M211!$A$1&amp;" "),"")&amp;IF(M311!$F$7="Aula 4",(M311!$A$1&amp;" "),"")&amp;IF(M411!$F$7="Aula 4",(M411!$A$1&amp;" "),""))," ",",")</f>
        <v/>
      </c>
      <c r="F37" s="2">
        <f>SUBSTITUTE(TRIM(IF(D111!$F$7="Aula 5",(D111!$A$1&amp;" "),"")&amp;IF(D211!$F$7="Aula 5",(D211!$A$1&amp;" "),"")&amp;IF(D311!$F$7="Aula 5",(D311!$A$1&amp;" "),"")&amp;IF(D411!$F$7="Aula 5",(D411!$A$1&amp;" "),"")&amp;IF(C111!$F$7="Aula 5",(C111!$A$1&amp;" "),"")&amp;IF(C121!$F$7="Aula 5",(C121!$A$1&amp;" "),"")&amp;IF(C122!$F$7="Aula 5",(C122!$A$1&amp;" "),"")&amp;IF(C211!$F$7="Aula 5",(C211!$A$1&amp;" "),"")&amp;IF(C212!$F$7="Aula 5",(C212!$A$1&amp;" "),"")&amp;IF(C311!$F$7="Aula 5",(C311!$A$1&amp;" "),"")&amp;IF(C312!$F$7="Aula 5",(C312!$A$1&amp;" "),"")&amp;IF(C411!$F$7="Aula 5",(C411!$A$1&amp;" "),"")&amp;IF(C412!$F$7="Aula 5",(C412!$A$1&amp;" "),"")&amp;IF(M111!$F$7="Aula 5",(M111!$A$1&amp;" "),"")&amp;IF(M211!$F$7="Aula 5",(M211!$A$1&amp;" "),"")&amp;IF(M311!$F$7="Aula 5",(M311!$A$1&amp;" "),"")&amp;IF(M411!$F$7="Aula 5",(M411!$A$1&amp;" "),""))," ",",")</f>
        <v/>
      </c>
      <c r="G37" s="2">
        <f>SUBSTITUTE(TRIM(IF(D111!$F$7="Aula 6",(D111!$A$1&amp;" "),"")&amp;IF(D211!$F$7="Aula 6",(D211!$A$1&amp;" "),"")&amp;IF(D311!$F$7="Aula 6",(D311!$A$1&amp;" "),"")&amp;IF(D411!$F$7="Aula 6",(D411!$A$1&amp;" "),"")&amp;IF(C111!$F$7="Aula 6",(C111!$A$1&amp;" "),"")&amp;IF(C121!$F$7="Aula 6",(C121!$A$1&amp;" "),"")&amp;IF(C122!$F$7="Aula 6",(C122!$A$1&amp;" "),"")&amp;IF(C211!$F$7="Aula 6",(C211!$A$1&amp;" "),"")&amp;IF(C212!$F$7="Aula 6",(C212!$A$1&amp;" "),"")&amp;IF(C311!$F$7="Aula 6",(C311!$A$1&amp;" "),"")&amp;IF(C312!$F$7="Aula 6",(C312!$A$1&amp;" "),"")&amp;IF(C411!$F$7="Aula 6",(C411!$A$1&amp;" "),"")&amp;IF(C412!$F$7="Aula 6",(C412!$A$1&amp;" "),"")&amp;IF(M111!$F$7="Aula 6",(M111!$A$1&amp;" "),"")&amp;IF(M211!$F$7="Aula 6",(M211!$A$1&amp;" "),"")&amp;IF(M311!$F$7="Aula 6",(M311!$A$1&amp;" "),"")&amp;IF(M411!$F$7="Aula 6",(M411!$A$1&amp;" "),""))," ",",")</f>
        <v/>
      </c>
      <c r="H37" s="2">
        <f>SUBSTITUTE(TRIM(IF(D111!$F$7="Aula 7",(D111!$A$1&amp;" "),"")&amp;IF(D211!$F$7="Aula 7",(D211!$A$1&amp;" "),"")&amp;IF(D311!$F$7="Aula 7",(D311!$A$1&amp;" "),"")&amp;IF(D411!$F$7="Aula 7",(D411!$A$1&amp;" "),"")&amp;IF(C111!$F$7="Aula 7",(C111!$A$1&amp;" "),"")&amp;IF(C121!$F$7="Aula 7",(C121!$A$1&amp;" "),"")&amp;IF(C122!$F$7="Aula 7",(C122!$A$1&amp;" "),"")&amp;IF(C211!$F$7="Aula 7",(C211!$A$1&amp;" "),"")&amp;IF(C212!$F$7="Aula 7",(C212!$A$1&amp;" "),"")&amp;IF(C311!$F$7="Aula 7",(C311!$A$1&amp;" "),"")&amp;IF(C312!$F$7="Aula 7",(C312!$A$1&amp;" "),"")&amp;IF(C411!$F$7="Aula 7",(C411!$A$1&amp;" "),"")&amp;IF(C412!$F$7="Aula 7",(C412!$A$1&amp;" "),"")&amp;IF(M111!$F$7="Aula 7",(M111!$A$1&amp;" "),"")&amp;IF(M211!$F$7="Aula 7",(M211!$A$1&amp;" "),"")&amp;IF(M311!$F$7="Aula 7",(M311!$A$1&amp;" "),"")&amp;IF(M411!$F$7="Aula 7",(M411!$A$1&amp;" "),""))," ",",")</f>
        <v/>
      </c>
      <c r="I37" s="2">
        <f>SUBSTITUTE(TRIM(IF(D111!$F$7="Aula 8",(D111!$A$1&amp;" "),"")&amp;IF(D211!$F$7="Aula 8",(D211!$A$1&amp;" "),"")&amp;IF(D311!$F$7="Aula 8",(D311!$A$1&amp;" "),"")&amp;IF(D411!$F$7="Aula 8",(D411!$A$1&amp;" "),"")&amp;IF(C111!$F$7="Aula 8",(C111!$A$1&amp;" "),"")&amp;IF(C121!$F$7="Aula 8",(C121!$A$1&amp;" "),"")&amp;IF(C122!$F$7="Aula 8",(C122!$A$1&amp;" "),"")&amp;IF(C211!$F$7="Aula 8",(C211!$A$1&amp;" "),"")&amp;IF(C212!$F$7="Aula 8",(C212!$A$1&amp;" "),"")&amp;IF(C311!$F$7="Aula 8",(C311!$A$1&amp;" "),"")&amp;IF(C312!$F$7="Aula 8",(C312!$A$1&amp;" "),"")&amp;IF(C411!$F$7="Aula 8",(C411!$A$1&amp;" "),"")&amp;IF(C412!$F$7="Aula 8",(C412!$A$1&amp;" "),"")&amp;IF(M111!$F$7="Aula 8",(M111!$A$1&amp;" "),"")&amp;IF(M211!$F$7="Aula 8",(M211!$A$1&amp;" "),"")&amp;IF(M311!$F$7="Aula 8",(M311!$A$1&amp;" "),"")&amp;IF(M411!$F$7="Aula 8",(M411!$A$1&amp;" "),""))," ",",")</f>
        <v/>
      </c>
      <c r="J37" s="2">
        <f>SUBSTITUTE(TRIM(IF(D111!$F$7="Aula 9",(D111!$A$1&amp;" "),"")&amp;IF(D211!$F$7="Aula 9",(D211!$A$1&amp;" "),"")&amp;IF(D311!$F$7="Aula 9",(D311!$A$1&amp;" "),"")&amp;IF(D411!$F$7="Aula 9",(D411!$A$1&amp;" "),"")&amp;IF(C111!$F$7="Aula 9",(C111!$A$1&amp;" "),"")&amp;IF(C121!$F$7="Aula 9",(C121!$A$1&amp;" "),"")&amp;IF(C122!$F$7="Aula 9",(C122!$A$1&amp;" "),"")&amp;IF(C211!$F$7="Aula 9",(C211!$A$1&amp;" "),"")&amp;IF(C212!$F$7="Aula 9",(C212!$A$1&amp;" "),"")&amp;IF(C311!$F$7="Aula 9",(C311!$A$1&amp;" "),"")&amp;IF(C312!$F$7="Aula 9",(C312!$A$1&amp;" "),"")&amp;IF(C411!$F$7="Aula 9",(C411!$A$1&amp;" "),"")&amp;IF(C412!$F$7="Aula 9",(C412!$A$1&amp;" "),"")&amp;IF(M111!$F$7="Aula 9",(M111!$A$1&amp;" "),"")&amp;IF(M211!$F$7="Aula 9",(M211!$A$1&amp;" "),"")&amp;IF(M311!$F$7="Aula 9",(M311!$A$1&amp;" "),"")&amp;IF(M411!$F$7="Aula 9",(M411!$A$1&amp;" "),""))," ",",")</f>
        <v/>
      </c>
      <c r="K37" s="2">
        <f>SUBSTITUTE(TRIM(IF(D111!$F$7="Lab",(D111!$A$1&amp;" "),"")&amp;IF(D211!$F$7="Lab",(D211!$A$1&amp;" "),"")&amp;IF(D311!$F$7="Lab",(D311!$A$1&amp;" "),"")&amp;IF(D411!$F$7="Lab",(D411!$A$1&amp;" "),"")&amp;IF(C111!$F$7="Lab",(C111!$A$1&amp;" "),"")&amp;IF(C121!$F$7="Lab",(C121!$A$1&amp;" "),"")&amp;IF(C122!$F$7="Lab",(C122!$A$1&amp;" "),"")&amp;IF(C211!$F$7="Lab",(C211!$A$1&amp;" "),"")&amp;IF(C212!$F$7="Lab",(C212!$A$1&amp;" "),"")&amp;IF(C311!$F$7="Lab",(C311!$A$1&amp;" "),"")&amp;IF(C312!$F$7="Lab",(C312!$A$1&amp;" "),"")&amp;IF(C411!$F$7="Lab",(C411!$A$1&amp;" "),"")&amp;IF(C412!$F$7="Lab",(C412!$A$1&amp;" "),"")&amp;IF(M111!$F$7="Lab",(M111!$A$1&amp;" "),"")&amp;IF(M211!$F$7="Lab",(M211!$A$1&amp;" "),"")&amp;IF(M311!$F$7="Lab",(M311!$A$1&amp;" "),"")&amp;IF(M411!$F$7="Lab",(M411!$A$1&amp;" "),""))," ",",")</f>
        <v/>
      </c>
      <c r="L37" t="inlineStr"/>
    </row>
    <row r="38">
      <c r="A38" s="2" t="inlineStr">
        <is>
          <t>5</t>
        </is>
      </c>
      <c r="B38" s="2">
        <f>SUBSTITUTE(TRIM(IF(D111!$F$9="Aula 1",(D111!$A$1&amp;" "),"")&amp;IF(D211!$F$9="Aula 1",(D211!$A$1&amp;" "),"")&amp;IF(D311!$F$9="Aula 1",(D311!$A$1&amp;" "),"")&amp;IF(D411!$F$9="Aula 1",(D411!$A$1&amp;" "),"")&amp;IF(C111!$F$9="Aula 1",(C111!$A$1&amp;" "),"")&amp;IF(C121!$F$9="Aula 1",(C121!$A$1&amp;" "),"")&amp;IF(C122!$F$9="Aula 1",(C122!$A$1&amp;" "),"")&amp;IF(C211!$F$9="Aula 1",(C211!$A$1&amp;" "),"")&amp;IF(C212!$F$9="Aula 1",(C212!$A$1&amp;" "),"")&amp;IF(C311!$F$9="Aula 1",(C311!$A$1&amp;" "),"")&amp;IF(C312!$F$9="Aula 1",(C312!$A$1&amp;" "),"")&amp;IF(C411!$F$9="Aula 1",(C411!$A$1&amp;" "),"")&amp;IF(C412!$F$9="Aula 1",(C412!$A$1&amp;" "),"")&amp;IF(M111!$F$9="Aula 1",(M111!$A$1&amp;" "),"")&amp;IF(M211!$F$9="Aula 1",(M211!$A$1&amp;" "),"")&amp;IF(M311!$F$9="Aula 1",(M311!$A$1&amp;" "),"")&amp;IF(M411!$F$9="Aula 1",(M411!$A$1&amp;" "),""))," ",",")</f>
        <v/>
      </c>
      <c r="C38" s="2">
        <f>SUBSTITUTE(TRIM(IF(D111!$F$9="Aula 2",(D111!$A$1&amp;" "),"")&amp;IF(D211!$F$9="Aula 2",(D211!$A$1&amp;" "),"")&amp;IF(D311!$F$9="Aula 2",(D311!$A$1&amp;" "),"")&amp;IF(D411!$F$9="Aula 2",(D411!$A$1&amp;" "),"")&amp;IF(C111!$F$9="Aula 2",(C111!$A$1&amp;" "),"")&amp;IF(C121!$F$9="Aula 2",(C121!$A$1&amp;" "),"")&amp;IF(C122!$F$9="Aula 2",(C122!$A$1&amp;" "),"")&amp;IF(C211!$F$9="Aula 2",(C211!$A$1&amp;" "),"")&amp;IF(C212!$F$9="Aula 2",(C212!$A$1&amp;" "),"")&amp;IF(C311!$F$9="Aula 2",(C311!$A$1&amp;" "),"")&amp;IF(C312!$F$9="Aula 2",(C312!$A$1&amp;" "),"")&amp;IF(C411!$F$9="Aula 2",(C411!$A$1&amp;" "),"")&amp;IF(C412!$F$9="Aula 2",(C412!$A$1&amp;" "),"")&amp;IF(M111!$F$9="Aula 2",(M111!$A$1&amp;" "),"")&amp;IF(M211!$F$9="Aula 2",(M211!$A$1&amp;" "),"")&amp;IF(M311!$F$9="Aula 2",(M311!$A$1&amp;" "),"")&amp;IF(M411!$F$9="Aula 2",(M411!$A$1&amp;" "),""))," ",",")</f>
        <v/>
      </c>
      <c r="D38" s="2">
        <f>SUBSTITUTE(TRIM(IF(D111!$F$9="Aula 3",(D111!$A$1&amp;" "),"")&amp;IF(D211!$F$9="Aula 3",(D211!$A$1&amp;" "),"")&amp;IF(D311!$F$9="Aula 3",(D311!$A$1&amp;" "),"")&amp;IF(D411!$F$9="Aula 3",(D411!$A$1&amp;" "),"")&amp;IF(C111!$F$9="Aula 3",(C111!$A$1&amp;" "),"")&amp;IF(C121!$F$9="Aula 3",(C121!$A$1&amp;" "),"")&amp;IF(C122!$F$9="Aula 3",(C122!$A$1&amp;" "),"")&amp;IF(C211!$F$9="Aula 3",(C211!$A$1&amp;" "),"")&amp;IF(C212!$F$9="Aula 3",(C212!$A$1&amp;" "),"")&amp;IF(C311!$F$9="Aula 3",(C311!$A$1&amp;" "),"")&amp;IF(C312!$F$9="Aula 3",(C312!$A$1&amp;" "),"")&amp;IF(C411!$F$9="Aula 3",(C411!$A$1&amp;" "),"")&amp;IF(C412!$F$9="Aula 3",(C412!$A$1&amp;" "),"")&amp;IF(M111!$F$9="Aula 3",(M111!$A$1&amp;" "),"")&amp;IF(M211!$F$9="Aula 3",(M211!$A$1&amp;" "),"")&amp;IF(M311!$F$9="Aula 3",(M311!$A$1&amp;" "),"")&amp;IF(M411!$F$9="Aula 3",(M411!$A$1&amp;" "),""))," ",",")</f>
        <v/>
      </c>
      <c r="E38" s="2">
        <f>SUBSTITUTE(TRIM(IF(D111!$F$9="Aula 4",(D111!$A$1&amp;" "),"")&amp;IF(D211!$F$9="Aula 4",(D211!$A$1&amp;" "),"")&amp;IF(D311!$F$9="Aula 4",(D311!$A$1&amp;" "),"")&amp;IF(D411!$F$9="Aula 4",(D411!$A$1&amp;" "),"")&amp;IF(C111!$F$9="Aula 4",(C111!$A$1&amp;" "),"")&amp;IF(C121!$F$9="Aula 4",(C121!$A$1&amp;" "),"")&amp;IF(C122!$F$9="Aula 4",(C122!$A$1&amp;" "),"")&amp;IF(C211!$F$9="Aula 4",(C211!$A$1&amp;" "),"")&amp;IF(C212!$F$9="Aula 4",(C212!$A$1&amp;" "),"")&amp;IF(C311!$F$9="Aula 4",(C311!$A$1&amp;" "),"")&amp;IF(C312!$F$9="Aula 4",(C312!$A$1&amp;" "),"")&amp;IF(C411!$F$9="Aula 4",(C411!$A$1&amp;" "),"")&amp;IF(C412!$F$9="Aula 4",(C412!$A$1&amp;" "),"")&amp;IF(M111!$F$9="Aula 4",(M111!$A$1&amp;" "),"")&amp;IF(M211!$F$9="Aula 4",(M211!$A$1&amp;" "),"")&amp;IF(M311!$F$9="Aula 4",(M311!$A$1&amp;" "),"")&amp;IF(M411!$F$9="Aula 4",(M411!$A$1&amp;" "),""))," ",",")</f>
        <v/>
      </c>
      <c r="F38" s="2">
        <f>SUBSTITUTE(TRIM(IF(D111!$F$9="Aula 5",(D111!$A$1&amp;" "),"")&amp;IF(D211!$F$9="Aula 5",(D211!$A$1&amp;" "),"")&amp;IF(D311!$F$9="Aula 5",(D311!$A$1&amp;" "),"")&amp;IF(D411!$F$9="Aula 5",(D411!$A$1&amp;" "),"")&amp;IF(C111!$F$9="Aula 5",(C111!$A$1&amp;" "),"")&amp;IF(C121!$F$9="Aula 5",(C121!$A$1&amp;" "),"")&amp;IF(C122!$F$9="Aula 5",(C122!$A$1&amp;" "),"")&amp;IF(C211!$F$9="Aula 5",(C211!$A$1&amp;" "),"")&amp;IF(C212!$F$9="Aula 5",(C212!$A$1&amp;" "),"")&amp;IF(C311!$F$9="Aula 5",(C311!$A$1&amp;" "),"")&amp;IF(C312!$F$9="Aula 5",(C312!$A$1&amp;" "),"")&amp;IF(C411!$F$9="Aula 5",(C411!$A$1&amp;" "),"")&amp;IF(C412!$F$9="Aula 5",(C412!$A$1&amp;" "),"")&amp;IF(M111!$F$9="Aula 5",(M111!$A$1&amp;" "),"")&amp;IF(M211!$F$9="Aula 5",(M211!$A$1&amp;" "),"")&amp;IF(M311!$F$9="Aula 5",(M311!$A$1&amp;" "),"")&amp;IF(M411!$F$9="Aula 5",(M411!$A$1&amp;" "),""))," ",",")</f>
        <v/>
      </c>
      <c r="G38" s="2">
        <f>SUBSTITUTE(TRIM(IF(D111!$F$9="Aula 6",(D111!$A$1&amp;" "),"")&amp;IF(D211!$F$9="Aula 6",(D211!$A$1&amp;" "),"")&amp;IF(D311!$F$9="Aula 6",(D311!$A$1&amp;" "),"")&amp;IF(D411!$F$9="Aula 6",(D411!$A$1&amp;" "),"")&amp;IF(C111!$F$9="Aula 6",(C111!$A$1&amp;" "),"")&amp;IF(C121!$F$9="Aula 6",(C121!$A$1&amp;" "),"")&amp;IF(C122!$F$9="Aula 6",(C122!$A$1&amp;" "),"")&amp;IF(C211!$F$9="Aula 6",(C211!$A$1&amp;" "),"")&amp;IF(C212!$F$9="Aula 6",(C212!$A$1&amp;" "),"")&amp;IF(C311!$F$9="Aula 6",(C311!$A$1&amp;" "),"")&amp;IF(C312!$F$9="Aula 6",(C312!$A$1&amp;" "),"")&amp;IF(C411!$F$9="Aula 6",(C411!$A$1&amp;" "),"")&amp;IF(C412!$F$9="Aula 6",(C412!$A$1&amp;" "),"")&amp;IF(M111!$F$9="Aula 6",(M111!$A$1&amp;" "),"")&amp;IF(M211!$F$9="Aula 6",(M211!$A$1&amp;" "),"")&amp;IF(M311!$F$9="Aula 6",(M311!$A$1&amp;" "),"")&amp;IF(M411!$F$9="Aula 6",(M411!$A$1&amp;" "),""))," ",",")</f>
        <v/>
      </c>
      <c r="H38" s="2">
        <f>SUBSTITUTE(TRIM(IF(D111!$F$9="Aula 7",(D111!$A$1&amp;" "),"")&amp;IF(D211!$F$9="Aula 7",(D211!$A$1&amp;" "),"")&amp;IF(D311!$F$9="Aula 7",(D311!$A$1&amp;" "),"")&amp;IF(D411!$F$9="Aula 7",(D411!$A$1&amp;" "),"")&amp;IF(C111!$F$9="Aula 7",(C111!$A$1&amp;" "),"")&amp;IF(C121!$F$9="Aula 7",(C121!$A$1&amp;" "),"")&amp;IF(C122!$F$9="Aula 7",(C122!$A$1&amp;" "),"")&amp;IF(C211!$F$9="Aula 7",(C211!$A$1&amp;" "),"")&amp;IF(C212!$F$9="Aula 7",(C212!$A$1&amp;" "),"")&amp;IF(C311!$F$9="Aula 7",(C311!$A$1&amp;" "),"")&amp;IF(C312!$F$9="Aula 7",(C312!$A$1&amp;" "),"")&amp;IF(C411!$F$9="Aula 7",(C411!$A$1&amp;" "),"")&amp;IF(C412!$F$9="Aula 7",(C412!$A$1&amp;" "),"")&amp;IF(M111!$F$9="Aula 7",(M111!$A$1&amp;" "),"")&amp;IF(M211!$F$9="Aula 7",(M211!$A$1&amp;" "),"")&amp;IF(M311!$F$9="Aula 7",(M311!$A$1&amp;" "),"")&amp;IF(M411!$F$9="Aula 7",(M411!$A$1&amp;" "),""))," ",",")</f>
        <v/>
      </c>
      <c r="I38" s="2">
        <f>SUBSTITUTE(TRIM(IF(D111!$F$9="Aula 8",(D111!$A$1&amp;" "),"")&amp;IF(D211!$F$9="Aula 8",(D211!$A$1&amp;" "),"")&amp;IF(D311!$F$9="Aula 8",(D311!$A$1&amp;" "),"")&amp;IF(D411!$F$9="Aula 8",(D411!$A$1&amp;" "),"")&amp;IF(C111!$F$9="Aula 8",(C111!$A$1&amp;" "),"")&amp;IF(C121!$F$9="Aula 8",(C121!$A$1&amp;" "),"")&amp;IF(C122!$F$9="Aula 8",(C122!$A$1&amp;" "),"")&amp;IF(C211!$F$9="Aula 8",(C211!$A$1&amp;" "),"")&amp;IF(C212!$F$9="Aula 8",(C212!$A$1&amp;" "),"")&amp;IF(C311!$F$9="Aula 8",(C311!$A$1&amp;" "),"")&amp;IF(C312!$F$9="Aula 8",(C312!$A$1&amp;" "),"")&amp;IF(C411!$F$9="Aula 8",(C411!$A$1&amp;" "),"")&amp;IF(C412!$F$9="Aula 8",(C412!$A$1&amp;" "),"")&amp;IF(M111!$F$9="Aula 8",(M111!$A$1&amp;" "),"")&amp;IF(M211!$F$9="Aula 8",(M211!$A$1&amp;" "),"")&amp;IF(M311!$F$9="Aula 8",(M311!$A$1&amp;" "),"")&amp;IF(M411!$F$9="Aula 8",(M411!$A$1&amp;" "),""))," ",",")</f>
        <v/>
      </c>
      <c r="J38" s="2">
        <f>SUBSTITUTE(TRIM(IF(D111!$F$9="Aula 9",(D111!$A$1&amp;" "),"")&amp;IF(D211!$F$9="Aula 9",(D211!$A$1&amp;" "),"")&amp;IF(D311!$F$9="Aula 9",(D311!$A$1&amp;" "),"")&amp;IF(D411!$F$9="Aula 9",(D411!$A$1&amp;" "),"")&amp;IF(C111!$F$9="Aula 9",(C111!$A$1&amp;" "),"")&amp;IF(C121!$F$9="Aula 9",(C121!$A$1&amp;" "),"")&amp;IF(C122!$F$9="Aula 9",(C122!$A$1&amp;" "),"")&amp;IF(C211!$F$9="Aula 9",(C211!$A$1&amp;" "),"")&amp;IF(C212!$F$9="Aula 9",(C212!$A$1&amp;" "),"")&amp;IF(C311!$F$9="Aula 9",(C311!$A$1&amp;" "),"")&amp;IF(C312!$F$9="Aula 9",(C312!$A$1&amp;" "),"")&amp;IF(C411!$F$9="Aula 9",(C411!$A$1&amp;" "),"")&amp;IF(C412!$F$9="Aula 9",(C412!$A$1&amp;" "),"")&amp;IF(M111!$F$9="Aula 9",(M111!$A$1&amp;" "),"")&amp;IF(M211!$F$9="Aula 9",(M211!$A$1&amp;" "),"")&amp;IF(M311!$F$9="Aula 9",(M311!$A$1&amp;" "),"")&amp;IF(M411!$F$9="Aula 9",(M411!$A$1&amp;" "),""))," ",",")</f>
        <v/>
      </c>
      <c r="K38" s="2">
        <f>SUBSTITUTE(TRIM(IF(D111!$F$9="Lab",(D111!$A$1&amp;" "),"")&amp;IF(D211!$F$9="Lab",(D211!$A$1&amp;" "),"")&amp;IF(D311!$F$9="Lab",(D311!$A$1&amp;" "),"")&amp;IF(D411!$F$9="Lab",(D411!$A$1&amp;" "),"")&amp;IF(C111!$F$9="Lab",(C111!$A$1&amp;" "),"")&amp;IF(C121!$F$9="Lab",(C121!$A$1&amp;" "),"")&amp;IF(C122!$F$9="Lab",(C122!$A$1&amp;" "),"")&amp;IF(C211!$F$9="Lab",(C211!$A$1&amp;" "),"")&amp;IF(C212!$F$9="Lab",(C212!$A$1&amp;" "),"")&amp;IF(C311!$F$9="Lab",(C311!$A$1&amp;" "),"")&amp;IF(C312!$F$9="Lab",(C312!$A$1&amp;" "),"")&amp;IF(C411!$F$9="Lab",(C411!$A$1&amp;" "),"")&amp;IF(C412!$F$9="Lab",(C412!$A$1&amp;" "),"")&amp;IF(M111!$F$9="Lab",(M111!$A$1&amp;" "),"")&amp;IF(M211!$F$9="Lab",(M211!$A$1&amp;" "),"")&amp;IF(M311!$F$9="Lab",(M311!$A$1&amp;" "),"")&amp;IF(M411!$F$9="Lab",(M411!$A$1&amp;" "),""))," ",",")</f>
        <v/>
      </c>
      <c r="L38" t="inlineStr"/>
    </row>
    <row r="39">
      <c r="A39" s="2" t="inlineStr">
        <is>
          <t>6</t>
        </is>
      </c>
      <c r="B39" s="2">
        <f>SUBSTITUTE(TRIM(IF(D111!$F$11="Aula 1",(D111!$A$1&amp;" "),"")&amp;IF(D211!$F$11="Aula 1",(D211!$A$1&amp;" "),"")&amp;IF(D311!$F$11="Aula 1",(D311!$A$1&amp;" "),"")&amp;IF(D411!$F$11="Aula 1",(D411!$A$1&amp;" "),"")&amp;IF(C111!$F$11="Aula 1",(C111!$A$1&amp;" "),"")&amp;IF(C121!$F$11="Aula 1",(C121!$A$1&amp;" "),"")&amp;IF(C122!$F$11="Aula 1",(C122!$A$1&amp;" "),"")&amp;IF(C211!$F$11="Aula 1",(C211!$A$1&amp;" "),"")&amp;IF(C212!$F$11="Aula 1",(C212!$A$1&amp;" "),"")&amp;IF(C311!$F$11="Aula 1",(C311!$A$1&amp;" "),"")&amp;IF(C312!$F$11="Aula 1",(C312!$A$1&amp;" "),"")&amp;IF(C411!$F$11="Aula 1",(C411!$A$1&amp;" "),"")&amp;IF(C412!$F$11="Aula 1",(C412!$A$1&amp;" "),"")&amp;IF(M111!$F$11="Aula 1",(M111!$A$1&amp;" "),"")&amp;IF(M211!$F$11="Aula 1",(M211!$A$1&amp;" "),"")&amp;IF(M311!$F$11="Aula 1",(M311!$A$1&amp;" "),"")&amp;IF(M411!$F$11="Aula 1",(M411!$A$1&amp;" "),""))," ",",")</f>
        <v/>
      </c>
      <c r="C39" s="2">
        <f>SUBSTITUTE(TRIM(IF(D111!$F$11="Aula 2",(D111!$A$1&amp;" "),"")&amp;IF(D211!$F$11="Aula 2",(D211!$A$1&amp;" "),"")&amp;IF(D311!$F$11="Aula 2",(D311!$A$1&amp;" "),"")&amp;IF(D411!$F$11="Aula 2",(D411!$A$1&amp;" "),"")&amp;IF(C111!$F$11="Aula 2",(C111!$A$1&amp;" "),"")&amp;IF(C121!$F$11="Aula 2",(C121!$A$1&amp;" "),"")&amp;IF(C122!$F$11="Aula 2",(C122!$A$1&amp;" "),"")&amp;IF(C211!$F$11="Aula 2",(C211!$A$1&amp;" "),"")&amp;IF(C212!$F$11="Aula 2",(C212!$A$1&amp;" "),"")&amp;IF(C311!$F$11="Aula 2",(C311!$A$1&amp;" "),"")&amp;IF(C312!$F$11="Aula 2",(C312!$A$1&amp;" "),"")&amp;IF(C411!$F$11="Aula 2",(C411!$A$1&amp;" "),"")&amp;IF(C412!$F$11="Aula 2",(C412!$A$1&amp;" "),"")&amp;IF(M111!$F$11="Aula 2",(M111!$A$1&amp;" "),"")&amp;IF(M211!$F$11="Aula 2",(M211!$A$1&amp;" "),"")&amp;IF(M311!$F$11="Aula 2",(M311!$A$1&amp;" "),"")&amp;IF(M411!$F$11="Aula 2",(M411!$A$1&amp;" "),""))," ",",")</f>
        <v/>
      </c>
      <c r="D39" s="2">
        <f>SUBSTITUTE(TRIM(IF(D111!$F$11="Aula 3",(D111!$A$1&amp;" "),"")&amp;IF(D211!$F$11="Aula 3",(D211!$A$1&amp;" "),"")&amp;IF(D311!$F$11="Aula 3",(D311!$A$1&amp;" "),"")&amp;IF(D411!$F$11="Aula 3",(D411!$A$1&amp;" "),"")&amp;IF(C111!$F$11="Aula 3",(C111!$A$1&amp;" "),"")&amp;IF(C121!$F$11="Aula 3",(C121!$A$1&amp;" "),"")&amp;IF(C122!$F$11="Aula 3",(C122!$A$1&amp;" "),"")&amp;IF(C211!$F$11="Aula 3",(C211!$A$1&amp;" "),"")&amp;IF(C212!$F$11="Aula 3",(C212!$A$1&amp;" "),"")&amp;IF(C311!$F$11="Aula 3",(C311!$A$1&amp;" "),"")&amp;IF(C312!$F$11="Aula 3",(C312!$A$1&amp;" "),"")&amp;IF(C411!$F$11="Aula 3",(C411!$A$1&amp;" "),"")&amp;IF(C412!$F$11="Aula 3",(C412!$A$1&amp;" "),"")&amp;IF(M111!$F$11="Aula 3",(M111!$A$1&amp;" "),"")&amp;IF(M211!$F$11="Aula 3",(M211!$A$1&amp;" "),"")&amp;IF(M311!$F$11="Aula 3",(M311!$A$1&amp;" "),"")&amp;IF(M411!$F$11="Aula 3",(M411!$A$1&amp;" "),""))," ",",")</f>
        <v/>
      </c>
      <c r="E39" s="2">
        <f>SUBSTITUTE(TRIM(IF(D111!$F$11="Aula 4",(D111!$A$1&amp;" "),"")&amp;IF(D211!$F$11="Aula 4",(D211!$A$1&amp;" "),"")&amp;IF(D311!$F$11="Aula 4",(D311!$A$1&amp;" "),"")&amp;IF(D411!$F$11="Aula 4",(D411!$A$1&amp;" "),"")&amp;IF(C111!$F$11="Aula 4",(C111!$A$1&amp;" "),"")&amp;IF(C121!$F$11="Aula 4",(C121!$A$1&amp;" "),"")&amp;IF(C122!$F$11="Aula 4",(C122!$A$1&amp;" "),"")&amp;IF(C211!$F$11="Aula 4",(C211!$A$1&amp;" "),"")&amp;IF(C212!$F$11="Aula 4",(C212!$A$1&amp;" "),"")&amp;IF(C311!$F$11="Aula 4",(C311!$A$1&amp;" "),"")&amp;IF(C312!$F$11="Aula 4",(C312!$A$1&amp;" "),"")&amp;IF(C411!$F$11="Aula 4",(C411!$A$1&amp;" "),"")&amp;IF(C412!$F$11="Aula 4",(C412!$A$1&amp;" "),"")&amp;IF(M111!$F$11="Aula 4",(M111!$A$1&amp;" "),"")&amp;IF(M211!$F$11="Aula 4",(M211!$A$1&amp;" "),"")&amp;IF(M311!$F$11="Aula 4",(M311!$A$1&amp;" "),"")&amp;IF(M411!$F$11="Aula 4",(M411!$A$1&amp;" "),""))," ",",")</f>
        <v/>
      </c>
      <c r="F39" s="2">
        <f>SUBSTITUTE(TRIM(IF(D111!$F$11="Aula 5",(D111!$A$1&amp;" "),"")&amp;IF(D211!$F$11="Aula 5",(D211!$A$1&amp;" "),"")&amp;IF(D311!$F$11="Aula 5",(D311!$A$1&amp;" "),"")&amp;IF(D411!$F$11="Aula 5",(D411!$A$1&amp;" "),"")&amp;IF(C111!$F$11="Aula 5",(C111!$A$1&amp;" "),"")&amp;IF(C121!$F$11="Aula 5",(C121!$A$1&amp;" "),"")&amp;IF(C122!$F$11="Aula 5",(C122!$A$1&amp;" "),"")&amp;IF(C211!$F$11="Aula 5",(C211!$A$1&amp;" "),"")&amp;IF(C212!$F$11="Aula 5",(C212!$A$1&amp;" "),"")&amp;IF(C311!$F$11="Aula 5",(C311!$A$1&amp;" "),"")&amp;IF(C312!$F$11="Aula 5",(C312!$A$1&amp;" "),"")&amp;IF(C411!$F$11="Aula 5",(C411!$A$1&amp;" "),"")&amp;IF(C412!$F$11="Aula 5",(C412!$A$1&amp;" "),"")&amp;IF(M111!$F$11="Aula 5",(M111!$A$1&amp;" "),"")&amp;IF(M211!$F$11="Aula 5",(M211!$A$1&amp;" "),"")&amp;IF(M311!$F$11="Aula 5",(M311!$A$1&amp;" "),"")&amp;IF(M411!$F$11="Aula 5",(M411!$A$1&amp;" "),""))," ",",")</f>
        <v/>
      </c>
      <c r="G39" s="2">
        <f>SUBSTITUTE(TRIM(IF(D111!$F$11="Aula 6",(D111!$A$1&amp;" "),"")&amp;IF(D211!$F$11="Aula 6",(D211!$A$1&amp;" "),"")&amp;IF(D311!$F$11="Aula 6",(D311!$A$1&amp;" "),"")&amp;IF(D411!$F$11="Aula 6",(D411!$A$1&amp;" "),"")&amp;IF(C111!$F$11="Aula 6",(C111!$A$1&amp;" "),"")&amp;IF(C121!$F$11="Aula 6",(C121!$A$1&amp;" "),"")&amp;IF(C122!$F$11="Aula 6",(C122!$A$1&amp;" "),"")&amp;IF(C211!$F$11="Aula 6",(C211!$A$1&amp;" "),"")&amp;IF(C212!$F$11="Aula 6",(C212!$A$1&amp;" "),"")&amp;IF(C311!$F$11="Aula 6",(C311!$A$1&amp;" "),"")&amp;IF(C312!$F$11="Aula 6",(C312!$A$1&amp;" "),"")&amp;IF(C411!$F$11="Aula 6",(C411!$A$1&amp;" "),"")&amp;IF(C412!$F$11="Aula 6",(C412!$A$1&amp;" "),"")&amp;IF(M111!$F$11="Aula 6",(M111!$A$1&amp;" "),"")&amp;IF(M211!$F$11="Aula 6",(M211!$A$1&amp;" "),"")&amp;IF(M311!$F$11="Aula 6",(M311!$A$1&amp;" "),"")&amp;IF(M411!$F$11="Aula 6",(M411!$A$1&amp;" "),""))," ",",")</f>
        <v/>
      </c>
      <c r="H39" s="2">
        <f>SUBSTITUTE(TRIM(IF(D111!$F$11="Aula 7",(D111!$A$1&amp;" "),"")&amp;IF(D211!$F$11="Aula 7",(D211!$A$1&amp;" "),"")&amp;IF(D311!$F$11="Aula 7",(D311!$A$1&amp;" "),"")&amp;IF(D411!$F$11="Aula 7",(D411!$A$1&amp;" "),"")&amp;IF(C111!$F$11="Aula 7",(C111!$A$1&amp;" "),"")&amp;IF(C121!$F$11="Aula 7",(C121!$A$1&amp;" "),"")&amp;IF(C122!$F$11="Aula 7",(C122!$A$1&amp;" "),"")&amp;IF(C211!$F$11="Aula 7",(C211!$A$1&amp;" "),"")&amp;IF(C212!$F$11="Aula 7",(C212!$A$1&amp;" "),"")&amp;IF(C311!$F$11="Aula 7",(C311!$A$1&amp;" "),"")&amp;IF(C312!$F$11="Aula 7",(C312!$A$1&amp;" "),"")&amp;IF(C411!$F$11="Aula 7",(C411!$A$1&amp;" "),"")&amp;IF(C412!$F$11="Aula 7",(C412!$A$1&amp;" "),"")&amp;IF(M111!$F$11="Aula 7",(M111!$A$1&amp;" "),"")&amp;IF(M211!$F$11="Aula 7",(M211!$A$1&amp;" "),"")&amp;IF(M311!$F$11="Aula 7",(M311!$A$1&amp;" "),"")&amp;IF(M411!$F$11="Aula 7",(M411!$A$1&amp;" "),""))," ",",")</f>
        <v/>
      </c>
      <c r="I39" s="2">
        <f>SUBSTITUTE(TRIM(IF(D111!$F$11="Aula 8",(D111!$A$1&amp;" "),"")&amp;IF(D211!$F$11="Aula 8",(D211!$A$1&amp;" "),"")&amp;IF(D311!$F$11="Aula 8",(D311!$A$1&amp;" "),"")&amp;IF(D411!$F$11="Aula 8",(D411!$A$1&amp;" "),"")&amp;IF(C111!$F$11="Aula 8",(C111!$A$1&amp;" "),"")&amp;IF(C121!$F$11="Aula 8",(C121!$A$1&amp;" "),"")&amp;IF(C122!$F$11="Aula 8",(C122!$A$1&amp;" "),"")&amp;IF(C211!$F$11="Aula 8",(C211!$A$1&amp;" "),"")&amp;IF(C212!$F$11="Aula 8",(C212!$A$1&amp;" "),"")&amp;IF(C311!$F$11="Aula 8",(C311!$A$1&amp;" "),"")&amp;IF(C312!$F$11="Aula 8",(C312!$A$1&amp;" "),"")&amp;IF(C411!$F$11="Aula 8",(C411!$A$1&amp;" "),"")&amp;IF(C412!$F$11="Aula 8",(C412!$A$1&amp;" "),"")&amp;IF(M111!$F$11="Aula 8",(M111!$A$1&amp;" "),"")&amp;IF(M211!$F$11="Aula 8",(M211!$A$1&amp;" "),"")&amp;IF(M311!$F$11="Aula 8",(M311!$A$1&amp;" "),"")&amp;IF(M411!$F$11="Aula 8",(M411!$A$1&amp;" "),""))," ",",")</f>
        <v/>
      </c>
      <c r="J39" s="2">
        <f>SUBSTITUTE(TRIM(IF(D111!$F$11="Aula 9",(D111!$A$1&amp;" "),"")&amp;IF(D211!$F$11="Aula 9",(D211!$A$1&amp;" "),"")&amp;IF(D311!$F$11="Aula 9",(D311!$A$1&amp;" "),"")&amp;IF(D411!$F$11="Aula 9",(D411!$A$1&amp;" "),"")&amp;IF(C111!$F$11="Aula 9",(C111!$A$1&amp;" "),"")&amp;IF(C121!$F$11="Aula 9",(C121!$A$1&amp;" "),"")&amp;IF(C122!$F$11="Aula 9",(C122!$A$1&amp;" "),"")&amp;IF(C211!$F$11="Aula 9",(C211!$A$1&amp;" "),"")&amp;IF(C212!$F$11="Aula 9",(C212!$A$1&amp;" "),"")&amp;IF(C311!$F$11="Aula 9",(C311!$A$1&amp;" "),"")&amp;IF(C312!$F$11="Aula 9",(C312!$A$1&amp;" "),"")&amp;IF(C411!$F$11="Aula 9",(C411!$A$1&amp;" "),"")&amp;IF(C412!$F$11="Aula 9",(C412!$A$1&amp;" "),"")&amp;IF(M111!$F$11="Aula 9",(M111!$A$1&amp;" "),"")&amp;IF(M211!$F$11="Aula 9",(M211!$A$1&amp;" "),"")&amp;IF(M311!$F$11="Aula 9",(M311!$A$1&amp;" "),"")&amp;IF(M411!$F$11="Aula 9",(M411!$A$1&amp;" "),""))," ",",")</f>
        <v/>
      </c>
      <c r="K39" s="2">
        <f>SUBSTITUTE(TRIM(IF(D111!$F$11="Lab",(D111!$A$1&amp;" "),"")&amp;IF(D211!$F$11="Lab",(D211!$A$1&amp;" "),"")&amp;IF(D311!$F$11="Lab",(D311!$A$1&amp;" "),"")&amp;IF(D411!$F$11="Lab",(D411!$A$1&amp;" "),"")&amp;IF(C111!$F$11="Lab",(C111!$A$1&amp;" "),"")&amp;IF(C121!$F$11="Lab",(C121!$A$1&amp;" "),"")&amp;IF(C122!$F$11="Lab",(C122!$A$1&amp;" "),"")&amp;IF(C211!$F$11="Lab",(C211!$A$1&amp;" "),"")&amp;IF(C212!$F$11="Lab",(C212!$A$1&amp;" "),"")&amp;IF(C311!$F$11="Lab",(C311!$A$1&amp;" "),"")&amp;IF(C312!$F$11="Lab",(C312!$A$1&amp;" "),"")&amp;IF(C411!$F$11="Lab",(C411!$A$1&amp;" "),"")&amp;IF(C412!$F$11="Lab",(C412!$A$1&amp;" "),"")&amp;IF(M111!$F$11="Lab",(M111!$A$1&amp;" "),"")&amp;IF(M211!$F$11="Lab",(M211!$A$1&amp;" "),"")&amp;IF(M311!$F$11="Lab",(M311!$A$1&amp;" "),"")&amp;IF(M411!$F$11="Lab",(M411!$A$1&amp;" "),""))," ",",")</f>
        <v/>
      </c>
      <c r="L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2026-06-08T03:20:43Z</dcterms:created>
  <dcterms:modified xmlns:dcterms="http://purl.org/dc/terms/" xmlns:xsi="http://www.w3.org/2001/XMLSchema-instance" xsi:type="dcterms:W3CDTF">2026-06-08T03:20:43Z</dcterms:modified>
</cp:coreProperties>
</file>